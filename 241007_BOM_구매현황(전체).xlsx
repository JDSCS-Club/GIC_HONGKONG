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E7AA511A-70D3-0647-9EDB-98B072F5C46E}" xr6:coauthVersionLast="47" xr6:coauthVersionMax="47" xr10:uidLastSave="{00000000-0000-0000-0000-000000000000}"/>
  <bookViews>
    <workbookView xWindow="7220" yWindow="940" windowWidth="33900" windowHeight="24360" activeTab="2" xr2:uid="{00000000-000D-0000-FFFF-FFFF00000000}"/>
  </bookViews>
  <sheets>
    <sheet name="BOM list" sheetId="1" r:id="rId1"/>
    <sheet name="MOP" sheetId="3" r:id="rId2"/>
    <sheet name="MSR" sheetId="4" r:id="rId3"/>
    <sheet name="CTM" sheetId="5" r:id="rId4"/>
    <sheet name="PAB" sheetId="6" r:id="rId5"/>
    <sheet name="EID" sheetId="7" r:id="rId6"/>
    <sheet name="PSR" sheetId="8" r:id="rId7"/>
    <sheet name="ETND" sheetId="9" r:id="rId8"/>
    <sheet name="EDD" sheetId="10" r:id="rId9"/>
    <sheet name="부자재list" sheetId="2" r:id="rId10"/>
  </sheets>
  <definedNames>
    <definedName name="_xlnm._FilterDatabase" localSheetId="0" hidden="1">'BOM list'!$B$2:$M$162</definedName>
    <definedName name="_xlnm._FilterDatabase" localSheetId="1" hidden="1">MOP!$B$1:$Q$1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" l="1"/>
  <c r="M30" i="3"/>
  <c r="K29" i="3"/>
  <c r="K28" i="3"/>
  <c r="H10" i="1"/>
  <c r="H11" i="1"/>
  <c r="H12" i="1"/>
  <c r="G12" i="1"/>
  <c r="G11" i="1"/>
  <c r="G10" i="1"/>
  <c r="F12" i="1"/>
  <c r="F11" i="1"/>
  <c r="F10" i="1"/>
  <c r="E12" i="1"/>
  <c r="E11" i="1"/>
  <c r="E10" i="1"/>
  <c r="D13" i="1"/>
  <c r="D12" i="1"/>
  <c r="D11" i="1"/>
  <c r="D10" i="1"/>
  <c r="M19" i="3"/>
  <c r="K25" i="5" l="1"/>
  <c r="K26" i="5"/>
  <c r="K27" i="5"/>
  <c r="K28" i="5"/>
  <c r="K29" i="5"/>
  <c r="K30" i="5"/>
  <c r="K31" i="5"/>
  <c r="K32" i="5"/>
  <c r="K33" i="5"/>
  <c r="K2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K23" i="4"/>
  <c r="K24" i="4"/>
  <c r="K25" i="4"/>
  <c r="K27" i="4"/>
  <c r="K28" i="4"/>
  <c r="K29" i="4"/>
  <c r="K30" i="4"/>
  <c r="K32" i="4"/>
  <c r="K33" i="4"/>
  <c r="K34" i="4"/>
  <c r="K36" i="4"/>
  <c r="K37" i="4"/>
  <c r="K38" i="4"/>
  <c r="K39" i="4"/>
  <c r="K40" i="4"/>
  <c r="K41" i="4"/>
  <c r="K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M11" i="3"/>
  <c r="I12" i="1" s="1"/>
  <c r="K11" i="3"/>
  <c r="M10" i="3"/>
  <c r="I11" i="1" s="1"/>
  <c r="K10" i="3"/>
  <c r="M9" i="3"/>
  <c r="I10" i="1" s="1"/>
  <c r="K9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3" i="3"/>
  <c r="K4" i="3"/>
  <c r="K5" i="3"/>
  <c r="K6" i="3"/>
  <c r="K7" i="3"/>
  <c r="K8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30" i="3"/>
  <c r="K3" i="3"/>
  <c r="M17" i="4"/>
  <c r="L5" i="8"/>
  <c r="M15" i="3"/>
  <c r="M16" i="3"/>
  <c r="M6" i="5"/>
  <c r="M8" i="5"/>
  <c r="M13" i="4"/>
  <c r="Q47" i="4"/>
  <c r="M4" i="4"/>
  <c r="I33" i="1" s="1"/>
  <c r="M5" i="4"/>
  <c r="I34" i="1" s="1"/>
  <c r="M6" i="4"/>
  <c r="I35" i="1" s="1"/>
  <c r="M7" i="4"/>
  <c r="I36" i="1" s="1"/>
  <c r="M8" i="4"/>
  <c r="I37" i="1" s="1"/>
  <c r="M9" i="4"/>
  <c r="I38" i="1" s="1"/>
  <c r="H161" i="1"/>
  <c r="G161" i="1"/>
  <c r="F161" i="1"/>
  <c r="E161" i="1"/>
  <c r="D161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39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22" i="1"/>
  <c r="G110" i="1"/>
  <c r="G111" i="1"/>
  <c r="G112" i="1"/>
  <c r="G113" i="1"/>
  <c r="G114" i="1"/>
  <c r="G115" i="1"/>
  <c r="G116" i="1"/>
  <c r="G117" i="1"/>
  <c r="G118" i="1"/>
  <c r="F110" i="1"/>
  <c r="F111" i="1"/>
  <c r="F112" i="1"/>
  <c r="F113" i="1"/>
  <c r="F114" i="1"/>
  <c r="F115" i="1"/>
  <c r="F116" i="1"/>
  <c r="F117" i="1"/>
  <c r="F118" i="1"/>
  <c r="G109" i="1"/>
  <c r="F109" i="1"/>
  <c r="E110" i="1"/>
  <c r="E111" i="1"/>
  <c r="E112" i="1"/>
  <c r="E113" i="1"/>
  <c r="E114" i="1"/>
  <c r="E115" i="1"/>
  <c r="E116" i="1"/>
  <c r="E117" i="1"/>
  <c r="E118" i="1"/>
  <c r="E109" i="1"/>
  <c r="D110" i="1"/>
  <c r="D111" i="1"/>
  <c r="D112" i="1"/>
  <c r="D113" i="1"/>
  <c r="D114" i="1"/>
  <c r="D115" i="1"/>
  <c r="D116" i="1"/>
  <c r="D117" i="1"/>
  <c r="D118" i="1"/>
  <c r="D10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89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7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E50" i="1"/>
  <c r="D5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2" i="1"/>
  <c r="F24" i="1"/>
  <c r="G5" i="1"/>
  <c r="G6" i="1"/>
  <c r="G7" i="1"/>
  <c r="G8" i="1"/>
  <c r="G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4" i="1"/>
  <c r="F5" i="1"/>
  <c r="F6" i="1"/>
  <c r="F7" i="1"/>
  <c r="F8" i="1"/>
  <c r="F9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4" i="1"/>
  <c r="E5" i="1"/>
  <c r="E6" i="1"/>
  <c r="E7" i="1"/>
  <c r="E8" i="1"/>
  <c r="E9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I159" i="1"/>
  <c r="H162" i="1"/>
  <c r="H105" i="1"/>
  <c r="L19" i="7"/>
  <c r="I105" i="1" s="1"/>
  <c r="I15" i="1"/>
  <c r="I118" i="1"/>
  <c r="H118" i="1"/>
  <c r="I104" i="1"/>
  <c r="H104" i="1"/>
  <c r="I66" i="1"/>
  <c r="H66" i="1"/>
  <c r="I71" i="1"/>
  <c r="I72" i="1"/>
  <c r="I73" i="1"/>
  <c r="I85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70" i="1"/>
  <c r="I140" i="1"/>
  <c r="I141" i="1"/>
  <c r="I143" i="1"/>
  <c r="I145" i="1"/>
  <c r="I146" i="1"/>
  <c r="I151" i="1"/>
  <c r="I152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39" i="1"/>
  <c r="L23" i="10"/>
  <c r="L24" i="10"/>
  <c r="L32" i="10" s="1"/>
  <c r="I154" i="1" s="1"/>
  <c r="L25" i="10"/>
  <c r="L26" i="10"/>
  <c r="L27" i="10"/>
  <c r="L28" i="10"/>
  <c r="L29" i="10"/>
  <c r="L30" i="10"/>
  <c r="L31" i="10"/>
  <c r="L22" i="10"/>
  <c r="L10" i="10"/>
  <c r="L11" i="10"/>
  <c r="I147" i="1" s="1"/>
  <c r="L12" i="10"/>
  <c r="I148" i="1" s="1"/>
  <c r="L13" i="10"/>
  <c r="I149" i="1" s="1"/>
  <c r="L14" i="10"/>
  <c r="I150" i="1" s="1"/>
  <c r="L6" i="10"/>
  <c r="I142" i="1" s="1"/>
  <c r="L8" i="10"/>
  <c r="I144" i="1" s="1"/>
  <c r="L3" i="10"/>
  <c r="I139" i="1" s="1"/>
  <c r="L22" i="9"/>
  <c r="L23" i="9"/>
  <c r="L24" i="9"/>
  <c r="L25" i="9"/>
  <c r="L26" i="9"/>
  <c r="L27" i="9"/>
  <c r="L28" i="9"/>
  <c r="L29" i="9"/>
  <c r="L30" i="9"/>
  <c r="L21" i="9"/>
  <c r="L31" i="9" s="1"/>
  <c r="I137" i="1" s="1"/>
  <c r="I123" i="1"/>
  <c r="I124" i="1"/>
  <c r="I126" i="1"/>
  <c r="I128" i="1"/>
  <c r="I129" i="1"/>
  <c r="I131" i="1"/>
  <c r="I134" i="1"/>
  <c r="I135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22" i="1"/>
  <c r="L3" i="9"/>
  <c r="I122" i="1" s="1"/>
  <c r="L6" i="9"/>
  <c r="I125" i="1" s="1"/>
  <c r="L8" i="9"/>
  <c r="I127" i="1" s="1"/>
  <c r="L10" i="9"/>
  <c r="L11" i="9"/>
  <c r="I130" i="1" s="1"/>
  <c r="L12" i="9"/>
  <c r="L13" i="9"/>
  <c r="I132" i="1" s="1"/>
  <c r="L14" i="9"/>
  <c r="I133" i="1" s="1"/>
  <c r="I110" i="1"/>
  <c r="I114" i="1"/>
  <c r="H110" i="1"/>
  <c r="H111" i="1"/>
  <c r="H112" i="1"/>
  <c r="H113" i="1"/>
  <c r="H114" i="1"/>
  <c r="H115" i="1"/>
  <c r="H116" i="1"/>
  <c r="H117" i="1"/>
  <c r="H109" i="1"/>
  <c r="L20" i="8"/>
  <c r="L21" i="8"/>
  <c r="L23" i="8"/>
  <c r="L24" i="8"/>
  <c r="L25" i="8"/>
  <c r="L27" i="8"/>
  <c r="L28" i="8"/>
  <c r="L29" i="8"/>
  <c r="L30" i="8"/>
  <c r="L31" i="8"/>
  <c r="L33" i="8"/>
  <c r="L34" i="8"/>
  <c r="L35" i="8"/>
  <c r="L19" i="8"/>
  <c r="L4" i="8"/>
  <c r="I111" i="1"/>
  <c r="L6" i="8"/>
  <c r="I112" i="1" s="1"/>
  <c r="L7" i="8"/>
  <c r="I113" i="1" s="1"/>
  <c r="L9" i="8"/>
  <c r="I115" i="1" s="1"/>
  <c r="L10" i="8"/>
  <c r="I116" i="1" s="1"/>
  <c r="L11" i="8"/>
  <c r="I117" i="1" s="1"/>
  <c r="L3" i="8"/>
  <c r="I109" i="1" s="1"/>
  <c r="I90" i="1"/>
  <c r="I91" i="1"/>
  <c r="I93" i="1"/>
  <c r="I94" i="1"/>
  <c r="I103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89" i="1"/>
  <c r="L28" i="7"/>
  <c r="L29" i="7"/>
  <c r="L30" i="7"/>
  <c r="L31" i="7"/>
  <c r="L32" i="7"/>
  <c r="L33" i="7"/>
  <c r="L34" i="7"/>
  <c r="L35" i="7"/>
  <c r="L36" i="7"/>
  <c r="L37" i="7"/>
  <c r="L27" i="7"/>
  <c r="I162" i="1" s="1"/>
  <c r="L36" i="8" l="1"/>
  <c r="I120" i="1" s="1"/>
  <c r="L38" i="7"/>
  <c r="I107" i="1" s="1"/>
  <c r="L6" i="7"/>
  <c r="I92" i="1" s="1"/>
  <c r="L9" i="7"/>
  <c r="I95" i="1" s="1"/>
  <c r="L10" i="7"/>
  <c r="I96" i="1" s="1"/>
  <c r="L11" i="7"/>
  <c r="I97" i="1" s="1"/>
  <c r="L12" i="7"/>
  <c r="I98" i="1" s="1"/>
  <c r="L13" i="7"/>
  <c r="I99" i="1" s="1"/>
  <c r="L14" i="7"/>
  <c r="I100" i="1" s="1"/>
  <c r="L15" i="7"/>
  <c r="I101" i="1" s="1"/>
  <c r="L16" i="7"/>
  <c r="I102" i="1" s="1"/>
  <c r="L3" i="7"/>
  <c r="L22" i="6"/>
  <c r="L23" i="6"/>
  <c r="L24" i="6"/>
  <c r="L25" i="6"/>
  <c r="L26" i="6"/>
  <c r="L27" i="6"/>
  <c r="L28" i="6"/>
  <c r="L29" i="6"/>
  <c r="L30" i="6"/>
  <c r="L31" i="6"/>
  <c r="L21" i="6"/>
  <c r="I89" i="1" l="1"/>
  <c r="L20" i="7"/>
  <c r="L32" i="6"/>
  <c r="I87" i="1" s="1"/>
  <c r="H41" i="1"/>
  <c r="H40" i="1"/>
  <c r="H39" i="1"/>
  <c r="M12" i="4"/>
  <c r="I41" i="1" s="1"/>
  <c r="M11" i="4"/>
  <c r="I40" i="1" s="1"/>
  <c r="M10" i="4"/>
  <c r="I39" i="1" s="1"/>
  <c r="M11" i="5"/>
  <c r="I58" i="1" s="1"/>
  <c r="M10" i="5"/>
  <c r="I57" i="1" s="1"/>
  <c r="M9" i="5"/>
  <c r="I56" i="1" s="1"/>
  <c r="H58" i="1"/>
  <c r="H57" i="1"/>
  <c r="H56" i="1"/>
  <c r="L7" i="6"/>
  <c r="I74" i="1" s="1"/>
  <c r="L8" i="6"/>
  <c r="I75" i="1" s="1"/>
  <c r="L9" i="6"/>
  <c r="I76" i="1" s="1"/>
  <c r="L10" i="6"/>
  <c r="I77" i="1" s="1"/>
  <c r="L11" i="6"/>
  <c r="I78" i="1" s="1"/>
  <c r="L12" i="6"/>
  <c r="I79" i="1" s="1"/>
  <c r="L13" i="6"/>
  <c r="I80" i="1" s="1"/>
  <c r="L14" i="6"/>
  <c r="I81" i="1" s="1"/>
  <c r="L15" i="6"/>
  <c r="I82" i="1" s="1"/>
  <c r="L16" i="6"/>
  <c r="I83" i="1" s="1"/>
  <c r="L17" i="6"/>
  <c r="I84" i="1" s="1"/>
  <c r="L3" i="6"/>
  <c r="I70" i="1" s="1"/>
  <c r="I45" i="1"/>
  <c r="H46" i="1"/>
  <c r="I46" i="1"/>
  <c r="I65" i="1"/>
  <c r="I52" i="1"/>
  <c r="I51" i="1"/>
  <c r="H60" i="1"/>
  <c r="H61" i="1"/>
  <c r="H62" i="1"/>
  <c r="H63" i="1"/>
  <c r="H64" i="1"/>
  <c r="H65" i="1"/>
  <c r="H59" i="1"/>
  <c r="H55" i="1"/>
  <c r="H51" i="1"/>
  <c r="H52" i="1"/>
  <c r="H53" i="1"/>
  <c r="H54" i="1"/>
  <c r="H50" i="1"/>
  <c r="M25" i="5"/>
  <c r="M26" i="5"/>
  <c r="M27" i="5"/>
  <c r="M28" i="5"/>
  <c r="M29" i="5"/>
  <c r="M30" i="5"/>
  <c r="M31" i="5"/>
  <c r="M32" i="5"/>
  <c r="M33" i="5"/>
  <c r="M24" i="5"/>
  <c r="I53" i="1"/>
  <c r="M12" i="5"/>
  <c r="I59" i="1" s="1"/>
  <c r="M13" i="5"/>
  <c r="I60" i="1" s="1"/>
  <c r="M14" i="5"/>
  <c r="I61" i="1" s="1"/>
  <c r="M15" i="5"/>
  <c r="I62" i="1" s="1"/>
  <c r="M16" i="5"/>
  <c r="I63" i="1" s="1"/>
  <c r="M17" i="5"/>
  <c r="I64" i="1" s="1"/>
  <c r="M18" i="5"/>
  <c r="M3" i="5"/>
  <c r="I50" i="1" s="1"/>
  <c r="I42" i="1"/>
  <c r="H33" i="1"/>
  <c r="H34" i="1"/>
  <c r="H35" i="1"/>
  <c r="H36" i="1"/>
  <c r="H37" i="1"/>
  <c r="H42" i="1"/>
  <c r="H43" i="1"/>
  <c r="H44" i="1"/>
  <c r="H45" i="1"/>
  <c r="H32" i="1"/>
  <c r="M22" i="4"/>
  <c r="M23" i="4"/>
  <c r="M24" i="4"/>
  <c r="M25" i="4"/>
  <c r="M27" i="4"/>
  <c r="M28" i="4"/>
  <c r="M29" i="4"/>
  <c r="M30" i="4"/>
  <c r="M32" i="4"/>
  <c r="M33" i="4"/>
  <c r="M34" i="4"/>
  <c r="M36" i="4"/>
  <c r="M37" i="4"/>
  <c r="M38" i="4"/>
  <c r="M39" i="4"/>
  <c r="M40" i="4"/>
  <c r="M41" i="4"/>
  <c r="M14" i="4"/>
  <c r="I43" i="1" s="1"/>
  <c r="M15" i="4"/>
  <c r="I44" i="1" s="1"/>
  <c r="M3" i="4"/>
  <c r="I32" i="1" s="1"/>
  <c r="I5" i="1"/>
  <c r="I6" i="1"/>
  <c r="I7" i="1"/>
  <c r="I8" i="1"/>
  <c r="I9" i="1"/>
  <c r="I16" i="1"/>
  <c r="I17" i="1"/>
  <c r="I20" i="1"/>
  <c r="I27" i="1"/>
  <c r="H5" i="1"/>
  <c r="H6" i="1"/>
  <c r="H7" i="1"/>
  <c r="H8" i="1"/>
  <c r="H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M34" i="5" l="1"/>
  <c r="I68" i="1" s="1"/>
  <c r="M42" i="4"/>
  <c r="I48" i="1" s="1"/>
  <c r="L51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 l="1"/>
  <c r="I30" i="1" s="1"/>
  <c r="I157" i="1"/>
  <c r="I156" i="1"/>
  <c r="I155" i="1"/>
  <c r="M12" i="3"/>
  <c r="I13" i="1" s="1"/>
  <c r="M13" i="3"/>
  <c r="M17" i="3"/>
  <c r="I18" i="1" s="1"/>
  <c r="M18" i="3"/>
  <c r="I19" i="1" s="1"/>
  <c r="M20" i="3"/>
  <c r="I21" i="1" s="1"/>
  <c r="M21" i="3"/>
  <c r="I22" i="1" s="1"/>
  <c r="M22" i="3"/>
  <c r="I23" i="1" s="1"/>
  <c r="M23" i="3"/>
  <c r="I24" i="1" s="1"/>
  <c r="M24" i="3"/>
  <c r="I25" i="1" s="1"/>
  <c r="M25" i="3"/>
  <c r="I26" i="1" s="1"/>
  <c r="M27" i="3"/>
  <c r="I28" i="1" s="1"/>
  <c r="M3" i="3"/>
  <c r="I4" i="1" s="1"/>
  <c r="I165" i="1" l="1"/>
  <c r="I14" i="1"/>
  <c r="I161" i="1"/>
  <c r="L17" i="10"/>
  <c r="L17" i="9"/>
  <c r="L13" i="8" l="1"/>
</calcChain>
</file>

<file path=xl/sharedStrings.xml><?xml version="1.0" encoding="utf-8"?>
<sst xmlns="http://schemas.openxmlformats.org/spreadsheetml/2006/main" count="1294" uniqueCount="388">
  <si>
    <t>Remarks</t>
    <phoneticPr fontId="2" type="noConversion"/>
  </si>
  <si>
    <t>RES13001BS0</t>
    <phoneticPr fontId="2" type="noConversion"/>
  </si>
  <si>
    <t>MOP</t>
    <phoneticPr fontId="2" type="noConversion"/>
  </si>
  <si>
    <t>RES40001BS0</t>
    <phoneticPr fontId="2" type="noConversion"/>
  </si>
  <si>
    <t>CTM</t>
    <phoneticPr fontId="2" type="noConversion"/>
  </si>
  <si>
    <t>RES16002BS0</t>
    <phoneticPr fontId="2" type="noConversion"/>
  </si>
  <si>
    <t>PAB</t>
    <phoneticPr fontId="2" type="noConversion"/>
  </si>
  <si>
    <t>RES25003BS0</t>
    <phoneticPr fontId="2" type="noConversion"/>
  </si>
  <si>
    <t>EID</t>
    <phoneticPr fontId="2" type="noConversion"/>
  </si>
  <si>
    <t>RES13002BS0</t>
    <phoneticPr fontId="2" type="noConversion"/>
  </si>
  <si>
    <t>PSR</t>
    <phoneticPr fontId="2" type="noConversion"/>
  </si>
  <si>
    <t>RES24001BS0</t>
    <phoneticPr fontId="2" type="noConversion"/>
  </si>
  <si>
    <t xml:space="preserve"> RES21001BS0</t>
    <phoneticPr fontId="2" type="noConversion"/>
  </si>
  <si>
    <t>EDD</t>
    <phoneticPr fontId="2" type="noConversion"/>
  </si>
  <si>
    <t>ETND</t>
    <phoneticPr fontId="2" type="noConversion"/>
  </si>
  <si>
    <t>Top</t>
    <phoneticPr fontId="2" type="noConversion"/>
  </si>
  <si>
    <t>P/N</t>
    <phoneticPr fontId="2" type="noConversion"/>
  </si>
  <si>
    <t>MSR</t>
    <phoneticPr fontId="2" type="noConversion"/>
  </si>
  <si>
    <t>Down</t>
    <phoneticPr fontId="2" type="noConversion"/>
  </si>
  <si>
    <t>Main Frame</t>
    <phoneticPr fontId="2" type="noConversion"/>
  </si>
  <si>
    <t>Left Cover</t>
    <phoneticPr fontId="2" type="noConversion"/>
  </si>
  <si>
    <t>Right Cover</t>
    <phoneticPr fontId="2" type="noConversion"/>
  </si>
  <si>
    <t>Upper Cover</t>
    <phoneticPr fontId="2" type="noConversion"/>
  </si>
  <si>
    <t>Lower Cover</t>
    <phoneticPr fontId="2" type="noConversion"/>
  </si>
  <si>
    <t>Rear Cover</t>
    <phoneticPr fontId="2" type="noConversion"/>
  </si>
  <si>
    <t>Push Button</t>
    <phoneticPr fontId="2" type="noConversion"/>
  </si>
  <si>
    <t>Microphone</t>
    <phoneticPr fontId="2" type="noConversion"/>
  </si>
  <si>
    <t>LCD</t>
    <phoneticPr fontId="2" type="noConversion"/>
  </si>
  <si>
    <t>LCD Mount Bracket</t>
    <phoneticPr fontId="2" type="noConversion"/>
  </si>
  <si>
    <t>LCD Control Board</t>
    <phoneticPr fontId="2" type="noConversion"/>
  </si>
  <si>
    <t>Main Control Board</t>
    <phoneticPr fontId="2" type="noConversion"/>
  </si>
  <si>
    <t>Power Board</t>
    <phoneticPr fontId="2" type="noConversion"/>
  </si>
  <si>
    <t>3P Connector Male</t>
    <phoneticPr fontId="2" type="noConversion"/>
  </si>
  <si>
    <t>3P Connector Female</t>
    <phoneticPr fontId="2" type="noConversion"/>
  </si>
  <si>
    <t>Locking</t>
    <phoneticPr fontId="2" type="noConversion"/>
  </si>
  <si>
    <t>4P Connector</t>
    <phoneticPr fontId="2" type="noConversion"/>
  </si>
  <si>
    <t>Pin</t>
    <phoneticPr fontId="2" type="noConversion"/>
  </si>
  <si>
    <t>12P Connector</t>
    <phoneticPr fontId="2" type="noConversion"/>
  </si>
  <si>
    <t>Cable Clamp</t>
    <phoneticPr fontId="2" type="noConversion"/>
  </si>
  <si>
    <t>Name Plate, AL, T1</t>
    <phoneticPr fontId="2" type="noConversion"/>
  </si>
  <si>
    <t>단가</t>
    <phoneticPr fontId="2" type="noConversion"/>
  </si>
  <si>
    <t>합계</t>
    <phoneticPr fontId="2" type="noConversion"/>
  </si>
  <si>
    <t>RES14001BS0</t>
    <phoneticPr fontId="2" type="noConversion"/>
  </si>
  <si>
    <t>R1C001384</t>
    <phoneticPr fontId="2" type="noConversion"/>
  </si>
  <si>
    <t>R1C001385</t>
    <phoneticPr fontId="2" type="noConversion"/>
  </si>
  <si>
    <t>R1C001386</t>
    <phoneticPr fontId="2" type="noConversion"/>
  </si>
  <si>
    <t>R1C001387</t>
    <phoneticPr fontId="2" type="noConversion"/>
  </si>
  <si>
    <t>R1B002159</t>
    <phoneticPr fontId="2" type="noConversion"/>
  </si>
  <si>
    <t>R1B002160</t>
    <phoneticPr fontId="2" type="noConversion"/>
  </si>
  <si>
    <t>84-1201.7</t>
    <phoneticPr fontId="2" type="noConversion"/>
  </si>
  <si>
    <t>R1D005930</t>
    <phoneticPr fontId="2" type="noConversion"/>
  </si>
  <si>
    <t>R1C001388</t>
    <phoneticPr fontId="2" type="noConversion"/>
  </si>
  <si>
    <t>R1C001574</t>
    <phoneticPr fontId="2" type="noConversion"/>
  </si>
  <si>
    <t>770-213</t>
    <phoneticPr fontId="2" type="noConversion"/>
  </si>
  <si>
    <t>770-293</t>
    <phoneticPr fontId="2" type="noConversion"/>
  </si>
  <si>
    <t>770-101</t>
    <phoneticPr fontId="2" type="noConversion"/>
  </si>
  <si>
    <t>21 03 882 2405</t>
    <phoneticPr fontId="2" type="noConversion"/>
  </si>
  <si>
    <t>09 67 000 5476</t>
    <phoneticPr fontId="2" type="noConversion"/>
  </si>
  <si>
    <t>UTG11412S</t>
    <phoneticPr fontId="2" type="noConversion"/>
  </si>
  <si>
    <t>RC16M23K</t>
    <phoneticPr fontId="2" type="noConversion"/>
  </si>
  <si>
    <t>UTG14AC</t>
    <phoneticPr fontId="2" type="noConversion"/>
  </si>
  <si>
    <t>R1C001342_6</t>
    <phoneticPr fontId="2" type="noConversion"/>
  </si>
  <si>
    <t>PWR Board</t>
    <phoneticPr fontId="2" type="noConversion"/>
  </si>
  <si>
    <t>R1C001323</t>
    <phoneticPr fontId="2" type="noConversion"/>
  </si>
  <si>
    <t>M_TX Board</t>
    <phoneticPr fontId="2" type="noConversion"/>
  </si>
  <si>
    <t>R1B002190</t>
    <phoneticPr fontId="2" type="noConversion"/>
  </si>
  <si>
    <t>Hub Board</t>
    <phoneticPr fontId="2" type="noConversion"/>
  </si>
  <si>
    <t>R1B002192</t>
    <phoneticPr fontId="2" type="noConversion"/>
  </si>
  <si>
    <t>TCIU Board</t>
    <phoneticPr fontId="2" type="noConversion"/>
  </si>
  <si>
    <t>R1B002187</t>
    <phoneticPr fontId="2" type="noConversion"/>
  </si>
  <si>
    <t>PA_PBX Board</t>
    <phoneticPr fontId="2" type="noConversion"/>
  </si>
  <si>
    <t>R1B002188</t>
    <phoneticPr fontId="2" type="noConversion"/>
  </si>
  <si>
    <t>PA_ETX Board</t>
    <phoneticPr fontId="2" type="noConversion"/>
  </si>
  <si>
    <t>R1B002189</t>
    <phoneticPr fontId="2" type="noConversion"/>
  </si>
  <si>
    <t>NVR Board</t>
    <phoneticPr fontId="2" type="noConversion"/>
  </si>
  <si>
    <t>SSD Board</t>
    <phoneticPr fontId="2" type="noConversion"/>
  </si>
  <si>
    <t>R1B002191</t>
    <phoneticPr fontId="2" type="noConversion"/>
  </si>
  <si>
    <t>MSR Back Plane</t>
    <phoneticPr fontId="2" type="noConversion"/>
  </si>
  <si>
    <t>R1D007456</t>
    <phoneticPr fontId="2" type="noConversion"/>
  </si>
  <si>
    <t>Frame</t>
    <phoneticPr fontId="2" type="noConversion"/>
  </si>
  <si>
    <t>R1B002086</t>
    <phoneticPr fontId="2" type="noConversion"/>
  </si>
  <si>
    <t>R1C001342_4</t>
    <phoneticPr fontId="2" type="noConversion"/>
  </si>
  <si>
    <t>R1B002140</t>
    <phoneticPr fontId="2" type="noConversion"/>
  </si>
  <si>
    <t>R1C001370</t>
    <phoneticPr fontId="2" type="noConversion"/>
  </si>
  <si>
    <t>R1B002142</t>
    <phoneticPr fontId="2" type="noConversion"/>
  </si>
  <si>
    <t>10.4" LCD</t>
    <phoneticPr fontId="2" type="noConversion"/>
  </si>
  <si>
    <t>RES40001002</t>
    <phoneticPr fontId="2" type="noConversion"/>
  </si>
  <si>
    <t>Control Board Bracket</t>
    <phoneticPr fontId="2" type="noConversion"/>
  </si>
  <si>
    <t>R1C001371</t>
    <phoneticPr fontId="2" type="noConversion"/>
  </si>
  <si>
    <t>Control Board</t>
    <phoneticPr fontId="2" type="noConversion"/>
  </si>
  <si>
    <t>R1C001369</t>
    <phoneticPr fontId="2" type="noConversion"/>
  </si>
  <si>
    <t>3P Connector</t>
    <phoneticPr fontId="2" type="noConversion"/>
  </si>
  <si>
    <t>Cable Gland</t>
    <phoneticPr fontId="2" type="noConversion"/>
  </si>
  <si>
    <t>DAM-25</t>
    <phoneticPr fontId="2" type="noConversion"/>
  </si>
  <si>
    <t>USB Adapter</t>
    <phoneticPr fontId="2" type="noConversion"/>
  </si>
  <si>
    <t>Name Plate</t>
    <phoneticPr fontId="2" type="noConversion"/>
  </si>
  <si>
    <t>R1C001342_12</t>
    <phoneticPr fontId="2" type="noConversion"/>
  </si>
  <si>
    <t>Main Frame, STS304, T1.5</t>
    <phoneticPr fontId="2" type="noConversion"/>
  </si>
  <si>
    <t>R1B002078</t>
    <phoneticPr fontId="2" type="noConversion"/>
  </si>
  <si>
    <t>Left Cover, STS304, T1.5</t>
    <phoneticPr fontId="2" type="noConversion"/>
  </si>
  <si>
    <t>R1B002079</t>
    <phoneticPr fontId="2" type="noConversion"/>
  </si>
  <si>
    <t>Right Cover, STS304, T1.5</t>
    <phoneticPr fontId="2" type="noConversion"/>
  </si>
  <si>
    <t>R1B002080</t>
    <phoneticPr fontId="2" type="noConversion"/>
  </si>
  <si>
    <t>Rear Cover, STS304, T1.5</t>
    <phoneticPr fontId="2" type="noConversion"/>
  </si>
  <si>
    <t>R1B002081</t>
    <phoneticPr fontId="2" type="noConversion"/>
  </si>
  <si>
    <t>R1D007400</t>
    <phoneticPr fontId="2" type="noConversion"/>
  </si>
  <si>
    <t>R1D007401</t>
    <phoneticPr fontId="2" type="noConversion"/>
  </si>
  <si>
    <t>3P Connector, N&amp;G coding</t>
    <phoneticPr fontId="2" type="noConversion"/>
  </si>
  <si>
    <t>770-214</t>
    <phoneticPr fontId="2" type="noConversion"/>
  </si>
  <si>
    <t>8P Connector</t>
    <phoneticPr fontId="2" type="noConversion"/>
  </si>
  <si>
    <t>UTG0128S</t>
    <phoneticPr fontId="2" type="noConversion"/>
  </si>
  <si>
    <t>Relay</t>
    <phoneticPr fontId="2" type="noConversion"/>
  </si>
  <si>
    <t>R1C001342_8</t>
    <phoneticPr fontId="2" type="noConversion"/>
  </si>
  <si>
    <t>Main Frame, STS304, T1.2</t>
    <phoneticPr fontId="2" type="noConversion"/>
  </si>
  <si>
    <t>R1B002151</t>
    <phoneticPr fontId="2" type="noConversion"/>
  </si>
  <si>
    <t>Mount Bracket</t>
    <phoneticPr fontId="2" type="noConversion"/>
  </si>
  <si>
    <t>R1B002156</t>
    <phoneticPr fontId="2" type="noConversion"/>
  </si>
  <si>
    <t>LCD Bracket</t>
    <phoneticPr fontId="2" type="noConversion"/>
  </si>
  <si>
    <t>R1B002154</t>
    <phoneticPr fontId="2" type="noConversion"/>
  </si>
  <si>
    <t>LCD Panel, 27”</t>
    <phoneticPr fontId="2" type="noConversion"/>
  </si>
  <si>
    <t>RES25001002</t>
    <phoneticPr fontId="2" type="noConversion"/>
  </si>
  <si>
    <t>Connector Cover</t>
    <phoneticPr fontId="2" type="noConversion"/>
  </si>
  <si>
    <t>R1C001378</t>
    <phoneticPr fontId="2" type="noConversion"/>
  </si>
  <si>
    <t>R1B002210</t>
  </si>
  <si>
    <t>R1D005881</t>
    <phoneticPr fontId="2" type="noConversion"/>
  </si>
  <si>
    <t>4P Connector Female</t>
    <phoneticPr fontId="2" type="noConversion"/>
  </si>
  <si>
    <t>Illumination Sensor</t>
    <phoneticPr fontId="2" type="noConversion"/>
  </si>
  <si>
    <t>APDS-9300</t>
    <phoneticPr fontId="2" type="noConversion"/>
  </si>
  <si>
    <t>Inverter Board</t>
    <phoneticPr fontId="2" type="noConversion"/>
  </si>
  <si>
    <t>R1B002153</t>
    <phoneticPr fontId="2" type="noConversion"/>
  </si>
  <si>
    <t>R1C001342_13</t>
    <phoneticPr fontId="2" type="noConversion"/>
  </si>
  <si>
    <t>R1B002194</t>
    <phoneticPr fontId="2" type="noConversion"/>
  </si>
  <si>
    <t>PA_VOIP Board</t>
    <phoneticPr fontId="2" type="noConversion"/>
  </si>
  <si>
    <t>R1B002197</t>
    <phoneticPr fontId="2" type="noConversion"/>
  </si>
  <si>
    <t>PA_AMP1 Board</t>
    <phoneticPr fontId="2" type="noConversion"/>
  </si>
  <si>
    <t>R1B002195</t>
    <phoneticPr fontId="2" type="noConversion"/>
  </si>
  <si>
    <t>35V PWR Board</t>
    <phoneticPr fontId="2" type="noConversion"/>
  </si>
  <si>
    <t>R1B002198</t>
    <phoneticPr fontId="2" type="noConversion"/>
  </si>
  <si>
    <t>PA_AMP2 Board</t>
    <phoneticPr fontId="2" type="noConversion"/>
  </si>
  <si>
    <t>R1B002196</t>
    <phoneticPr fontId="2" type="noConversion"/>
  </si>
  <si>
    <t>Blank Panel</t>
    <phoneticPr fontId="2" type="noConversion"/>
  </si>
  <si>
    <t>R1D006106</t>
    <phoneticPr fontId="2" type="noConversion"/>
  </si>
  <si>
    <t>12V PWR Board</t>
    <phoneticPr fontId="2" type="noConversion"/>
  </si>
  <si>
    <t>R1B002199</t>
    <phoneticPr fontId="2" type="noConversion"/>
  </si>
  <si>
    <t>PSR Back Plane</t>
    <phoneticPr fontId="2" type="noConversion"/>
  </si>
  <si>
    <t>R1D007457</t>
    <phoneticPr fontId="2" type="noConversion"/>
  </si>
  <si>
    <t>R1C001342_5</t>
    <phoneticPr fontId="2" type="noConversion"/>
  </si>
  <si>
    <t>Main Frame, SPCC</t>
    <phoneticPr fontId="2" type="noConversion"/>
  </si>
  <si>
    <t>R1B002200</t>
    <phoneticPr fontId="2" type="noConversion"/>
  </si>
  <si>
    <t>R1B002158</t>
    <phoneticPr fontId="2" type="noConversion"/>
  </si>
  <si>
    <t>LED Bracket</t>
    <phoneticPr fontId="2" type="noConversion"/>
  </si>
  <si>
    <t>R1B002157</t>
    <phoneticPr fontId="2" type="noConversion"/>
  </si>
  <si>
    <t>LED Module</t>
    <phoneticPr fontId="2" type="noConversion"/>
  </si>
  <si>
    <t>ODTLM-064CA-16B4</t>
    <phoneticPr fontId="2" type="noConversion"/>
  </si>
  <si>
    <t>Power Board Bracket</t>
    <phoneticPr fontId="2" type="noConversion"/>
  </si>
  <si>
    <t>R1C001376</t>
    <phoneticPr fontId="2" type="noConversion"/>
  </si>
  <si>
    <t>R1C001393</t>
  </si>
  <si>
    <t>R1C001373</t>
    <phoneticPr fontId="2" type="noConversion"/>
  </si>
  <si>
    <t>R1C001374</t>
    <phoneticPr fontId="2" type="noConversion"/>
  </si>
  <si>
    <t>R1C001342_9</t>
    <phoneticPr fontId="2" type="noConversion"/>
  </si>
  <si>
    <t>R1B002145</t>
    <phoneticPr fontId="2" type="noConversion"/>
  </si>
  <si>
    <t>R1C001377</t>
    <phoneticPr fontId="2" type="noConversion"/>
  </si>
  <si>
    <t>R1B002144</t>
    <phoneticPr fontId="2" type="noConversion"/>
  </si>
  <si>
    <t>R1C001393</t>
    <phoneticPr fontId="2" type="noConversion"/>
  </si>
  <si>
    <t>R1C001375</t>
    <phoneticPr fontId="2" type="noConversion"/>
  </si>
  <si>
    <t>대당소요량</t>
    <phoneticPr fontId="2" type="noConversion"/>
  </si>
  <si>
    <t>구매수량</t>
    <phoneticPr fontId="2" type="noConversion"/>
  </si>
  <si>
    <t>의뢰일자</t>
    <phoneticPr fontId="2" type="noConversion"/>
  </si>
  <si>
    <t>구매일자</t>
    <phoneticPr fontId="2" type="noConversion"/>
  </si>
  <si>
    <t>담당자 및 연락처</t>
    <phoneticPr fontId="2" type="noConversion"/>
  </si>
  <si>
    <t>김병성 대표</t>
    <phoneticPr fontId="4" type="noConversion"/>
  </si>
  <si>
    <t>신의상 대표</t>
    <phoneticPr fontId="4" type="noConversion"/>
  </si>
  <si>
    <t>최창근 대표</t>
    <phoneticPr fontId="4" type="noConversion"/>
  </si>
  <si>
    <t>R1B002193 Rev.1</t>
    <phoneticPr fontId="2" type="noConversion"/>
  </si>
  <si>
    <t>R1C001372 Rev.1</t>
    <phoneticPr fontId="2" type="noConversion"/>
  </si>
  <si>
    <t>R1C001402 Rev.1</t>
    <phoneticPr fontId="2" type="noConversion"/>
  </si>
  <si>
    <t>공급예정</t>
    <phoneticPr fontId="2" type="noConversion"/>
  </si>
  <si>
    <t>납기일정</t>
    <phoneticPr fontId="2" type="noConversion"/>
  </si>
  <si>
    <t>납품일</t>
    <phoneticPr fontId="2" type="noConversion"/>
  </si>
  <si>
    <t>USK</t>
    <phoneticPr fontId="2" type="noConversion"/>
  </si>
  <si>
    <r>
      <rPr>
        <b/>
        <sz val="12"/>
        <rFont val="맑은 고딕"/>
        <family val="3"/>
        <charset val="129"/>
        <scheme val="minor"/>
      </rPr>
      <t>Item</t>
    </r>
  </si>
  <si>
    <t>세일엔지니어링</t>
    <phoneticPr fontId="2" type="noConversion"/>
  </si>
  <si>
    <t>이지파워</t>
    <phoneticPr fontId="2" type="noConversion"/>
  </si>
  <si>
    <t>수요량 21 EA</t>
    <phoneticPr fontId="2" type="noConversion"/>
  </si>
  <si>
    <t>수요량 41EA</t>
    <phoneticPr fontId="2" type="noConversion"/>
  </si>
  <si>
    <t>수요량 51EA</t>
    <phoneticPr fontId="2" type="noConversion"/>
  </si>
  <si>
    <t>수요량 82 EA</t>
    <phoneticPr fontId="2" type="noConversion"/>
  </si>
  <si>
    <t>이엔엠테크놀로지</t>
    <phoneticPr fontId="2" type="noConversion"/>
  </si>
  <si>
    <t>오디텍</t>
    <phoneticPr fontId="2" type="noConversion"/>
  </si>
  <si>
    <t>수요량 120 EA</t>
    <phoneticPr fontId="2" type="noConversion"/>
  </si>
  <si>
    <t>납품수량</t>
    <phoneticPr fontId="2" type="noConversion"/>
  </si>
  <si>
    <t>10 EA</t>
    <phoneticPr fontId="2" type="noConversion"/>
  </si>
  <si>
    <t>41 SET</t>
    <phoneticPr fontId="2" type="noConversion"/>
  </si>
  <si>
    <t>RES21001BS0</t>
    <phoneticPr fontId="2" type="noConversion"/>
  </si>
  <si>
    <t>판매자</t>
    <phoneticPr fontId="2" type="noConversion"/>
  </si>
  <si>
    <t>Maker</t>
    <phoneticPr fontId="2" type="noConversion"/>
  </si>
  <si>
    <t>KCM-30(55 JACK)</t>
    <phoneticPr fontId="2" type="noConversion"/>
  </si>
  <si>
    <t>SPEAKER</t>
    <phoneticPr fontId="2" type="noConversion"/>
  </si>
  <si>
    <t>-Connector</t>
    <phoneticPr fontId="2" type="noConversion"/>
  </si>
  <si>
    <t>770-713</t>
    <phoneticPr fontId="2" type="noConversion"/>
  </si>
  <si>
    <t>2103 371 2403</t>
    <phoneticPr fontId="2" type="noConversion"/>
  </si>
  <si>
    <t>1-1</t>
    <phoneticPr fontId="2" type="noConversion"/>
  </si>
  <si>
    <t>4-1</t>
    <phoneticPr fontId="2" type="noConversion"/>
  </si>
  <si>
    <t>RC16M23K</t>
  </si>
  <si>
    <t>UTG01412S</t>
    <phoneticPr fontId="2" type="noConversion"/>
  </si>
  <si>
    <t>UTG01619S</t>
    <phoneticPr fontId="2" type="noConversion"/>
  </si>
  <si>
    <t>CLAA104XA02CW / M104ZA-AD00</t>
    <phoneticPr fontId="2" type="noConversion"/>
  </si>
  <si>
    <t>CODING PIN</t>
  </si>
  <si>
    <t>770-401</t>
  </si>
  <si>
    <t>M270HGE(chimei innolux)</t>
    <phoneticPr fontId="2" type="noConversion"/>
  </si>
  <si>
    <t>강화유리</t>
    <phoneticPr fontId="2" type="noConversion"/>
  </si>
  <si>
    <t xml:space="preserve">27Inch Glass </t>
  </si>
  <si>
    <t>HBT-LED02 PCB1.0 12V</t>
    <phoneticPr fontId="2" type="noConversion"/>
  </si>
  <si>
    <t>CONNECTOR</t>
  </si>
  <si>
    <t>5-1</t>
    <phoneticPr fontId="2" type="noConversion"/>
  </si>
  <si>
    <t>7-1</t>
    <phoneticPr fontId="2" type="noConversion"/>
  </si>
  <si>
    <t>PIN</t>
    <phoneticPr fontId="2" type="noConversion"/>
  </si>
  <si>
    <t>SPEAKER SHEET</t>
  </si>
  <si>
    <t>T1</t>
  </si>
  <si>
    <t>SPEAKER RUBBER SHEET</t>
  </si>
  <si>
    <t>t=6</t>
  </si>
  <si>
    <t>RUBBER SHEET</t>
  </si>
  <si>
    <t>CAPTIVE BOLT</t>
  </si>
  <si>
    <t>SW3DPS-52-49-21-4</t>
    <phoneticPr fontId="4" type="noConversion"/>
  </si>
  <si>
    <t>84-7111.200</t>
    <phoneticPr fontId="4" type="noConversion"/>
  </si>
  <si>
    <t>35155-0300</t>
  </si>
  <si>
    <t>35155-0400</t>
  </si>
  <si>
    <t>35155-0500</t>
  </si>
  <si>
    <t>35155-0600</t>
  </si>
  <si>
    <t>35155-0800</t>
  </si>
  <si>
    <t>35155-0900</t>
  </si>
  <si>
    <t>35155-1000</t>
  </si>
  <si>
    <t>35155-1200</t>
  </si>
  <si>
    <t>TERMINAL</t>
  </si>
  <si>
    <t>5103, AWG22-28</t>
  </si>
  <si>
    <t>YH396-05V</t>
  </si>
  <si>
    <t>YT396J</t>
  </si>
  <si>
    <t>HARDNESS 50,T6</t>
    <phoneticPr fontId="2" type="noConversion"/>
  </si>
  <si>
    <t>HOUSING</t>
  </si>
  <si>
    <t>5159, AWG22-28</t>
  </si>
  <si>
    <t>내부 배선도</t>
    <phoneticPr fontId="2" type="noConversion"/>
  </si>
  <si>
    <t>35155-0400</t>
    <phoneticPr fontId="2" type="noConversion"/>
  </si>
  <si>
    <t>CTM WIRRING DIAGRAM</t>
  </si>
  <si>
    <t>SMH200-08</t>
    <phoneticPr fontId="4" type="noConversion"/>
  </si>
  <si>
    <t>5556, AWG18-24</t>
  </si>
  <si>
    <t>TERMINAL</t>
    <phoneticPr fontId="4" type="noConversion"/>
  </si>
  <si>
    <t>CONNECTOR</t>
    <phoneticPr fontId="4" type="noConversion"/>
  </si>
  <si>
    <t>0039012025/MOLEX</t>
    <phoneticPr fontId="4" type="noConversion"/>
  </si>
  <si>
    <t>5556, 18-24 AWG/MOLEX</t>
    <phoneticPr fontId="4" type="noConversion"/>
  </si>
  <si>
    <t>YH396-08V</t>
    <phoneticPr fontId="4" type="noConversion"/>
  </si>
  <si>
    <t>YT396/YEONHO ELEC.</t>
    <phoneticPr fontId="4" type="noConversion"/>
  </si>
  <si>
    <t>YH396-05V</t>
    <phoneticPr fontId="4" type="noConversion"/>
  </si>
  <si>
    <t>5264-02/MOLEX</t>
    <phoneticPr fontId="4" type="noConversion"/>
  </si>
  <si>
    <t>5263PBT9/MOLEX</t>
    <phoneticPr fontId="4" type="noConversion"/>
  </si>
  <si>
    <t>YST200 ( 확인 필요)</t>
    <phoneticPr fontId="4" type="noConversion"/>
  </si>
  <si>
    <t>MOLEX</t>
  </si>
  <si>
    <t>35155-0200</t>
  </si>
  <si>
    <t>YEONHO ELEC</t>
  </si>
  <si>
    <t>0039012045</t>
  </si>
  <si>
    <t>00220011052</t>
  </si>
  <si>
    <t>DATA CABLE</t>
  </si>
  <si>
    <t>티렉스아이엔씨</t>
    <phoneticPr fontId="2" type="noConversion"/>
  </si>
  <si>
    <t>아이닉스</t>
    <phoneticPr fontId="2" type="noConversion"/>
  </si>
  <si>
    <t>WAGO</t>
    <phoneticPr fontId="2" type="noConversion"/>
  </si>
  <si>
    <t>HARTING</t>
    <phoneticPr fontId="2" type="noConversion"/>
  </si>
  <si>
    <t>CPT</t>
    <phoneticPr fontId="2" type="noConversion"/>
  </si>
  <si>
    <t>BUSYS</t>
    <phoneticPr fontId="2" type="noConversion"/>
  </si>
  <si>
    <t>금산엠엔이</t>
    <phoneticPr fontId="2" type="noConversion"/>
  </si>
  <si>
    <t>MORS SMITT</t>
    <phoneticPr fontId="2" type="noConversion"/>
  </si>
  <si>
    <t>SOURIAU</t>
    <phoneticPr fontId="2" type="noConversion"/>
  </si>
  <si>
    <t>EAO</t>
    <phoneticPr fontId="2" type="noConversion"/>
  </si>
  <si>
    <t>REAN</t>
    <phoneticPr fontId="2" type="noConversion"/>
  </si>
  <si>
    <t>Shenzhen</t>
    <phoneticPr fontId="2" type="noConversion"/>
  </si>
  <si>
    <t>앤츠</t>
    <phoneticPr fontId="2" type="noConversion"/>
  </si>
  <si>
    <t>DONGA</t>
    <phoneticPr fontId="2" type="noConversion"/>
  </si>
  <si>
    <t>L-COM</t>
    <phoneticPr fontId="2" type="noConversion"/>
  </si>
  <si>
    <t xml:space="preserve"> 세일엔지니어링</t>
    <phoneticPr fontId="2" type="noConversion"/>
  </si>
  <si>
    <t>CHIMEI INNOLUX</t>
    <phoneticPr fontId="2" type="noConversion"/>
  </si>
  <si>
    <t>60EA</t>
    <phoneticPr fontId="2" type="noConversion"/>
  </si>
  <si>
    <t>51EA</t>
    <phoneticPr fontId="2" type="noConversion"/>
  </si>
  <si>
    <t>41EA</t>
    <phoneticPr fontId="2" type="noConversion"/>
  </si>
  <si>
    <t>21EA</t>
    <phoneticPr fontId="2" type="noConversion"/>
  </si>
  <si>
    <t>25EA</t>
    <phoneticPr fontId="2" type="noConversion"/>
  </si>
  <si>
    <t>55EA</t>
    <phoneticPr fontId="2" type="noConversion"/>
  </si>
  <si>
    <t>수요량 41 EA</t>
    <phoneticPr fontId="2" type="noConversion"/>
  </si>
  <si>
    <t>부자재</t>
    <phoneticPr fontId="2" type="noConversion"/>
  </si>
  <si>
    <r>
      <rPr>
        <sz val="12"/>
        <color rgb="FF000000"/>
        <rFont val="Batang"/>
        <family val="1"/>
        <charset val="129"/>
      </rPr>
      <t>내부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Batang"/>
        <family val="1"/>
        <charset val="129"/>
      </rPr>
      <t>하네스 자재</t>
    </r>
    <phoneticPr fontId="2" type="noConversion"/>
  </si>
  <si>
    <t>100G0111-1.0-0</t>
    <phoneticPr fontId="2" type="noConversion"/>
  </si>
  <si>
    <t>이송이엠씨</t>
    <phoneticPr fontId="2" type="noConversion"/>
  </si>
  <si>
    <t>화인테크</t>
    <phoneticPr fontId="2" type="noConversion"/>
  </si>
  <si>
    <t>RAYCHEM</t>
    <phoneticPr fontId="2" type="noConversion"/>
  </si>
  <si>
    <t>2-1</t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</si>
  <si>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(M)/800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</si>
  <si>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/2500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</si>
  <si>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/500</t>
    </r>
    <phoneticPr fontId="2" type="noConversion"/>
  </si>
  <si>
    <t>CONGA</t>
    <phoneticPr fontId="2" type="noConversion"/>
  </si>
  <si>
    <t>1-2</t>
  </si>
  <si>
    <t>1-2</t>
    <phoneticPr fontId="2" type="noConversion"/>
  </si>
  <si>
    <t>1-3</t>
  </si>
  <si>
    <t>1-3</t>
    <phoneticPr fontId="2" type="noConversion"/>
  </si>
  <si>
    <t>1-4</t>
    <phoneticPr fontId="2" type="noConversion"/>
  </si>
  <si>
    <t>2-2</t>
    <phoneticPr fontId="2" type="noConversion"/>
  </si>
  <si>
    <t>2-3</t>
    <phoneticPr fontId="2" type="noConversion"/>
  </si>
  <si>
    <t>2-4</t>
    <phoneticPr fontId="2" type="noConversion"/>
  </si>
  <si>
    <t>3-1</t>
    <phoneticPr fontId="2" type="noConversion"/>
  </si>
  <si>
    <t>3-3</t>
    <phoneticPr fontId="2" type="noConversion"/>
  </si>
  <si>
    <t>3-4</t>
    <phoneticPr fontId="2" type="noConversion"/>
  </si>
  <si>
    <t>4-2</t>
  </si>
  <si>
    <t>4-3</t>
  </si>
  <si>
    <t>4-4</t>
  </si>
  <si>
    <t>4-5</t>
  </si>
  <si>
    <t>4-6</t>
  </si>
  <si>
    <t>2-1(내부 하네스)</t>
    <phoneticPr fontId="2" type="noConversion"/>
  </si>
  <si>
    <t>5103, AWG22-28</t>
    <phoneticPr fontId="2" type="noConversion"/>
  </si>
  <si>
    <t>MICRO SPEAKER</t>
    <phoneticPr fontId="2" type="noConversion"/>
  </si>
  <si>
    <t>PMB4070N-0240 / 8 Ω 5W</t>
    <phoneticPr fontId="2" type="noConversion"/>
  </si>
  <si>
    <t>-</t>
  </si>
  <si>
    <t>-</t>
    <phoneticPr fontId="2" type="noConversion"/>
  </si>
  <si>
    <t>이노디스크</t>
    <phoneticPr fontId="2" type="noConversion"/>
  </si>
  <si>
    <t>SSD(2T)</t>
    <phoneticPr fontId="2" type="noConversion"/>
  </si>
  <si>
    <t>DDR4
(DDR3L 4GB SODIMM 1600MT/S)</t>
  </si>
  <si>
    <t>수요량 51EA</t>
  </si>
  <si>
    <t xml:space="preserve">CPU TCA3/i-E3845 </t>
    <phoneticPr fontId="2" type="noConversion"/>
  </si>
  <si>
    <t xml:space="preserve">CPU BRACKET TCA3/CSP-B </t>
    <phoneticPr fontId="2" type="noConversion"/>
  </si>
  <si>
    <t>CPU
TC170/i5-6300U</t>
    <phoneticPr fontId="2" type="noConversion"/>
  </si>
  <si>
    <t>CPU BRACKET 
TC170/CSP-B</t>
    <phoneticPr fontId="2" type="noConversion"/>
  </si>
  <si>
    <t>DDR4
(DDR4 4GB SODIMM 2400MT/S)</t>
    <phoneticPr fontId="2" type="noConversion"/>
  </si>
  <si>
    <t>수량 확인</t>
    <phoneticPr fontId="2" type="noConversion"/>
  </si>
  <si>
    <t>MOQ</t>
    <phoneticPr fontId="2" type="noConversion"/>
  </si>
  <si>
    <t/>
  </si>
  <si>
    <t>LCD 보호 스폰지 폼</t>
    <phoneticPr fontId="2" type="noConversion"/>
  </si>
  <si>
    <t>권영만이사</t>
    <phoneticPr fontId="2" type="noConversion"/>
  </si>
  <si>
    <t>위트솔루션즈</t>
    <phoneticPr fontId="2" type="noConversion"/>
  </si>
  <si>
    <t>BEUPSYS 정산</t>
    <phoneticPr fontId="2" type="noConversion"/>
  </si>
  <si>
    <t>CONNECTOR</t>
    <phoneticPr fontId="2" type="noConversion"/>
  </si>
  <si>
    <t>TERMINAL</t>
    <phoneticPr fontId="2" type="noConversion"/>
  </si>
  <si>
    <t>YH396-05V</t>
    <phoneticPr fontId="2" type="noConversion"/>
  </si>
  <si>
    <t>YT396J</t>
    <phoneticPr fontId="2" type="noConversion"/>
  </si>
  <si>
    <t>5556, AWG18-24</t>
    <phoneticPr fontId="2" type="noConversion"/>
  </si>
  <si>
    <t>6-1</t>
    <phoneticPr fontId="2" type="noConversion"/>
  </si>
  <si>
    <t>5-2</t>
  </si>
  <si>
    <t>5-3</t>
  </si>
  <si>
    <t>0039012025</t>
    <phoneticPr fontId="2" type="noConversion"/>
  </si>
  <si>
    <t>YH396-08V</t>
    <phoneticPr fontId="2" type="noConversion"/>
  </si>
  <si>
    <t>35155-0200</t>
    <phoneticPr fontId="2" type="noConversion"/>
  </si>
  <si>
    <t>WIRE</t>
    <phoneticPr fontId="2" type="noConversion"/>
  </si>
  <si>
    <t>100G0111-0.5-0</t>
    <phoneticPr fontId="2" type="noConversion"/>
  </si>
  <si>
    <t>5051-02</t>
    <phoneticPr fontId="2" type="noConversion"/>
  </si>
  <si>
    <t>5159, AWG22-28</t>
    <phoneticPr fontId="2" type="noConversion"/>
  </si>
  <si>
    <t>EMC 가스켓</t>
    <phoneticPr fontId="2" type="noConversion"/>
  </si>
  <si>
    <t>8-1</t>
    <phoneticPr fontId="2" type="noConversion"/>
  </si>
  <si>
    <t>망사튜브(난연)</t>
    <phoneticPr fontId="2" type="noConversion"/>
  </si>
  <si>
    <t>4x22AWG XM S RW E</t>
    <phoneticPr fontId="2" type="noConversion"/>
  </si>
  <si>
    <t xml:space="preserve">HUBER+SUHNER  </t>
    <phoneticPr fontId="2" type="noConversion"/>
  </si>
  <si>
    <t>SE38PFR-MR0</t>
    <phoneticPr fontId="2" type="noConversion"/>
  </si>
  <si>
    <t>45EA</t>
    <phoneticPr fontId="2" type="noConversion"/>
  </si>
  <si>
    <t>추가 진행 필요</t>
    <phoneticPr fontId="2" type="noConversion"/>
  </si>
  <si>
    <t>티렉스아이앤씨</t>
    <phoneticPr fontId="2" type="noConversion"/>
  </si>
  <si>
    <t>에센</t>
    <phoneticPr fontId="2" type="noConversion"/>
  </si>
  <si>
    <t>ASSY, L=300mm</t>
    <phoneticPr fontId="2" type="noConversion"/>
  </si>
  <si>
    <t>Panduit</t>
  </si>
  <si>
    <t>BEUPSYS 정산
(EIDS)</t>
    <phoneticPr fontId="2" type="noConversion"/>
  </si>
  <si>
    <t>BEUPSYS</t>
  </si>
  <si>
    <t>BEUPSYS</t>
    <phoneticPr fontId="2" type="noConversion"/>
  </si>
  <si>
    <t>Maker</t>
  </si>
  <si>
    <r>
      <rPr>
        <b/>
        <sz val="12"/>
        <rFont val="맑은 고딕"/>
        <family val="2"/>
        <charset val="129"/>
        <scheme val="minor"/>
      </rPr>
      <t>Item</t>
    </r>
  </si>
  <si>
    <t>"HL035T002T-02(단종)
HL035T11-01 + RTC"</t>
    <phoneticPr fontId="2" type="noConversion"/>
  </si>
  <si>
    <t>1-1
(내부 하네스)</t>
    <phoneticPr fontId="2" type="noConversion"/>
  </si>
  <si>
    <t>통신 컨넥터 4EA</t>
    <phoneticPr fontId="2" type="noConversion"/>
  </si>
  <si>
    <r>
      <rPr>
        <strike/>
        <sz val="12"/>
        <rFont val="맑은 고딕"/>
        <family val="2"/>
        <charset val="129"/>
        <scheme val="minor"/>
      </rPr>
      <t>FS 4CO RL</t>
    </r>
    <r>
      <rPr>
        <sz val="12"/>
        <rFont val="맑은 고딕"/>
        <family val="2"/>
        <charset val="129"/>
        <scheme val="minor"/>
      </rPr>
      <t xml:space="preserve">
(D-204N-Lr/V23)</t>
    </r>
    <phoneticPr fontId="2" type="noConversion"/>
  </si>
  <si>
    <t>BEUPSYS 정산
(MOP)</t>
    <phoneticPr fontId="2" type="noConversion"/>
  </si>
  <si>
    <t>SM-W18B /
SF050020R-C-NB-A</t>
    <phoneticPr fontId="2" type="noConversion"/>
  </si>
  <si>
    <t>개발비</t>
    <phoneticPr fontId="2" type="noConversion"/>
  </si>
  <si>
    <t>NVR/CTN/MOP-LCD</t>
    <phoneticPr fontId="2" type="noConversion"/>
  </si>
  <si>
    <t>2024.6.</t>
    <phoneticPr fontId="2" type="noConversion"/>
  </si>
  <si>
    <t>총 필요 수량</t>
    <phoneticPr fontId="2" type="noConversion"/>
  </si>
  <si>
    <t>84-8511.2320</t>
    <phoneticPr fontId="2" type="noConversion"/>
  </si>
  <si>
    <t>5557-12R</t>
    <phoneticPr fontId="2" type="noConversion"/>
  </si>
  <si>
    <t>5557-04R</t>
    <phoneticPr fontId="2" type="noConversion"/>
  </si>
  <si>
    <t>제작수량</t>
    <phoneticPr fontId="2" type="noConversion"/>
  </si>
  <si>
    <t>ECF504-12AAS (600mm)</t>
    <phoneticPr fontId="2" type="noConversion"/>
  </si>
  <si>
    <t>PMB4070N-0240 /8Ω /5W</t>
    <phoneticPr fontId="2" type="noConversion"/>
  </si>
  <si>
    <t>5103-PBT9, AWG22-28</t>
    <phoneticPr fontId="2" type="noConversion"/>
  </si>
  <si>
    <t>DAM-20</t>
    <phoneticPr fontId="2" type="noConversion"/>
  </si>
  <si>
    <t>55 JACK</t>
    <phoneticPr fontId="2" type="noConversion"/>
  </si>
  <si>
    <t>292S 55 Stereo Phone Plug</t>
    <phoneticPr fontId="2" type="noConversion"/>
  </si>
  <si>
    <t>추가발주</t>
    <phoneticPr fontId="2" type="noConversion"/>
  </si>
  <si>
    <t>35155-0800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</si>
</sst>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_);[Red]\(&quot;₩&quot;#,##0\)"/>
    <numFmt numFmtId="177" formatCode="&quot;₩&quot;#,##0.00_);[Red]\(&quot;₩&quot;#,##0.00\)"/>
    <numFmt numFmtId="178" formatCode="###0;###0"/>
    <numFmt numFmtId="179" formatCode="&quot;₩&quot;#,##0"/>
    <numFmt numFmtId="180" formatCode="&quot;US$&quot;#,##0.00"/>
    <numFmt numFmtId="181" formatCode="m&quot;월&quot;\ d&quot;일&quot;"/>
  </numFmts>
  <fonts count="32">
    <font>
      <sz val="10"/>
      <color rgb="FF000000"/>
      <name val="Times New Roman"/>
      <charset val="204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Batang"/>
      <family val="1"/>
      <charset val="129"/>
    </font>
    <font>
      <sz val="12"/>
      <color rgb="FF000000"/>
      <name val="맑은 고딕"/>
      <family val="2"/>
      <charset val="129"/>
    </font>
    <font>
      <sz val="12"/>
      <name val="Malgun Gothic"/>
      <family val="34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Times New Roman"/>
      <family val="1"/>
      <charset val="129"/>
    </font>
    <font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sz val="12"/>
      <color rgb="FF000000"/>
      <name val="Malgun Gothic"/>
      <family val="2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</font>
    <font>
      <sz val="12"/>
      <color rgb="FFFF0000"/>
      <name val="맑은 고딕 (본문)"/>
      <family val="3"/>
      <charset val="129"/>
    </font>
    <font>
      <sz val="14"/>
      <color rgb="FF000000"/>
      <name val="Malgun Gothic"/>
      <family val="2"/>
      <charset val="129"/>
    </font>
    <font>
      <b/>
      <sz val="12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trike/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BatangChe"/>
      <family val="1"/>
      <charset val="129"/>
    </font>
    <font>
      <sz val="12"/>
      <color rgb="FF9C0006"/>
      <name val="맑은 고딕"/>
      <family val="2"/>
      <charset val="129"/>
      <scheme val="minor"/>
    </font>
    <font>
      <strike/>
      <sz val="12"/>
      <color rgb="FF9C0006"/>
      <name val="맑은 고딕"/>
      <family val="2"/>
      <charset val="129"/>
      <scheme val="minor"/>
    </font>
    <font>
      <strike/>
      <sz val="12"/>
      <color rgb="FF00000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9" fillId="13" borderId="0" applyNumberFormat="0" applyBorder="0" applyAlignment="0" applyProtection="0">
      <alignment vertical="center"/>
    </xf>
  </cellStyleXfs>
  <cellXfs count="302"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9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7" fillId="2" borderId="25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left" vertical="top" wrapText="1"/>
    </xf>
    <xf numFmtId="179" fontId="3" fillId="2" borderId="0" xfId="0" applyNumberFormat="1" applyFont="1" applyFill="1" applyAlignment="1">
      <alignment horizontal="center" vertical="center"/>
    </xf>
    <xf numFmtId="179" fontId="7" fillId="2" borderId="10" xfId="0" applyNumberFormat="1" applyFont="1" applyFill="1" applyBorder="1" applyAlignment="1">
      <alignment horizontal="left" vertical="center" wrapText="1"/>
    </xf>
    <xf numFmtId="179" fontId="7" fillId="2" borderId="11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179" fontId="17" fillId="4" borderId="10" xfId="0" applyNumberFormat="1" applyFont="1" applyFill="1" applyBorder="1" applyAlignment="1">
      <alignment horizontal="left" vertical="center" wrapText="1"/>
    </xf>
    <xf numFmtId="179" fontId="7" fillId="12" borderId="1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top"/>
    </xf>
    <xf numFmtId="0" fontId="24" fillId="2" borderId="8" xfId="0" applyFont="1" applyFill="1" applyBorder="1" applyAlignment="1">
      <alignment horizontal="left" vertical="center" wrapText="1"/>
    </xf>
    <xf numFmtId="0" fontId="24" fillId="2" borderId="10" xfId="0" applyFont="1" applyFill="1" applyBorder="1" applyAlignment="1">
      <alignment horizontal="left" vertical="center" wrapText="1"/>
    </xf>
    <xf numFmtId="0" fontId="23" fillId="2" borderId="17" xfId="0" applyFont="1" applyFill="1" applyBorder="1" applyAlignment="1">
      <alignment horizontal="left" vertical="center" wrapText="1"/>
    </xf>
    <xf numFmtId="179" fontId="23" fillId="2" borderId="10" xfId="0" applyNumberFormat="1" applyFont="1" applyFill="1" applyBorder="1" applyAlignment="1">
      <alignment horizontal="left" vertical="center" wrapText="1"/>
    </xf>
    <xf numFmtId="179" fontId="23" fillId="2" borderId="1" xfId="0" applyNumberFormat="1" applyFont="1" applyFill="1" applyBorder="1" applyAlignment="1">
      <alignment horizontal="left" vertical="center" wrapText="1"/>
    </xf>
    <xf numFmtId="179" fontId="23" fillId="2" borderId="11" xfId="0" applyNumberFormat="1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/>
    </xf>
    <xf numFmtId="179" fontId="23" fillId="0" borderId="18" xfId="0" applyNumberFormat="1" applyFont="1" applyBorder="1" applyAlignment="1">
      <alignment horizontal="left" vertical="center" wrapText="1"/>
    </xf>
    <xf numFmtId="179" fontId="23" fillId="2" borderId="0" xfId="0" applyNumberFormat="1" applyFont="1" applyFill="1" applyAlignment="1">
      <alignment horizontal="left" vertical="top"/>
    </xf>
    <xf numFmtId="179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1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179" fontId="23" fillId="2" borderId="13" xfId="0" applyNumberFormat="1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179" fontId="12" fillId="4" borderId="18" xfId="0" applyNumberFormat="1" applyFont="1" applyFill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/>
    </xf>
    <xf numFmtId="181" fontId="24" fillId="0" borderId="18" xfId="0" quotePrefix="1" applyNumberFormat="1" applyFont="1" applyBorder="1" applyAlignment="1">
      <alignment horizontal="left" vertical="center"/>
    </xf>
    <xf numFmtId="0" fontId="24" fillId="0" borderId="18" xfId="0" quotePrefix="1" applyFont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top" wrapText="1"/>
    </xf>
    <xf numFmtId="0" fontId="24" fillId="2" borderId="13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2" borderId="24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left" vertical="center" wrapText="1"/>
    </xf>
    <xf numFmtId="0" fontId="23" fillId="6" borderId="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/>
    </xf>
    <xf numFmtId="0" fontId="23" fillId="2" borderId="35" xfId="0" applyFont="1" applyFill="1" applyBorder="1" applyAlignment="1">
      <alignment horizontal="left" vertical="center"/>
    </xf>
    <xf numFmtId="0" fontId="23" fillId="4" borderId="35" xfId="0" applyFont="1" applyFill="1" applyBorder="1" applyAlignment="1">
      <alignment horizontal="left" vertical="center"/>
    </xf>
    <xf numFmtId="0" fontId="12" fillId="4" borderId="35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4" fillId="9" borderId="8" xfId="0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178" fontId="23" fillId="2" borderId="7" xfId="0" applyNumberFormat="1" applyFont="1" applyFill="1" applyBorder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/>
    </xf>
    <xf numFmtId="0" fontId="23" fillId="7" borderId="10" xfId="0" applyFont="1" applyFill="1" applyBorder="1" applyAlignment="1">
      <alignment horizontal="left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23" fillId="2" borderId="24" xfId="0" applyFont="1" applyFill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1" fillId="2" borderId="30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/>
    </xf>
    <xf numFmtId="0" fontId="23" fillId="5" borderId="11" xfId="0" applyFont="1" applyFill="1" applyBorder="1" applyAlignment="1">
      <alignment horizontal="left" vertical="center"/>
    </xf>
    <xf numFmtId="180" fontId="23" fillId="5" borderId="11" xfId="0" applyNumberFormat="1" applyFont="1" applyFill="1" applyBorder="1" applyAlignment="1">
      <alignment horizontal="left" vertical="center" wrapText="1"/>
    </xf>
    <xf numFmtId="0" fontId="23" fillId="5" borderId="11" xfId="0" applyFont="1" applyFill="1" applyBorder="1" applyAlignment="1">
      <alignment horizontal="left" vertical="center" wrapText="1"/>
    </xf>
    <xf numFmtId="179" fontId="12" fillId="4" borderId="11" xfId="0" applyNumberFormat="1" applyFont="1" applyFill="1" applyBorder="1" applyAlignment="1">
      <alignment horizontal="left" vertical="center" wrapText="1"/>
    </xf>
    <xf numFmtId="178" fontId="23" fillId="2" borderId="3" xfId="0" applyNumberFormat="1" applyFont="1" applyFill="1" applyBorder="1" applyAlignment="1">
      <alignment horizontal="left" vertical="center" wrapText="1"/>
    </xf>
    <xf numFmtId="0" fontId="12" fillId="11" borderId="10" xfId="0" applyFont="1" applyFill="1" applyBorder="1" applyAlignment="1">
      <alignment horizontal="left" vertical="center" wrapText="1"/>
    </xf>
    <xf numFmtId="0" fontId="1" fillId="0" borderId="18" xfId="1" applyBorder="1" applyAlignment="1" applyProtection="1">
      <alignment horizontal="left" vertical="center" wrapText="1"/>
      <protection locked="0"/>
    </xf>
    <xf numFmtId="178" fontId="23" fillId="2" borderId="12" xfId="0" applyNumberFormat="1" applyFont="1" applyFill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/>
    </xf>
    <xf numFmtId="178" fontId="23" fillId="2" borderId="18" xfId="0" applyNumberFormat="1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3" fillId="2" borderId="18" xfId="0" quotePrefix="1" applyFont="1" applyFill="1" applyBorder="1" applyAlignment="1">
      <alignment horizontal="left" vertical="center"/>
    </xf>
    <xf numFmtId="0" fontId="1" fillId="0" borderId="18" xfId="1" applyBorder="1" applyAlignment="1" applyProtection="1">
      <alignment horizontal="left" vertical="center"/>
      <protection locked="0"/>
    </xf>
    <xf numFmtId="0" fontId="1" fillId="0" borderId="20" xfId="0" applyFont="1" applyBorder="1" applyAlignment="1">
      <alignment horizontal="left" vertical="center"/>
    </xf>
    <xf numFmtId="179" fontId="23" fillId="7" borderId="1" xfId="0" applyNumberFormat="1" applyFont="1" applyFill="1" applyBorder="1" applyAlignment="1">
      <alignment horizontal="left" vertical="center" wrapText="1"/>
    </xf>
    <xf numFmtId="179" fontId="23" fillId="7" borderId="8" xfId="0" applyNumberFormat="1" applyFont="1" applyFill="1" applyBorder="1" applyAlignment="1">
      <alignment horizontal="left" vertical="center" wrapText="1"/>
    </xf>
    <xf numFmtId="179" fontId="23" fillId="0" borderId="11" xfId="0" applyNumberFormat="1" applyFont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176" fontId="1" fillId="3" borderId="27" xfId="0" applyNumberFormat="1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 wrapText="1"/>
    </xf>
    <xf numFmtId="178" fontId="23" fillId="2" borderId="29" xfId="0" applyNumberFormat="1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center"/>
    </xf>
    <xf numFmtId="179" fontId="23" fillId="5" borderId="11" xfId="0" applyNumberFormat="1" applyFont="1" applyFill="1" applyBorder="1" applyAlignment="1">
      <alignment horizontal="left" vertical="center" wrapText="1"/>
    </xf>
    <xf numFmtId="0" fontId="24" fillId="2" borderId="14" xfId="0" applyFont="1" applyFill="1" applyBorder="1" applyAlignment="1">
      <alignment horizontal="left" vertical="center" wrapText="1"/>
    </xf>
    <xf numFmtId="179" fontId="23" fillId="2" borderId="18" xfId="0" applyNumberFormat="1" applyFont="1" applyFill="1" applyBorder="1" applyAlignment="1">
      <alignment horizontal="left" vertical="center" wrapText="1"/>
    </xf>
    <xf numFmtId="178" fontId="23" fillId="2" borderId="5" xfId="0" applyNumberFormat="1" applyFont="1" applyFill="1" applyBorder="1" applyAlignment="1">
      <alignment horizontal="left" vertical="center" wrapText="1"/>
    </xf>
    <xf numFmtId="0" fontId="23" fillId="2" borderId="22" xfId="0" applyFont="1" applyFill="1" applyBorder="1" applyAlignment="1">
      <alignment horizontal="left" vertical="center" wrapText="1"/>
    </xf>
    <xf numFmtId="179" fontId="23" fillId="2" borderId="14" xfId="0" applyNumberFormat="1" applyFont="1" applyFill="1" applyBorder="1" applyAlignment="1">
      <alignment horizontal="left" vertical="center" wrapText="1"/>
    </xf>
    <xf numFmtId="0" fontId="23" fillId="2" borderId="21" xfId="0" applyFont="1" applyFill="1" applyBorder="1" applyAlignment="1">
      <alignment horizontal="left" vertical="center" wrapText="1"/>
    </xf>
    <xf numFmtId="176" fontId="1" fillId="3" borderId="18" xfId="0" applyNumberFormat="1" applyFont="1" applyFill="1" applyBorder="1" applyAlignment="1">
      <alignment horizontal="left" vertical="center"/>
    </xf>
    <xf numFmtId="177" fontId="23" fillId="2" borderId="0" xfId="0" applyNumberFormat="1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179" fontId="7" fillId="10" borderId="10" xfId="0" applyNumberFormat="1" applyFont="1" applyFill="1" applyBorder="1" applyAlignment="1">
      <alignment horizontal="left" vertical="center" wrapText="1"/>
    </xf>
    <xf numFmtId="14" fontId="10" fillId="9" borderId="11" xfId="0" applyNumberFormat="1" applyFont="1" applyFill="1" applyBorder="1" applyAlignment="1">
      <alignment horizontal="left" vertical="center" wrapText="1"/>
    </xf>
    <xf numFmtId="0" fontId="7" fillId="10" borderId="11" xfId="0" applyFont="1" applyFill="1" applyBorder="1" applyAlignment="1">
      <alignment horizontal="left" vertical="center" wrapText="1"/>
    </xf>
    <xf numFmtId="14" fontId="7" fillId="2" borderId="10" xfId="0" applyNumberFormat="1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179" fontId="19" fillId="4" borderId="10" xfId="0" applyNumberFormat="1" applyFont="1" applyFill="1" applyBorder="1" applyAlignment="1">
      <alignment horizontal="left" vertical="center" wrapText="1"/>
    </xf>
    <xf numFmtId="14" fontId="19" fillId="4" borderId="11" xfId="0" applyNumberFormat="1" applyFont="1" applyFill="1" applyBorder="1" applyAlignment="1">
      <alignment horizontal="left" vertical="center" wrapText="1"/>
    </xf>
    <xf numFmtId="0" fontId="19" fillId="4" borderId="11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79" fontId="7" fillId="0" borderId="10" xfId="0" applyNumberFormat="1" applyFont="1" applyBorder="1" applyAlignment="1">
      <alignment horizontal="left" vertical="center" wrapText="1"/>
    </xf>
    <xf numFmtId="14" fontId="18" fillId="4" borderId="11" xfId="0" applyNumberFormat="1" applyFont="1" applyFill="1" applyBorder="1" applyAlignment="1">
      <alignment horizontal="left" vertical="center" wrapText="1"/>
    </xf>
    <xf numFmtId="0" fontId="17" fillId="4" borderId="11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179" fontId="7" fillId="5" borderId="10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/>
    </xf>
    <xf numFmtId="180" fontId="7" fillId="5" borderId="1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79" fontId="7" fillId="5" borderId="11" xfId="0" applyNumberFormat="1" applyFont="1" applyFill="1" applyBorder="1" applyAlignment="1">
      <alignment horizontal="left" vertical="center" wrapText="1"/>
    </xf>
    <xf numFmtId="14" fontId="7" fillId="5" borderId="11" xfId="0" applyNumberFormat="1" applyFont="1" applyFill="1" applyBorder="1" applyAlignment="1">
      <alignment horizontal="left" vertical="center" wrapText="1"/>
    </xf>
    <xf numFmtId="14" fontId="12" fillId="4" borderId="11" xfId="0" applyNumberFormat="1" applyFont="1" applyFill="1" applyBorder="1" applyAlignment="1">
      <alignment horizontal="left" vertical="center" wrapText="1"/>
    </xf>
    <xf numFmtId="179" fontId="10" fillId="7" borderId="1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79" fontId="7" fillId="10" borderId="11" xfId="0" applyNumberFormat="1" applyFont="1" applyFill="1" applyBorder="1" applyAlignment="1">
      <alignment horizontal="left" vertical="center" wrapText="1"/>
    </xf>
    <xf numFmtId="179" fontId="19" fillId="4" borderId="11" xfId="0" applyNumberFormat="1" applyFont="1" applyFill="1" applyBorder="1" applyAlignment="1">
      <alignment horizontal="left" vertical="center" wrapText="1"/>
    </xf>
    <xf numFmtId="14" fontId="7" fillId="10" borderId="11" xfId="0" applyNumberFormat="1" applyFont="1" applyFill="1" applyBorder="1" applyAlignment="1">
      <alignment horizontal="left" vertical="center" wrapText="1"/>
    </xf>
    <xf numFmtId="14" fontId="7" fillId="2" borderId="11" xfId="0" applyNumberFormat="1" applyFont="1" applyFill="1" applyBorder="1" applyAlignment="1">
      <alignment horizontal="left" vertical="center" wrapText="1"/>
    </xf>
    <xf numFmtId="179" fontId="7" fillId="2" borderId="11" xfId="0" quotePrefix="1" applyNumberFormat="1" applyFont="1" applyFill="1" applyBorder="1" applyAlignment="1">
      <alignment horizontal="left" vertical="center" wrapText="1"/>
    </xf>
    <xf numFmtId="0" fontId="7" fillId="10" borderId="1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14" fontId="7" fillId="2" borderId="14" xfId="0" applyNumberFormat="1" applyFont="1" applyFill="1" applyBorder="1" applyAlignment="1">
      <alignment horizontal="left" vertical="center" wrapText="1"/>
    </xf>
    <xf numFmtId="0" fontId="7" fillId="10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4" fontId="7" fillId="2" borderId="18" xfId="0" applyNumberFormat="1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10" fillId="9" borderId="1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11" fillId="2" borderId="18" xfId="0" applyFont="1" applyFill="1" applyBorder="1" applyAlignment="1">
      <alignment horizontal="left" vertical="center" wrapText="1"/>
    </xf>
    <xf numFmtId="179" fontId="7" fillId="5" borderId="1" xfId="0" applyNumberFormat="1" applyFont="1" applyFill="1" applyBorder="1" applyAlignment="1">
      <alignment horizontal="left" vertical="center" wrapText="1"/>
    </xf>
    <xf numFmtId="179" fontId="3" fillId="5" borderId="1" xfId="0" applyNumberFormat="1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179" fontId="7" fillId="0" borderId="1" xfId="0" applyNumberFormat="1" applyFont="1" applyBorder="1" applyAlignment="1">
      <alignment horizontal="left" vertical="center" wrapText="1"/>
    </xf>
    <xf numFmtId="14" fontId="7" fillId="0" borderId="11" xfId="0" applyNumberFormat="1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/>
    </xf>
    <xf numFmtId="0" fontId="14" fillId="5" borderId="18" xfId="0" applyFont="1" applyFill="1" applyBorder="1" applyAlignment="1">
      <alignment horizontal="left" vertical="center"/>
    </xf>
    <xf numFmtId="0" fontId="15" fillId="0" borderId="18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left" vertical="center" wrapText="1"/>
    </xf>
    <xf numFmtId="179" fontId="7" fillId="5" borderId="11" xfId="0" applyNumberFormat="1" applyFont="1" applyFill="1" applyBorder="1" applyAlignment="1">
      <alignment horizontal="right" vertical="center" wrapText="1"/>
    </xf>
    <xf numFmtId="179" fontId="17" fillId="4" borderId="11" xfId="0" applyNumberFormat="1" applyFont="1" applyFill="1" applyBorder="1" applyAlignment="1">
      <alignment horizontal="right" vertical="center" wrapText="1"/>
    </xf>
    <xf numFmtId="0" fontId="24" fillId="0" borderId="38" xfId="0" applyFont="1" applyBorder="1" applyAlignment="1">
      <alignment horizontal="left" vertical="center"/>
    </xf>
    <xf numFmtId="0" fontId="12" fillId="4" borderId="39" xfId="0" applyFont="1" applyFill="1" applyBorder="1" applyAlignment="1">
      <alignment horizontal="left" vertical="center" wrapText="1"/>
    </xf>
    <xf numFmtId="0" fontId="23" fillId="2" borderId="39" xfId="0" applyFont="1" applyFill="1" applyBorder="1" applyAlignment="1">
      <alignment horizontal="left" vertical="center" wrapText="1"/>
    </xf>
    <xf numFmtId="0" fontId="23" fillId="2" borderId="40" xfId="0" applyFont="1" applyFill="1" applyBorder="1" applyAlignment="1">
      <alignment horizontal="left" vertical="center" wrapText="1"/>
    </xf>
    <xf numFmtId="0" fontId="23" fillId="2" borderId="38" xfId="0" applyFont="1" applyFill="1" applyBorder="1" applyAlignment="1">
      <alignment horizontal="left" vertical="center" wrapText="1"/>
    </xf>
    <xf numFmtId="179" fontId="7" fillId="0" borderId="11" xfId="0" applyNumberFormat="1" applyFont="1" applyBorder="1" applyAlignment="1">
      <alignment horizontal="left" vertical="center" wrapText="1"/>
    </xf>
    <xf numFmtId="179" fontId="17" fillId="0" borderId="10" xfId="0" applyNumberFormat="1" applyFont="1" applyBorder="1" applyAlignment="1">
      <alignment horizontal="left" vertical="center" wrapText="1"/>
    </xf>
    <xf numFmtId="14" fontId="18" fillId="0" borderId="11" xfId="0" applyNumberFormat="1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top" wrapText="1"/>
    </xf>
    <xf numFmtId="179" fontId="12" fillId="0" borderId="10" xfId="0" applyNumberFormat="1" applyFont="1" applyBorder="1" applyAlignment="1">
      <alignment horizontal="left" vertical="center" wrapText="1"/>
    </xf>
    <xf numFmtId="179" fontId="12" fillId="0" borderId="11" xfId="0" applyNumberFormat="1" applyFont="1" applyBorder="1" applyAlignment="1">
      <alignment horizontal="left" vertical="center" wrapText="1"/>
    </xf>
    <xf numFmtId="14" fontId="12" fillId="0" borderId="11" xfId="0" applyNumberFormat="1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178" fontId="16" fillId="2" borderId="18" xfId="0" applyNumberFormat="1" applyFont="1" applyFill="1" applyBorder="1" applyAlignment="1">
      <alignment horizontal="left" vertical="center" wrapText="1"/>
    </xf>
    <xf numFmtId="0" fontId="14" fillId="5" borderId="38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5" borderId="18" xfId="0" applyFont="1" applyFill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4" fillId="5" borderId="19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179" fontId="7" fillId="5" borderId="14" xfId="0" applyNumberFormat="1" applyFont="1" applyFill="1" applyBorder="1" applyAlignment="1">
      <alignment horizontal="left" vertical="center" wrapText="1"/>
    </xf>
    <xf numFmtId="14" fontId="7" fillId="10" borderId="14" xfId="0" applyNumberFormat="1" applyFont="1" applyFill="1" applyBorder="1" applyAlignment="1">
      <alignment horizontal="left" vertical="center" wrapText="1"/>
    </xf>
    <xf numFmtId="14" fontId="10" fillId="9" borderId="14" xfId="0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179" fontId="7" fillId="5" borderId="18" xfId="0" applyNumberFormat="1" applyFont="1" applyFill="1" applyBorder="1" applyAlignment="1">
      <alignment horizontal="left" vertical="center" wrapText="1"/>
    </xf>
    <xf numFmtId="14" fontId="7" fillId="10" borderId="18" xfId="0" applyNumberFormat="1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3" fontId="28" fillId="2" borderId="0" xfId="0" applyNumberFormat="1" applyFont="1" applyFill="1" applyAlignment="1">
      <alignment horizontal="left" vertical="top"/>
    </xf>
    <xf numFmtId="3" fontId="23" fillId="2" borderId="0" xfId="0" applyNumberFormat="1" applyFont="1" applyFill="1" applyAlignment="1">
      <alignment horizontal="left" vertical="center"/>
    </xf>
    <xf numFmtId="0" fontId="29" fillId="13" borderId="18" xfId="3" applyBorder="1" applyAlignment="1">
      <alignment horizontal="left" vertical="center"/>
    </xf>
    <xf numFmtId="0" fontId="29" fillId="13" borderId="11" xfId="3" applyBorder="1" applyAlignment="1">
      <alignment horizontal="left" vertical="center" wrapText="1"/>
    </xf>
    <xf numFmtId="0" fontId="29" fillId="0" borderId="18" xfId="3" applyFill="1" applyBorder="1" applyAlignment="1">
      <alignment horizontal="left" vertical="center"/>
    </xf>
    <xf numFmtId="179" fontId="12" fillId="0" borderId="18" xfId="0" applyNumberFormat="1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9" fillId="0" borderId="10" xfId="3" applyFill="1" applyBorder="1" applyAlignment="1">
      <alignment horizontal="left" vertical="center" wrapText="1"/>
    </xf>
    <xf numFmtId="179" fontId="23" fillId="0" borderId="10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0" fontId="24" fillId="0" borderId="10" xfId="3" applyFont="1" applyFill="1" applyBorder="1" applyAlignment="1">
      <alignment horizontal="left" vertical="center" wrapText="1"/>
    </xf>
    <xf numFmtId="179" fontId="24" fillId="0" borderId="10" xfId="0" applyNumberFormat="1" applyFont="1" applyBorder="1" applyAlignment="1">
      <alignment horizontal="left" vertical="center" wrapText="1"/>
    </xf>
    <xf numFmtId="0" fontId="24" fillId="0" borderId="41" xfId="0" applyFont="1" applyBorder="1" applyAlignment="1">
      <alignment vertical="center" wrapText="1"/>
    </xf>
    <xf numFmtId="0" fontId="24" fillId="0" borderId="18" xfId="3" applyFont="1" applyFill="1" applyBorder="1" applyAlignment="1">
      <alignment horizontal="left" vertical="center"/>
    </xf>
    <xf numFmtId="179" fontId="24" fillId="0" borderId="18" xfId="0" applyNumberFormat="1" applyFont="1" applyBorder="1" applyAlignment="1">
      <alignment horizontal="left" vertical="center" wrapText="1"/>
    </xf>
    <xf numFmtId="179" fontId="24" fillId="0" borderId="1" xfId="0" applyNumberFormat="1" applyFont="1" applyBorder="1" applyAlignment="1">
      <alignment horizontal="left" vertical="center" wrapText="1"/>
    </xf>
    <xf numFmtId="179" fontId="24" fillId="0" borderId="11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179" fontId="24" fillId="0" borderId="24" xfId="0" applyNumberFormat="1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29" fillId="4" borderId="10" xfId="3" applyFill="1" applyBorder="1" applyAlignment="1">
      <alignment horizontal="left" vertical="center" wrapText="1"/>
    </xf>
    <xf numFmtId="179" fontId="23" fillId="4" borderId="11" xfId="0" applyNumberFormat="1" applyFont="1" applyFill="1" applyBorder="1" applyAlignment="1">
      <alignment horizontal="left" vertical="center" wrapText="1"/>
    </xf>
    <xf numFmtId="179" fontId="23" fillId="4" borderId="1" xfId="0" applyNumberFormat="1" applyFont="1" applyFill="1" applyBorder="1" applyAlignment="1">
      <alignment horizontal="left" vertical="center" wrapText="1"/>
    </xf>
    <xf numFmtId="179" fontId="23" fillId="4" borderId="10" xfId="0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3" fillId="4" borderId="18" xfId="0" applyFont="1" applyFill="1" applyBorder="1" applyAlignment="1">
      <alignment horizontal="left" vertical="center" wrapText="1"/>
    </xf>
    <xf numFmtId="0" fontId="23" fillId="4" borderId="18" xfId="0" applyFont="1" applyFill="1" applyBorder="1" applyAlignment="1">
      <alignment horizontal="left" vertical="center"/>
    </xf>
    <xf numFmtId="179" fontId="24" fillId="4" borderId="10" xfId="0" applyNumberFormat="1" applyFont="1" applyFill="1" applyBorder="1" applyAlignment="1">
      <alignment horizontal="left" vertical="center" wrapText="1"/>
    </xf>
    <xf numFmtId="179" fontId="24" fillId="4" borderId="1" xfId="0" applyNumberFormat="1" applyFont="1" applyFill="1" applyBorder="1" applyAlignment="1">
      <alignment horizontal="left" vertical="center" wrapText="1"/>
    </xf>
    <xf numFmtId="0" fontId="25" fillId="0" borderId="18" xfId="0" applyFont="1" applyBorder="1" applyAlignment="1">
      <alignment horizontal="left" vertical="center"/>
    </xf>
    <xf numFmtId="0" fontId="30" fillId="13" borderId="18" xfId="3" applyFont="1" applyBorder="1" applyAlignment="1">
      <alignment horizontal="left" vertical="center"/>
    </xf>
    <xf numFmtId="179" fontId="31" fillId="0" borderId="18" xfId="0" applyNumberFormat="1" applyFont="1" applyBorder="1" applyAlignment="1">
      <alignment horizontal="left" vertical="center" wrapText="1"/>
    </xf>
    <xf numFmtId="178" fontId="7" fillId="2" borderId="12" xfId="0" applyNumberFormat="1" applyFont="1" applyFill="1" applyBorder="1" applyAlignment="1">
      <alignment horizontal="left" vertical="center" wrapText="1"/>
    </xf>
    <xf numFmtId="178" fontId="7" fillId="2" borderId="26" xfId="0" applyNumberFormat="1" applyFont="1" applyFill="1" applyBorder="1" applyAlignment="1">
      <alignment horizontal="left" vertical="center" wrapText="1"/>
    </xf>
    <xf numFmtId="178" fontId="7" fillId="2" borderId="7" xfId="0" applyNumberFormat="1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178" fontId="16" fillId="2" borderId="18" xfId="0" applyNumberFormat="1" applyFont="1" applyFill="1" applyBorder="1" applyAlignment="1">
      <alignment horizontal="left" vertical="center" wrapText="1"/>
    </xf>
    <xf numFmtId="178" fontId="16" fillId="2" borderId="19" xfId="0" applyNumberFormat="1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178" fontId="7" fillId="2" borderId="34" xfId="0" applyNumberFormat="1" applyFont="1" applyFill="1" applyBorder="1" applyAlignment="1">
      <alignment horizontal="left" vertical="center" wrapText="1"/>
    </xf>
    <xf numFmtId="181" fontId="23" fillId="2" borderId="18" xfId="0" quotePrefix="1" applyNumberFormat="1" applyFont="1" applyFill="1" applyBorder="1" applyAlignment="1">
      <alignment horizontal="left" vertical="center" wrapText="1"/>
    </xf>
    <xf numFmtId="181" fontId="23" fillId="2" borderId="18" xfId="0" quotePrefix="1" applyNumberFormat="1" applyFont="1" applyFill="1" applyBorder="1" applyAlignment="1">
      <alignment horizontal="left" vertical="center"/>
    </xf>
    <xf numFmtId="181" fontId="24" fillId="0" borderId="18" xfId="0" quotePrefix="1" applyNumberFormat="1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178" fontId="23" fillId="2" borderId="19" xfId="0" applyNumberFormat="1" applyFont="1" applyFill="1" applyBorder="1" applyAlignment="1">
      <alignment horizontal="left" vertical="center" wrapText="1"/>
    </xf>
    <xf numFmtId="178" fontId="23" fillId="2" borderId="28" xfId="0" applyNumberFormat="1" applyFont="1" applyFill="1" applyBorder="1" applyAlignment="1">
      <alignment horizontal="left" vertical="center" wrapText="1"/>
    </xf>
    <xf numFmtId="178" fontId="23" fillId="2" borderId="27" xfId="0" applyNumberFormat="1" applyFont="1" applyFill="1" applyBorder="1" applyAlignment="1">
      <alignment horizontal="left" vertical="center" wrapText="1"/>
    </xf>
    <xf numFmtId="0" fontId="24" fillId="0" borderId="18" xfId="0" quotePrefix="1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3" fillId="2" borderId="18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20" xfId="0" quotePrefix="1" applyFont="1" applyFill="1" applyBorder="1" applyAlignment="1">
      <alignment horizontal="left" vertical="center"/>
    </xf>
    <xf numFmtId="0" fontId="23" fillId="2" borderId="36" xfId="0" quotePrefix="1" applyFont="1" applyFill="1" applyBorder="1" applyAlignment="1">
      <alignment horizontal="left" vertical="center"/>
    </xf>
    <xf numFmtId="0" fontId="23" fillId="2" borderId="37" xfId="0" quotePrefix="1" applyFont="1" applyFill="1" applyBorder="1" applyAlignment="1">
      <alignment horizontal="left" vertical="center"/>
    </xf>
    <xf numFmtId="0" fontId="23" fillId="2" borderId="19" xfId="0" quotePrefix="1" applyFont="1" applyFill="1" applyBorder="1" applyAlignment="1">
      <alignment horizontal="left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</cellXfs>
  <cellStyles count="4">
    <cellStyle name="나쁨" xfId="3" builtinId="27"/>
    <cellStyle name="표준" xfId="0" builtinId="0"/>
    <cellStyle name="표준 2 2" xfId="2" xr:uid="{6985D8DE-3015-B943-873A-C52BEFDFF89C}"/>
    <cellStyle name="표준 46" xfId="1" xr:uid="{DC75EA93-85D2-4754-912D-5D5BAA42F6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67"/>
  <sheetViews>
    <sheetView zoomScale="107" zoomScaleNormal="100" workbookViewId="0">
      <pane ySplit="2" topLeftCell="A14" activePane="bottomLeft" state="frozen"/>
      <selection pane="bottomLeft" activeCell="S176" sqref="S176"/>
    </sheetView>
  </sheetViews>
  <sheetFormatPr baseColWidth="10" defaultColWidth="9.3984375" defaultRowHeight="16"/>
  <cols>
    <col min="1" max="1" width="5" style="1" customWidth="1"/>
    <col min="2" max="2" width="10.59765625" style="1" bestFit="1" customWidth="1"/>
    <col min="3" max="3" width="9.796875" style="1" bestFit="1" customWidth="1"/>
    <col min="4" max="4" width="34.796875" style="5" bestFit="1" customWidth="1"/>
    <col min="5" max="5" width="34.3984375" style="5" bestFit="1" customWidth="1"/>
    <col min="6" max="6" width="22.796875" style="8" bestFit="1" customWidth="1"/>
    <col min="7" max="7" width="22.59765625" style="8" bestFit="1" customWidth="1"/>
    <col min="8" max="8" width="14.59765625" style="8" bestFit="1" customWidth="1"/>
    <col min="9" max="9" width="23.59765625" style="8" customWidth="1"/>
    <col min="10" max="10" width="15" style="8" bestFit="1" customWidth="1"/>
    <col min="11" max="11" width="13.3984375" style="8" bestFit="1" customWidth="1"/>
    <col min="12" max="12" width="15" style="8" bestFit="1" customWidth="1"/>
    <col min="13" max="13" width="19.59765625" style="1" bestFit="1" customWidth="1"/>
    <col min="14" max="14" width="3.3984375" style="1" customWidth="1"/>
    <col min="15" max="16384" width="9.3984375" style="1"/>
  </cols>
  <sheetData>
    <row r="1" spans="2:13" ht="17" thickBot="1"/>
    <row r="2" spans="2:13" ht="20" thickBot="1">
      <c r="B2" s="130" t="s">
        <v>180</v>
      </c>
      <c r="C2" s="130" t="s">
        <v>15</v>
      </c>
      <c r="D2" s="131" t="s">
        <v>18</v>
      </c>
      <c r="E2" s="130" t="s">
        <v>16</v>
      </c>
      <c r="F2" s="131" t="s">
        <v>194</v>
      </c>
      <c r="G2" s="131" t="s">
        <v>195</v>
      </c>
      <c r="H2" s="131" t="s">
        <v>40</v>
      </c>
      <c r="I2" s="131" t="s">
        <v>41</v>
      </c>
      <c r="J2" s="131" t="s">
        <v>177</v>
      </c>
      <c r="K2" s="131" t="s">
        <v>178</v>
      </c>
      <c r="L2" s="131" t="s">
        <v>190</v>
      </c>
      <c r="M2" s="131" t="s">
        <v>0</v>
      </c>
    </row>
    <row r="3" spans="2:13" ht="19">
      <c r="B3" s="284">
        <v>1</v>
      </c>
      <c r="C3" s="283" t="s">
        <v>2</v>
      </c>
      <c r="D3" s="132"/>
      <c r="E3" s="133" t="s">
        <v>42</v>
      </c>
      <c r="F3" s="134"/>
      <c r="G3" s="134"/>
      <c r="H3" s="12"/>
      <c r="I3" s="12"/>
      <c r="J3" s="134"/>
      <c r="K3" s="134"/>
      <c r="L3" s="134"/>
      <c r="M3" s="2"/>
    </row>
    <row r="4" spans="2:13" ht="19">
      <c r="B4" s="273"/>
      <c r="C4" s="276"/>
      <c r="D4" s="12" t="str">
        <f>MOP!D3</f>
        <v>Main Frame</v>
      </c>
      <c r="E4" s="12" t="str">
        <f>MOP!E3</f>
        <v>R1C001384</v>
      </c>
      <c r="F4" s="12" t="str">
        <f>MOP!N3</f>
        <v>세일엔지니어링</v>
      </c>
      <c r="G4" s="12" t="str">
        <f>MOP!O3</f>
        <v>세일엔지니어링</v>
      </c>
      <c r="H4" s="12">
        <f>MOP!L3</f>
        <v>440100</v>
      </c>
      <c r="I4" s="12">
        <f>MOP!M3</f>
        <v>22445100</v>
      </c>
      <c r="J4" s="134"/>
      <c r="K4" s="134"/>
      <c r="L4" s="134"/>
      <c r="M4" s="2"/>
    </row>
    <row r="5" spans="2:13" ht="19">
      <c r="B5" s="273"/>
      <c r="C5" s="276"/>
      <c r="D5" s="12" t="str">
        <f>MOP!D4</f>
        <v>Left Cover</v>
      </c>
      <c r="E5" s="12" t="str">
        <f>MOP!E4</f>
        <v>R1C001385</v>
      </c>
      <c r="F5" s="12" t="str">
        <f>MOP!N4</f>
        <v>세일엔지니어링</v>
      </c>
      <c r="G5" s="12" t="str">
        <f>MOP!O4</f>
        <v>세일엔지니어링</v>
      </c>
      <c r="H5" s="12" t="str">
        <f>MOP!L4</f>
        <v>-</v>
      </c>
      <c r="I5" s="12" t="str">
        <f>MOP!M4</f>
        <v>-</v>
      </c>
      <c r="J5" s="134"/>
      <c r="K5" s="134"/>
      <c r="L5" s="134"/>
      <c r="M5" s="2"/>
    </row>
    <row r="6" spans="2:13" ht="19">
      <c r="B6" s="273"/>
      <c r="C6" s="276"/>
      <c r="D6" s="12" t="str">
        <f>MOP!D5</f>
        <v>Right Cover</v>
      </c>
      <c r="E6" s="12" t="str">
        <f>MOP!E5</f>
        <v>R1C001386</v>
      </c>
      <c r="F6" s="12" t="str">
        <f>MOP!N5</f>
        <v>세일엔지니어링</v>
      </c>
      <c r="G6" s="12" t="str">
        <f>MOP!O5</f>
        <v>세일엔지니어링</v>
      </c>
      <c r="H6" s="12" t="str">
        <f>MOP!L5</f>
        <v>-</v>
      </c>
      <c r="I6" s="12" t="str">
        <f>MOP!M5</f>
        <v>-</v>
      </c>
      <c r="J6" s="134"/>
      <c r="K6" s="134"/>
      <c r="L6" s="134"/>
      <c r="M6" s="2"/>
    </row>
    <row r="7" spans="2:13" ht="19">
      <c r="B7" s="273"/>
      <c r="C7" s="276"/>
      <c r="D7" s="12" t="str">
        <f>MOP!D6</f>
        <v>Upper Cover</v>
      </c>
      <c r="E7" s="12" t="str">
        <f>MOP!E6</f>
        <v>R1C001387</v>
      </c>
      <c r="F7" s="12" t="str">
        <f>MOP!N6</f>
        <v>세일엔지니어링</v>
      </c>
      <c r="G7" s="12" t="str">
        <f>MOP!O6</f>
        <v>세일엔지니어링</v>
      </c>
      <c r="H7" s="12" t="str">
        <f>MOP!L6</f>
        <v>-</v>
      </c>
      <c r="I7" s="12" t="str">
        <f>MOP!M6</f>
        <v>-</v>
      </c>
      <c r="J7" s="134"/>
      <c r="K7" s="134"/>
      <c r="L7" s="134"/>
      <c r="M7" s="2"/>
    </row>
    <row r="8" spans="2:13" ht="19">
      <c r="B8" s="273"/>
      <c r="C8" s="276"/>
      <c r="D8" s="12" t="str">
        <f>MOP!D7</f>
        <v>Lower Cover</v>
      </c>
      <c r="E8" s="12" t="str">
        <f>MOP!E7</f>
        <v>R1B002159</v>
      </c>
      <c r="F8" s="12" t="str">
        <f>MOP!N7</f>
        <v>세일엔지니어링</v>
      </c>
      <c r="G8" s="12" t="str">
        <f>MOP!O7</f>
        <v>세일엔지니어링</v>
      </c>
      <c r="H8" s="12" t="str">
        <f>MOP!L7</f>
        <v>-</v>
      </c>
      <c r="I8" s="12" t="str">
        <f>MOP!M7</f>
        <v>-</v>
      </c>
      <c r="J8" s="134"/>
      <c r="K8" s="134"/>
      <c r="L8" s="134"/>
      <c r="M8" s="2"/>
    </row>
    <row r="9" spans="2:13" ht="19">
      <c r="B9" s="273"/>
      <c r="C9" s="276"/>
      <c r="D9" s="12" t="str">
        <f>MOP!D8</f>
        <v>Rear Cover</v>
      </c>
      <c r="E9" s="12" t="str">
        <f>MOP!E8</f>
        <v>R1B002160</v>
      </c>
      <c r="F9" s="12" t="str">
        <f>MOP!N8</f>
        <v>세일엔지니어링</v>
      </c>
      <c r="G9" s="12" t="str">
        <f>MOP!O8</f>
        <v>세일엔지니어링</v>
      </c>
      <c r="H9" s="12" t="str">
        <f>MOP!L8</f>
        <v>-</v>
      </c>
      <c r="I9" s="12" t="str">
        <f>MOP!M8</f>
        <v>-</v>
      </c>
      <c r="J9" s="134"/>
      <c r="K9" s="134"/>
      <c r="L9" s="134"/>
      <c r="M9" s="2"/>
    </row>
    <row r="10" spans="2:13" ht="19">
      <c r="B10" s="273"/>
      <c r="C10" s="276"/>
      <c r="D10" s="12" t="str">
        <f>MOP!D9</f>
        <v>Push Button</v>
      </c>
      <c r="E10" s="12" t="str">
        <f>MOP!E9</f>
        <v>84-1201.7</v>
      </c>
      <c r="F10" s="12" t="str">
        <f>MOP!N9</f>
        <v>아이닉스</v>
      </c>
      <c r="G10" s="12" t="str">
        <f>MOP!O9</f>
        <v>EAO</v>
      </c>
      <c r="H10" s="136">
        <f>MOP!L9</f>
        <v>28800</v>
      </c>
      <c r="I10" s="136">
        <f>MOP!M9</f>
        <v>6336000</v>
      </c>
      <c r="J10" s="134"/>
      <c r="K10" s="134"/>
      <c r="L10" s="134"/>
      <c r="M10" s="2"/>
    </row>
    <row r="11" spans="2:13" ht="19">
      <c r="B11" s="273"/>
      <c r="C11" s="276"/>
      <c r="D11" s="12" t="str">
        <f>MOP!D10</f>
        <v>Push Button</v>
      </c>
      <c r="E11" s="12" t="str">
        <f>MOP!E10</f>
        <v>84-7111.200</v>
      </c>
      <c r="F11" s="12" t="str">
        <f>MOP!N10</f>
        <v>아이닉스</v>
      </c>
      <c r="G11" s="12" t="str">
        <f>MOP!O10</f>
        <v>EAO</v>
      </c>
      <c r="H11" s="136">
        <f>MOP!L10</f>
        <v>4650</v>
      </c>
      <c r="I11" s="136">
        <f>MOP!M10</f>
        <v>1023000</v>
      </c>
      <c r="J11" s="134"/>
      <c r="K11" s="134"/>
      <c r="L11" s="134"/>
      <c r="M11" s="2"/>
    </row>
    <row r="12" spans="2:13" ht="19">
      <c r="B12" s="273"/>
      <c r="C12" s="276"/>
      <c r="D12" s="12" t="str">
        <f>MOP!D11</f>
        <v>Push Button</v>
      </c>
      <c r="E12" s="12" t="str">
        <f>MOP!E11</f>
        <v>84-8511.2320</v>
      </c>
      <c r="F12" s="12" t="str">
        <f>MOP!N11</f>
        <v>아이닉스</v>
      </c>
      <c r="G12" s="12" t="str">
        <f>MOP!O11</f>
        <v>EAO</v>
      </c>
      <c r="H12" s="136">
        <f>MOP!L11</f>
        <v>39000</v>
      </c>
      <c r="I12" s="136">
        <f>MOP!M11</f>
        <v>8580000</v>
      </c>
      <c r="J12" s="137"/>
      <c r="K12" s="137"/>
      <c r="L12" s="138"/>
      <c r="M12" s="2"/>
    </row>
    <row r="13" spans="2:13" ht="19">
      <c r="B13" s="273"/>
      <c r="C13" s="276"/>
      <c r="D13" s="150" t="str">
        <f>MOP!D12</f>
        <v>Microphone</v>
      </c>
      <c r="E13" s="150" t="str">
        <f>MOP!E12</f>
        <v>KCM-30(55 JACK)</v>
      </c>
      <c r="F13" s="150" t="str">
        <f>MOP!N12</f>
        <v>아이닉스</v>
      </c>
      <c r="G13" s="150" t="str">
        <f>MOP!O12</f>
        <v>REAN</v>
      </c>
      <c r="H13" s="136">
        <f>MOP!L12</f>
        <v>2800</v>
      </c>
      <c r="I13" s="136">
        <f>MOP!M12</f>
        <v>154000</v>
      </c>
      <c r="J13" s="137">
        <v>45497</v>
      </c>
      <c r="K13" s="137">
        <v>45497</v>
      </c>
      <c r="L13" s="138" t="s">
        <v>283</v>
      </c>
      <c r="M13" s="2"/>
    </row>
    <row r="14" spans="2:13" ht="38">
      <c r="B14" s="273"/>
      <c r="C14" s="276"/>
      <c r="D14" s="12" t="str">
        <f>MOP!D13</f>
        <v>LCD</v>
      </c>
      <c r="E14" s="12" t="str">
        <f>MOP!E13</f>
        <v>"HL035T002T-02(단종)
HL035T11-01 + RTC"</v>
      </c>
      <c r="F14" s="12" t="str">
        <f>MOP!N13</f>
        <v>티렉스아이엔씨</v>
      </c>
      <c r="G14" s="12" t="str">
        <f>MOP!O13</f>
        <v>Shenzhen</v>
      </c>
      <c r="H14" s="12">
        <f>MOP!L13</f>
        <v>23000</v>
      </c>
      <c r="I14" s="12">
        <f>MOP!M13</f>
        <v>1380000</v>
      </c>
      <c r="J14" s="139">
        <v>45503</v>
      </c>
      <c r="K14" s="134"/>
      <c r="L14" s="134"/>
      <c r="M14" s="2"/>
    </row>
    <row r="15" spans="2:13" ht="19">
      <c r="B15" s="273"/>
      <c r="C15" s="276"/>
      <c r="D15" s="12" t="str">
        <f>MOP!D14</f>
        <v>LCD Mount Bracket</v>
      </c>
      <c r="E15" s="12" t="str">
        <f>MOP!E14</f>
        <v>R1D005930</v>
      </c>
      <c r="F15" s="12" t="str">
        <f>MOP!N14</f>
        <v>세일엔지니어링</v>
      </c>
      <c r="G15" s="12" t="str">
        <f>MOP!O14</f>
        <v>세일엔지니어링</v>
      </c>
      <c r="H15" s="12" t="str">
        <f>MOP!L14</f>
        <v>-</v>
      </c>
      <c r="I15" s="12" t="str">
        <f>MOP!M14</f>
        <v>-</v>
      </c>
      <c r="J15" s="134"/>
      <c r="K15" s="134"/>
      <c r="L15" s="134"/>
      <c r="M15" s="2"/>
    </row>
    <row r="16" spans="2:13" ht="19">
      <c r="B16" s="273"/>
      <c r="C16" s="276"/>
      <c r="D16" s="12" t="str">
        <f>MOP!D15</f>
        <v>LCD Control Board</v>
      </c>
      <c r="E16" s="12" t="str">
        <f>MOP!E15</f>
        <v>R1C001402 Rev.1</v>
      </c>
      <c r="F16" s="12" t="str">
        <f>MOP!N15</f>
        <v>BEUPSYS</v>
      </c>
      <c r="G16" s="12" t="str">
        <f>MOP!O15</f>
        <v>BEUPSYS</v>
      </c>
      <c r="H16" s="12">
        <f>MOP!L15</f>
        <v>425213</v>
      </c>
      <c r="I16" s="12">
        <f>MOP!M15</f>
        <v>21685863</v>
      </c>
      <c r="J16" s="134"/>
      <c r="K16" s="134"/>
      <c r="L16" s="134"/>
      <c r="M16" s="2"/>
    </row>
    <row r="17" spans="2:13" ht="19">
      <c r="B17" s="273"/>
      <c r="C17" s="276"/>
      <c r="D17" s="12" t="str">
        <f>MOP!D16</f>
        <v>Main Control Board</v>
      </c>
      <c r="E17" s="12" t="str">
        <f>MOP!E16</f>
        <v>R1C001388</v>
      </c>
      <c r="F17" s="12" t="str">
        <f>MOP!N16</f>
        <v>BEUPSYS</v>
      </c>
      <c r="G17" s="12" t="str">
        <f>MOP!O16</f>
        <v>BEUPSYS</v>
      </c>
      <c r="H17" s="12">
        <f>MOP!L16</f>
        <v>473650</v>
      </c>
      <c r="I17" s="12">
        <f>MOP!M16</f>
        <v>24156150</v>
      </c>
      <c r="J17" s="134"/>
      <c r="K17" s="134"/>
      <c r="L17" s="134"/>
      <c r="M17" s="2"/>
    </row>
    <row r="18" spans="2:13" ht="19">
      <c r="B18" s="273"/>
      <c r="C18" s="276"/>
      <c r="D18" s="12" t="str">
        <f>MOP!D17</f>
        <v>Power Board</v>
      </c>
      <c r="E18" s="12" t="str">
        <f>MOP!E17</f>
        <v>R1C001574</v>
      </c>
      <c r="F18" s="12" t="str">
        <f>MOP!N17</f>
        <v>이지파워</v>
      </c>
      <c r="G18" s="12" t="str">
        <f>MOP!O17</f>
        <v>이지파워</v>
      </c>
      <c r="H18" s="12">
        <f>MOP!L17</f>
        <v>89000</v>
      </c>
      <c r="I18" s="12">
        <f>MOP!M17</f>
        <v>4539000</v>
      </c>
      <c r="J18" s="134"/>
      <c r="K18" s="134"/>
      <c r="L18" s="134"/>
      <c r="M18" s="2"/>
    </row>
    <row r="19" spans="2:13" ht="19">
      <c r="B19" s="273"/>
      <c r="C19" s="276"/>
      <c r="D19" s="150" t="str">
        <f>MOP!D18</f>
        <v>3P Connector Male</v>
      </c>
      <c r="E19" s="150" t="str">
        <f>MOP!E18</f>
        <v>770-213</v>
      </c>
      <c r="F19" s="150" t="str">
        <f>MOP!N18</f>
        <v>아이닉스</v>
      </c>
      <c r="G19" s="150" t="str">
        <f>MOP!O18</f>
        <v>WAGO</v>
      </c>
      <c r="H19" s="136">
        <f>MOP!L18</f>
        <v>2800</v>
      </c>
      <c r="I19" s="136">
        <f>MOP!M18</f>
        <v>154000</v>
      </c>
      <c r="J19" s="137">
        <v>45497</v>
      </c>
      <c r="K19" s="137">
        <v>45497</v>
      </c>
      <c r="L19" s="138" t="s">
        <v>283</v>
      </c>
      <c r="M19" s="2"/>
    </row>
    <row r="20" spans="2:13" ht="19">
      <c r="B20" s="273"/>
      <c r="C20" s="276"/>
      <c r="D20" s="18" t="str">
        <f>MOP!D19</f>
        <v>3P Connector Female</v>
      </c>
      <c r="E20" s="18" t="str">
        <f>MOP!E19</f>
        <v>770-293</v>
      </c>
      <c r="F20" s="18" t="str">
        <f>MOP!N19</f>
        <v>아이닉스</v>
      </c>
      <c r="G20" s="18" t="str">
        <f>MOP!O19</f>
        <v>WAGO</v>
      </c>
      <c r="H20" s="141">
        <f>MOP!L19</f>
        <v>4250</v>
      </c>
      <c r="I20" s="141">
        <f>MOP!M19</f>
        <v>233750</v>
      </c>
      <c r="J20" s="142"/>
      <c r="K20" s="142"/>
      <c r="L20" s="143"/>
      <c r="M20" s="17" t="s">
        <v>356</v>
      </c>
    </row>
    <row r="21" spans="2:13" ht="19">
      <c r="B21" s="273"/>
      <c r="C21" s="276"/>
      <c r="D21" s="150" t="str">
        <f>MOP!D20</f>
        <v>Locking</v>
      </c>
      <c r="E21" s="150" t="str">
        <f>MOP!E20</f>
        <v>770-101</v>
      </c>
      <c r="F21" s="150" t="str">
        <f>MOP!N20</f>
        <v>아이닉스</v>
      </c>
      <c r="G21" s="150" t="str">
        <f>MOP!O20</f>
        <v>WAGO</v>
      </c>
      <c r="H21" s="136">
        <f>MOP!L20</f>
        <v>350</v>
      </c>
      <c r="I21" s="136">
        <f>MOP!M20</f>
        <v>19250</v>
      </c>
      <c r="J21" s="137">
        <v>45497</v>
      </c>
      <c r="K21" s="137">
        <v>45497</v>
      </c>
      <c r="L21" s="138" t="s">
        <v>283</v>
      </c>
      <c r="M21" s="2"/>
    </row>
    <row r="22" spans="2:13" ht="19">
      <c r="B22" s="273"/>
      <c r="C22" s="276"/>
      <c r="D22" s="150" t="str">
        <f>MOP!D21</f>
        <v>4P Connector</v>
      </c>
      <c r="E22" s="150" t="str">
        <f>MOP!E21</f>
        <v>21 03 882 2405</v>
      </c>
      <c r="F22" s="150" t="str">
        <f>MOP!N21</f>
        <v>아이닉스</v>
      </c>
      <c r="G22" s="150" t="str">
        <f>MOP!O21</f>
        <v>HARTING</v>
      </c>
      <c r="H22" s="136">
        <f>MOP!L21</f>
        <v>32300</v>
      </c>
      <c r="I22" s="136">
        <f>MOP!M21</f>
        <v>1776500</v>
      </c>
      <c r="J22" s="137">
        <v>45497</v>
      </c>
      <c r="K22" s="137">
        <v>45497</v>
      </c>
      <c r="L22" s="138" t="s">
        <v>283</v>
      </c>
      <c r="M22" s="2"/>
    </row>
    <row r="23" spans="2:13" ht="19">
      <c r="B23" s="273"/>
      <c r="C23" s="276"/>
      <c r="D23" s="150" t="str">
        <f>MOP!D22</f>
        <v>Pin</v>
      </c>
      <c r="E23" s="150" t="str">
        <f>MOP!E22</f>
        <v>09 67 000 5476</v>
      </c>
      <c r="F23" s="150" t="str">
        <f>MOP!N22</f>
        <v>아이닉스</v>
      </c>
      <c r="G23" s="150" t="str">
        <f>MOP!O22</f>
        <v>HARTING</v>
      </c>
      <c r="H23" s="136">
        <f>MOP!L22</f>
        <v>1300</v>
      </c>
      <c r="I23" s="136">
        <f>MOP!M22</f>
        <v>286000</v>
      </c>
      <c r="J23" s="137">
        <v>45497</v>
      </c>
      <c r="K23" s="137">
        <v>45497</v>
      </c>
      <c r="L23" s="138" t="s">
        <v>283</v>
      </c>
      <c r="M23" s="2"/>
    </row>
    <row r="24" spans="2:13" ht="19">
      <c r="B24" s="273"/>
      <c r="C24" s="276"/>
      <c r="D24" s="150" t="str">
        <f>MOP!D23</f>
        <v>12P Connector</v>
      </c>
      <c r="E24" s="150" t="str">
        <f>MOP!E23</f>
        <v>UTG11412S</v>
      </c>
      <c r="F24" s="150" t="str">
        <f>MOP!N23</f>
        <v>아이닉스</v>
      </c>
      <c r="G24" s="150" t="str">
        <f>MOP!O23</f>
        <v>SOURIAU</v>
      </c>
      <c r="H24" s="136">
        <f>MOP!L23</f>
        <v>23900</v>
      </c>
      <c r="I24" s="136">
        <f>MOP!M23</f>
        <v>1195000</v>
      </c>
      <c r="J24" s="137">
        <v>45497</v>
      </c>
      <c r="K24" s="137">
        <v>45497</v>
      </c>
      <c r="L24" s="138" t="s">
        <v>283</v>
      </c>
      <c r="M24" s="2"/>
    </row>
    <row r="25" spans="2:13" ht="19">
      <c r="B25" s="273"/>
      <c r="C25" s="276"/>
      <c r="D25" s="150" t="str">
        <f>MOP!D24</f>
        <v>Pin</v>
      </c>
      <c r="E25" s="150" t="str">
        <f>MOP!E24</f>
        <v>RC16M23K</v>
      </c>
      <c r="F25" s="150" t="str">
        <f>MOP!N24</f>
        <v>아이닉스</v>
      </c>
      <c r="G25" s="150" t="str">
        <f>MOP!O24</f>
        <v>SOURIAU</v>
      </c>
      <c r="H25" s="136">
        <f>MOP!L24</f>
        <v>1250</v>
      </c>
      <c r="I25" s="136">
        <f>MOP!M24</f>
        <v>750000</v>
      </c>
      <c r="J25" s="137">
        <v>45497</v>
      </c>
      <c r="K25" s="137">
        <v>45497</v>
      </c>
      <c r="L25" s="138" t="s">
        <v>283</v>
      </c>
      <c r="M25" s="2"/>
    </row>
    <row r="26" spans="2:13" ht="19">
      <c r="B26" s="273"/>
      <c r="C26" s="276"/>
      <c r="D26" s="150" t="str">
        <f>MOP!D25</f>
        <v>Cable Clamp</v>
      </c>
      <c r="E26" s="150" t="str">
        <f>MOP!E25</f>
        <v>UTG14AC</v>
      </c>
      <c r="F26" s="150" t="str">
        <f>MOP!N25</f>
        <v>아이닉스</v>
      </c>
      <c r="G26" s="150" t="str">
        <f>MOP!O25</f>
        <v>SOURIAU</v>
      </c>
      <c r="H26" s="136">
        <f>MOP!L25</f>
        <v>12000</v>
      </c>
      <c r="I26" s="136">
        <f>MOP!M25</f>
        <v>660000</v>
      </c>
      <c r="J26" s="137">
        <v>45497</v>
      </c>
      <c r="K26" s="137">
        <v>45497</v>
      </c>
      <c r="L26" s="138" t="s">
        <v>283</v>
      </c>
      <c r="M26" s="2"/>
    </row>
    <row r="27" spans="2:13" ht="19">
      <c r="B27" s="273"/>
      <c r="C27" s="276"/>
      <c r="D27" s="12" t="str">
        <f>MOP!D26</f>
        <v>Name Plate, AL, T1</v>
      </c>
      <c r="E27" s="12" t="str">
        <f>MOP!E26</f>
        <v>R1C001342_6</v>
      </c>
      <c r="F27" s="12" t="str">
        <f>MOP!N26</f>
        <v>-</v>
      </c>
      <c r="G27" s="12" t="str">
        <f>MOP!O26</f>
        <v>-</v>
      </c>
      <c r="H27" s="145" t="str">
        <f>MOP!L26</f>
        <v>-</v>
      </c>
      <c r="I27" s="145" t="str">
        <f>MOP!M26</f>
        <v>-</v>
      </c>
      <c r="J27" s="144"/>
      <c r="K27" s="144"/>
      <c r="L27" s="144"/>
      <c r="M27" s="2"/>
    </row>
    <row r="28" spans="2:13" ht="19">
      <c r="B28" s="273"/>
      <c r="C28" s="276"/>
      <c r="D28" s="18" t="str">
        <f>MOP!D27</f>
        <v>SPEAKER</v>
      </c>
      <c r="E28" s="18" t="str">
        <f>MOP!E27</f>
        <v>PMB4070N-0240 / 8 Ω 5W</v>
      </c>
      <c r="F28" s="18" t="str">
        <f>MOP!N27</f>
        <v>아이닉스</v>
      </c>
      <c r="G28" s="18" t="str">
        <f>MOP!O27</f>
        <v>-</v>
      </c>
      <c r="H28" s="18">
        <f>MOP!L27</f>
        <v>4800</v>
      </c>
      <c r="I28" s="18">
        <f>MOP!M27</f>
        <v>264000</v>
      </c>
      <c r="J28" s="146"/>
      <c r="K28" s="146"/>
      <c r="L28" s="147"/>
      <c r="M28" s="17" t="s">
        <v>356</v>
      </c>
    </row>
    <row r="29" spans="2:13" ht="18">
      <c r="B29" s="273"/>
      <c r="C29" s="276"/>
      <c r="D29" s="199"/>
      <c r="E29" s="199"/>
      <c r="F29" s="199"/>
      <c r="G29" s="199"/>
      <c r="H29" s="199"/>
      <c r="I29" s="199"/>
      <c r="J29" s="200"/>
      <c r="K29" s="200"/>
      <c r="L29" s="201"/>
      <c r="M29" s="202"/>
    </row>
    <row r="30" spans="2:13" ht="19">
      <c r="B30" s="274"/>
      <c r="C30" s="277"/>
      <c r="D30" s="148" t="s">
        <v>286</v>
      </c>
      <c r="E30" s="148"/>
      <c r="F30" s="149" t="s">
        <v>262</v>
      </c>
      <c r="G30" s="149" t="s">
        <v>262</v>
      </c>
      <c r="H30" s="150"/>
      <c r="I30" s="150">
        <f>MOP!M51</f>
        <v>112860</v>
      </c>
      <c r="J30" s="137">
        <v>45497</v>
      </c>
      <c r="K30" s="137">
        <v>45497</v>
      </c>
      <c r="L30" s="149"/>
      <c r="M30" s="15"/>
    </row>
    <row r="31" spans="2:13" ht="19">
      <c r="B31" s="272">
        <v>2</v>
      </c>
      <c r="C31" s="278" t="s">
        <v>17</v>
      </c>
      <c r="D31" s="151"/>
      <c r="E31" s="152" t="s">
        <v>1</v>
      </c>
      <c r="F31" s="135"/>
      <c r="G31" s="135"/>
      <c r="H31" s="13"/>
      <c r="I31" s="13"/>
      <c r="J31" s="135"/>
      <c r="K31" s="135"/>
      <c r="L31" s="135"/>
      <c r="M31" s="3"/>
    </row>
    <row r="32" spans="2:13" ht="19">
      <c r="B32" s="273"/>
      <c r="C32" s="279"/>
      <c r="D32" s="13" t="str">
        <f>MSR!D3</f>
        <v>PWR Board</v>
      </c>
      <c r="E32" s="13" t="str">
        <f>MSR!E3</f>
        <v>R1C001323</v>
      </c>
      <c r="F32" s="13" t="str">
        <f>MSR!N3</f>
        <v>이지파워</v>
      </c>
      <c r="G32" s="13" t="str">
        <f>MSR!O3</f>
        <v>이지파워</v>
      </c>
      <c r="H32" s="13">
        <f>MSR!L3</f>
        <v>136000</v>
      </c>
      <c r="I32" s="13">
        <f>MSR!M3</f>
        <v>6936000</v>
      </c>
      <c r="J32" s="135"/>
      <c r="K32" s="135"/>
      <c r="L32" s="135"/>
      <c r="M32" s="3"/>
    </row>
    <row r="33" spans="2:13" ht="19">
      <c r="B33" s="273"/>
      <c r="C33" s="279"/>
      <c r="D33" s="13" t="str">
        <f>MSR!D4</f>
        <v>M_TX Board</v>
      </c>
      <c r="E33" s="13" t="str">
        <f>MSR!E4</f>
        <v>R1B002190</v>
      </c>
      <c r="F33" s="13" t="str">
        <f>MSR!N4</f>
        <v>BEUPSYS</v>
      </c>
      <c r="G33" s="13" t="str">
        <f>MSR!O4</f>
        <v>BEUPSYS</v>
      </c>
      <c r="H33" s="13">
        <f>MSR!L4</f>
        <v>610566</v>
      </c>
      <c r="I33" s="13">
        <f>MSR!M4</f>
        <v>31138866</v>
      </c>
      <c r="J33" s="135"/>
      <c r="K33" s="135"/>
      <c r="L33" s="135"/>
      <c r="M33" s="3"/>
    </row>
    <row r="34" spans="2:13" ht="19">
      <c r="B34" s="273"/>
      <c r="C34" s="279"/>
      <c r="D34" s="13" t="str">
        <f>MSR!D5</f>
        <v>Hub Board</v>
      </c>
      <c r="E34" s="13" t="str">
        <f>MSR!E5</f>
        <v>R1B002192</v>
      </c>
      <c r="F34" s="13" t="str">
        <f>MSR!N5</f>
        <v>BEUPSYS</v>
      </c>
      <c r="G34" s="13" t="str">
        <f>MSR!O5</f>
        <v>BEUPSYS</v>
      </c>
      <c r="H34" s="13">
        <f>MSR!L5</f>
        <v>664363</v>
      </c>
      <c r="I34" s="13">
        <f>MSR!M5</f>
        <v>33882513</v>
      </c>
      <c r="J34" s="135"/>
      <c r="K34" s="135"/>
      <c r="L34" s="135"/>
      <c r="M34" s="3"/>
    </row>
    <row r="35" spans="2:13" ht="19">
      <c r="B35" s="273"/>
      <c r="C35" s="279"/>
      <c r="D35" s="13" t="str">
        <f>MSR!D6</f>
        <v>TCIU Board</v>
      </c>
      <c r="E35" s="13" t="str">
        <f>MSR!E6</f>
        <v>R1B002187</v>
      </c>
      <c r="F35" s="13" t="str">
        <f>MSR!N6</f>
        <v>BEUPSYS</v>
      </c>
      <c r="G35" s="13" t="str">
        <f>MSR!O6</f>
        <v>BEUPSYS</v>
      </c>
      <c r="H35" s="13">
        <f>MSR!L6</f>
        <v>1129222</v>
      </c>
      <c r="I35" s="13">
        <f>MSR!M6</f>
        <v>57590322</v>
      </c>
      <c r="J35" s="135"/>
      <c r="K35" s="135"/>
      <c r="L35" s="135"/>
      <c r="M35" s="3"/>
    </row>
    <row r="36" spans="2:13" ht="19">
      <c r="B36" s="273"/>
      <c r="C36" s="279"/>
      <c r="D36" s="13" t="str">
        <f>MSR!D7</f>
        <v>PA_PBX Board</v>
      </c>
      <c r="E36" s="13" t="str">
        <f>MSR!E7</f>
        <v>R1B002188</v>
      </c>
      <c r="F36" s="13" t="str">
        <f>MSR!N7</f>
        <v>BEUPSYS</v>
      </c>
      <c r="G36" s="13" t="str">
        <f>MSR!O7</f>
        <v>BEUPSYS</v>
      </c>
      <c r="H36" s="13">
        <f>MSR!L7</f>
        <v>289000</v>
      </c>
      <c r="I36" s="13">
        <f>MSR!M7</f>
        <v>14739000</v>
      </c>
      <c r="J36" s="135"/>
      <c r="K36" s="135"/>
      <c r="L36" s="135"/>
      <c r="M36" s="3"/>
    </row>
    <row r="37" spans="2:13" ht="19">
      <c r="B37" s="273"/>
      <c r="C37" s="279"/>
      <c r="D37" s="13" t="str">
        <f>MSR!D8</f>
        <v>PA_ETX Board</v>
      </c>
      <c r="E37" s="13" t="str">
        <f>MSR!E8</f>
        <v>R1B002189</v>
      </c>
      <c r="F37" s="13" t="str">
        <f>MSR!N8</f>
        <v>BEUPSYS</v>
      </c>
      <c r="G37" s="13" t="str">
        <f>MSR!O8</f>
        <v>BEUPSYS</v>
      </c>
      <c r="H37" s="13">
        <f>MSR!L8</f>
        <v>474791</v>
      </c>
      <c r="I37" s="13">
        <f>MSR!M8</f>
        <v>24214341</v>
      </c>
      <c r="J37" s="135"/>
      <c r="K37" s="135"/>
      <c r="L37" s="135"/>
      <c r="M37" s="3"/>
    </row>
    <row r="38" spans="2:13" ht="19">
      <c r="B38" s="273"/>
      <c r="C38" s="279"/>
      <c r="D38" s="13" t="str">
        <f>MSR!D9</f>
        <v>NVR Board</v>
      </c>
      <c r="E38" s="13" t="str">
        <f>MSR!E9</f>
        <v>R1B002193 Rev.1</v>
      </c>
      <c r="F38" s="13" t="str">
        <f>MSR!N9</f>
        <v>BEUPSYS</v>
      </c>
      <c r="G38" s="13" t="str">
        <f>MSR!O9</f>
        <v>BEUPSYS</v>
      </c>
      <c r="H38" s="13">
        <v>913923</v>
      </c>
      <c r="I38" s="13">
        <f>MSR!M9</f>
        <v>46610073</v>
      </c>
      <c r="J38" s="135"/>
      <c r="K38" s="135"/>
      <c r="L38" s="135">
        <v>51</v>
      </c>
      <c r="M38" s="3"/>
    </row>
    <row r="39" spans="2:13" ht="38">
      <c r="B39" s="273"/>
      <c r="C39" s="279"/>
      <c r="D39" s="191" t="str">
        <f>MSR!D10</f>
        <v>CPU
TC170/i5-6300U</v>
      </c>
      <c r="E39" s="156" t="str">
        <f>MSR!E10</f>
        <v>-</v>
      </c>
      <c r="F39" s="156" t="str">
        <f>MSR!N10</f>
        <v>이엔엠테크놀로지</v>
      </c>
      <c r="G39" s="156" t="str">
        <f>MSR!O10</f>
        <v>CONGA</v>
      </c>
      <c r="H39" s="154">
        <f>MSR!L10</f>
        <v>763</v>
      </c>
      <c r="I39" s="154">
        <f>MSR!M10</f>
        <v>45780</v>
      </c>
      <c r="J39" s="135"/>
      <c r="K39" s="135"/>
      <c r="L39" s="135"/>
      <c r="M39" s="3"/>
    </row>
    <row r="40" spans="2:13" ht="38">
      <c r="B40" s="273"/>
      <c r="C40" s="279"/>
      <c r="D40" s="191" t="str">
        <f>MSR!D11</f>
        <v>CPU BRACKET 
TC170/CSP-B</v>
      </c>
      <c r="E40" s="156" t="str">
        <f>MSR!E11</f>
        <v>-</v>
      </c>
      <c r="F40" s="156" t="str">
        <f>MSR!N11</f>
        <v>이엔엠테크놀로지</v>
      </c>
      <c r="G40" s="156" t="str">
        <f>MSR!O11</f>
        <v>CONGA</v>
      </c>
      <c r="H40" s="154">
        <f>MSR!L11</f>
        <v>43.3</v>
      </c>
      <c r="I40" s="154">
        <f>MSR!M11</f>
        <v>2598</v>
      </c>
      <c r="J40" s="135"/>
      <c r="K40" s="135"/>
      <c r="L40" s="135"/>
      <c r="M40" s="3"/>
    </row>
    <row r="41" spans="2:13" ht="57">
      <c r="B41" s="273"/>
      <c r="C41" s="279"/>
      <c r="D41" s="192" t="str">
        <f>MSR!D12</f>
        <v>DDR4
(DDR4 4GB SODIMM 2400MT/S)</v>
      </c>
      <c r="E41" s="190" t="str">
        <f>MSR!E12</f>
        <v>-</v>
      </c>
      <c r="F41" s="190" t="str">
        <f>MSR!N12</f>
        <v>이노디스크</v>
      </c>
      <c r="G41" s="190" t="str">
        <f>MSR!O12</f>
        <v>이노디스크</v>
      </c>
      <c r="H41" s="101">
        <f>MSR!L12</f>
        <v>36000</v>
      </c>
      <c r="I41" s="101">
        <f>MSR!M12</f>
        <v>2160000</v>
      </c>
      <c r="J41" s="135"/>
      <c r="K41" s="135"/>
      <c r="L41" s="135"/>
      <c r="M41" s="17" t="s">
        <v>356</v>
      </c>
    </row>
    <row r="42" spans="2:13" ht="19">
      <c r="B42" s="273"/>
      <c r="C42" s="279"/>
      <c r="D42" s="13" t="str">
        <f>MSR!D13</f>
        <v>SSD Board</v>
      </c>
      <c r="E42" s="13" t="str">
        <f>MSR!E13</f>
        <v>R1B002191</v>
      </c>
      <c r="F42" s="13" t="str">
        <f>MSR!N13</f>
        <v>BEUPSYS</v>
      </c>
      <c r="G42" s="13" t="str">
        <f>MSR!O13</f>
        <v>BEUPSYS</v>
      </c>
      <c r="H42" s="13">
        <f>MSR!L13</f>
        <v>339000</v>
      </c>
      <c r="I42" s="13">
        <f>MSR!M13</f>
        <v>34578000</v>
      </c>
      <c r="J42" s="135"/>
      <c r="K42" s="135"/>
      <c r="L42" s="135"/>
      <c r="M42" s="3"/>
    </row>
    <row r="43" spans="2:13" ht="19">
      <c r="B43" s="273"/>
      <c r="C43" s="279"/>
      <c r="D43" s="156" t="str">
        <f>MSR!D14</f>
        <v>MSR Back Plane</v>
      </c>
      <c r="E43" s="156" t="str">
        <f>MSR!E14</f>
        <v>R1D007456</v>
      </c>
      <c r="F43" s="156" t="str">
        <f>MSR!N14</f>
        <v>앤츠</v>
      </c>
      <c r="G43" s="156" t="str">
        <f>MSR!O14</f>
        <v>앤츠</v>
      </c>
      <c r="H43" s="156">
        <f>MSR!L14</f>
        <v>300000</v>
      </c>
      <c r="I43" s="156">
        <f>MSR!M14</f>
        <v>16500000</v>
      </c>
      <c r="J43" s="157">
        <v>45499</v>
      </c>
      <c r="K43" s="157">
        <v>45499</v>
      </c>
      <c r="L43" s="153" t="s">
        <v>283</v>
      </c>
      <c r="M43" s="3"/>
    </row>
    <row r="44" spans="2:13" ht="19">
      <c r="B44" s="273"/>
      <c r="C44" s="279"/>
      <c r="D44" s="156" t="str">
        <f>MSR!D15</f>
        <v>Frame</v>
      </c>
      <c r="E44" s="156" t="str">
        <f>MSR!E15</f>
        <v>R1B002086</v>
      </c>
      <c r="F44" s="156" t="str">
        <f>MSR!N15</f>
        <v>USK</v>
      </c>
      <c r="G44" s="156" t="str">
        <f>MSR!O15</f>
        <v>USK</v>
      </c>
      <c r="H44" s="156">
        <f>MSR!L15</f>
        <v>630000</v>
      </c>
      <c r="I44" s="156">
        <f>MSR!M15</f>
        <v>32130000</v>
      </c>
      <c r="J44" s="157">
        <v>45497</v>
      </c>
      <c r="K44" s="157">
        <v>45497</v>
      </c>
      <c r="L44" s="153">
        <v>51</v>
      </c>
      <c r="M44" s="3"/>
    </row>
    <row r="45" spans="2:13" ht="19">
      <c r="B45" s="273"/>
      <c r="C45" s="279"/>
      <c r="D45" s="13" t="str">
        <f>MSR!D16</f>
        <v>Name Plate, AL, T1</v>
      </c>
      <c r="E45" s="13" t="str">
        <f>MSR!E16</f>
        <v>R1C001342_4</v>
      </c>
      <c r="F45" s="13" t="str">
        <f>MSR!N16</f>
        <v>-</v>
      </c>
      <c r="G45" s="13" t="str">
        <f>MSR!O16</f>
        <v>-</v>
      </c>
      <c r="H45" s="13" t="str">
        <f>MSR!L16</f>
        <v>-</v>
      </c>
      <c r="I45" s="13" t="str">
        <f>MSR!M16</f>
        <v>-</v>
      </c>
      <c r="J45" s="135"/>
      <c r="K45" s="135"/>
      <c r="L45" s="135"/>
      <c r="M45" s="3"/>
    </row>
    <row r="46" spans="2:13" ht="19">
      <c r="B46" s="273"/>
      <c r="C46" s="279"/>
      <c r="D46" s="190" t="str">
        <f>MSR!D17</f>
        <v>SSD(2T)</v>
      </c>
      <c r="E46" s="190" t="str">
        <f>MSR!E17</f>
        <v>-</v>
      </c>
      <c r="F46" s="190" t="str">
        <f>MSR!N17</f>
        <v>이노디스크</v>
      </c>
      <c r="G46" s="190" t="str">
        <f>MSR!O17</f>
        <v>이노디스크</v>
      </c>
      <c r="H46" s="101">
        <f>MSR!L17</f>
        <v>490000</v>
      </c>
      <c r="I46" s="101">
        <f>MSR!M17</f>
        <v>50960000</v>
      </c>
      <c r="J46" s="158"/>
      <c r="K46" s="158"/>
      <c r="L46" s="38"/>
      <c r="M46" s="17" t="s">
        <v>356</v>
      </c>
    </row>
    <row r="47" spans="2:13" ht="18">
      <c r="B47" s="273"/>
      <c r="C47" s="279"/>
      <c r="D47" s="199"/>
      <c r="E47" s="199"/>
      <c r="F47" s="199"/>
      <c r="G47" s="199"/>
      <c r="H47" s="203"/>
      <c r="I47" s="204"/>
      <c r="J47" s="205"/>
      <c r="K47" s="205"/>
      <c r="L47" s="206"/>
      <c r="M47" s="202"/>
    </row>
    <row r="48" spans="2:13" ht="19">
      <c r="B48" s="274"/>
      <c r="C48" s="280"/>
      <c r="D48" s="148" t="s">
        <v>286</v>
      </c>
      <c r="E48" s="148"/>
      <c r="F48" s="149" t="s">
        <v>262</v>
      </c>
      <c r="G48" s="149" t="s">
        <v>262</v>
      </c>
      <c r="H48" s="150"/>
      <c r="I48" s="156">
        <f>MSR!M42</f>
        <v>19884440</v>
      </c>
      <c r="J48" s="137">
        <v>45497</v>
      </c>
      <c r="K48" s="137">
        <v>45497</v>
      </c>
      <c r="L48" s="149"/>
      <c r="M48" s="15"/>
    </row>
    <row r="49" spans="2:13" ht="19">
      <c r="B49" s="272">
        <v>3</v>
      </c>
      <c r="C49" s="278" t="s">
        <v>4</v>
      </c>
      <c r="D49" s="151"/>
      <c r="E49" s="152" t="s">
        <v>3</v>
      </c>
      <c r="F49" s="135"/>
      <c r="G49" s="135"/>
      <c r="H49" s="13"/>
      <c r="I49" s="13"/>
      <c r="J49" s="135"/>
      <c r="K49" s="135"/>
      <c r="L49" s="135"/>
      <c r="M49" s="3"/>
    </row>
    <row r="50" spans="2:13" ht="19">
      <c r="B50" s="273"/>
      <c r="C50" s="279"/>
      <c r="D50" s="13" t="str">
        <f>CTM!D3</f>
        <v>Main Frame</v>
      </c>
      <c r="E50" s="13" t="str">
        <f>CTM!E3</f>
        <v>R1B002140</v>
      </c>
      <c r="F50" s="13" t="str">
        <f>CTM!N3</f>
        <v>세일엔지니어링</v>
      </c>
      <c r="G50" s="13" t="str">
        <f>CTM!O3</f>
        <v>세일엔지니어링</v>
      </c>
      <c r="H50" s="13">
        <f>CTM!L3</f>
        <v>304800</v>
      </c>
      <c r="I50" s="13">
        <f>CTM!M3</f>
        <v>15544800</v>
      </c>
      <c r="J50" s="135"/>
      <c r="K50" s="135"/>
      <c r="L50" s="135"/>
      <c r="M50" s="3"/>
    </row>
    <row r="51" spans="2:13" ht="19">
      <c r="B51" s="273"/>
      <c r="C51" s="279"/>
      <c r="D51" s="13" t="str">
        <f>CTM!D4</f>
        <v>Lower Cover</v>
      </c>
      <c r="E51" s="13" t="str">
        <f>CTM!E4</f>
        <v>R1C001370</v>
      </c>
      <c r="F51" s="13" t="str">
        <f>CTM!N4</f>
        <v>세일엔지니어링</v>
      </c>
      <c r="G51" s="13" t="str">
        <f>CTM!O4</f>
        <v>세일엔지니어링</v>
      </c>
      <c r="H51" s="13" t="str">
        <f>CTM!L4</f>
        <v>-</v>
      </c>
      <c r="I51" s="13" t="str">
        <f>CTM!M4</f>
        <v>-</v>
      </c>
      <c r="J51" s="135"/>
      <c r="K51" s="135"/>
      <c r="L51" s="135"/>
      <c r="M51" s="3"/>
    </row>
    <row r="52" spans="2:13" ht="19">
      <c r="B52" s="273"/>
      <c r="C52" s="279"/>
      <c r="D52" s="13" t="str">
        <f>CTM!D5</f>
        <v>Rear Cover</v>
      </c>
      <c r="E52" s="13" t="str">
        <f>CTM!E5</f>
        <v>R1B002142</v>
      </c>
      <c r="F52" s="13" t="str">
        <f>CTM!N5</f>
        <v>세일엔지니어링</v>
      </c>
      <c r="G52" s="13" t="str">
        <f>CTM!O5</f>
        <v>세일엔지니어링</v>
      </c>
      <c r="H52" s="13" t="str">
        <f>CTM!L5</f>
        <v>-</v>
      </c>
      <c r="I52" s="13" t="str">
        <f>CTM!M5</f>
        <v>-</v>
      </c>
      <c r="J52" s="135"/>
      <c r="K52" s="135"/>
      <c r="L52" s="135"/>
      <c r="M52" s="3"/>
    </row>
    <row r="53" spans="2:13" ht="19">
      <c r="B53" s="273"/>
      <c r="C53" s="279"/>
      <c r="D53" s="156" t="str">
        <f>CTM!D6</f>
        <v>10.4" LCD</v>
      </c>
      <c r="E53" s="156" t="str">
        <f>CTM!E6</f>
        <v>RES40001002</v>
      </c>
      <c r="F53" s="156" t="str">
        <f>CTM!N6</f>
        <v>티렉스아이엔씨</v>
      </c>
      <c r="G53" s="156" t="str">
        <f>CTM!O6</f>
        <v>CPT</v>
      </c>
      <c r="H53" s="156">
        <f>CTM!L6</f>
        <v>185000</v>
      </c>
      <c r="I53" s="156">
        <f>CTM!M6</f>
        <v>11100000</v>
      </c>
      <c r="J53" s="157">
        <v>45497</v>
      </c>
      <c r="K53" s="157">
        <v>45497</v>
      </c>
      <c r="L53" s="153" t="s">
        <v>278</v>
      </c>
      <c r="M53" s="16" t="s">
        <v>185</v>
      </c>
    </row>
    <row r="54" spans="2:13" ht="19">
      <c r="B54" s="273"/>
      <c r="C54" s="279"/>
      <c r="D54" s="13" t="str">
        <f>CTM!D7</f>
        <v>Control Board Bracket</v>
      </c>
      <c r="E54" s="13" t="str">
        <f>CTM!E7</f>
        <v>R1C001371</v>
      </c>
      <c r="F54" s="13" t="str">
        <f>CTM!N7</f>
        <v>세일엔지니어링</v>
      </c>
      <c r="G54" s="13" t="str">
        <f>CTM!O7</f>
        <v>세일엔지니어링</v>
      </c>
      <c r="H54" s="13" t="str">
        <f>CTM!L7</f>
        <v>-</v>
      </c>
      <c r="I54" s="159" t="s">
        <v>316</v>
      </c>
      <c r="J54" s="135"/>
      <c r="K54" s="135"/>
      <c r="L54" s="135"/>
      <c r="M54" s="3"/>
    </row>
    <row r="55" spans="2:13" ht="19">
      <c r="B55" s="273"/>
      <c r="C55" s="279"/>
      <c r="D55" s="13" t="str">
        <f>CTM!D8</f>
        <v>Control Board</v>
      </c>
      <c r="E55" s="13" t="str">
        <f>CTM!E8</f>
        <v>R1C001372 Rev.1</v>
      </c>
      <c r="F55" s="13" t="str">
        <f>CTM!N8</f>
        <v>BEUPSYS</v>
      </c>
      <c r="G55" s="13" t="str">
        <f>CTM!O8</f>
        <v>BEUPSYS</v>
      </c>
      <c r="H55" s="13">
        <f>CTM!L8</f>
        <v>923923</v>
      </c>
      <c r="I55" s="159" t="s">
        <v>316</v>
      </c>
      <c r="J55" s="135"/>
      <c r="K55" s="135"/>
      <c r="L55" s="135"/>
      <c r="M55" s="3"/>
    </row>
    <row r="56" spans="2:13" ht="19">
      <c r="B56" s="273"/>
      <c r="C56" s="279"/>
      <c r="D56" s="191" t="str">
        <f>CTM!D9</f>
        <v xml:space="preserve">CPU TCA3/i-E3845 </v>
      </c>
      <c r="E56" s="156" t="str">
        <f>CTM!E9</f>
        <v>-</v>
      </c>
      <c r="F56" s="156" t="str">
        <f>CTM!N9</f>
        <v>이엔엠테크놀로지</v>
      </c>
      <c r="G56" s="156" t="str">
        <f>CTM!O9</f>
        <v>CONGA</v>
      </c>
      <c r="H56" s="154">
        <f>CTM!L9</f>
        <v>327</v>
      </c>
      <c r="I56" s="154">
        <f>CTM!M9</f>
        <v>22890</v>
      </c>
      <c r="J56" s="157">
        <v>45684</v>
      </c>
      <c r="K56" s="157">
        <v>45442</v>
      </c>
      <c r="L56" s="157" t="s">
        <v>191</v>
      </c>
      <c r="M56" s="3" t="s">
        <v>185</v>
      </c>
    </row>
    <row r="57" spans="2:13" ht="19">
      <c r="B57" s="273"/>
      <c r="C57" s="279"/>
      <c r="D57" s="191" t="str">
        <f>CTM!D10</f>
        <v xml:space="preserve">CPU BRACKET TCA3/CSP-B </v>
      </c>
      <c r="E57" s="156" t="str">
        <f>CTM!E10</f>
        <v>-</v>
      </c>
      <c r="F57" s="156" t="str">
        <f>CTM!N10</f>
        <v>이엔엠테크놀로지</v>
      </c>
      <c r="G57" s="156" t="str">
        <f>CTM!O10</f>
        <v>CONGA</v>
      </c>
      <c r="H57" s="154">
        <f>CTM!L10</f>
        <v>40.6</v>
      </c>
      <c r="I57" s="154">
        <f>CTM!M10</f>
        <v>2842</v>
      </c>
      <c r="J57" s="157">
        <v>45684</v>
      </c>
      <c r="K57" s="157">
        <v>45442</v>
      </c>
      <c r="L57" s="157" t="s">
        <v>191</v>
      </c>
      <c r="M57" s="3" t="s">
        <v>185</v>
      </c>
    </row>
    <row r="58" spans="2:13" ht="57">
      <c r="B58" s="273"/>
      <c r="C58" s="279"/>
      <c r="D58" s="192" t="str">
        <f>CTM!D11</f>
        <v>DDR4
(DDR3L 4GB SODIMM 1600MT/S)</v>
      </c>
      <c r="E58" s="190" t="str">
        <f>CTM!E11</f>
        <v>-</v>
      </c>
      <c r="F58" s="190" t="str">
        <f>CTM!N11</f>
        <v>이노디스크</v>
      </c>
      <c r="G58" s="190" t="str">
        <f>CTM!O11</f>
        <v>이노디스크</v>
      </c>
      <c r="H58" s="101">
        <f>CTM!L11</f>
        <v>36000</v>
      </c>
      <c r="I58" s="101">
        <f>CTM!M11</f>
        <v>2520000</v>
      </c>
      <c r="J58" s="158"/>
      <c r="K58" s="158"/>
      <c r="L58" s="158"/>
      <c r="M58" s="17" t="s">
        <v>356</v>
      </c>
    </row>
    <row r="59" spans="2:13" ht="19">
      <c r="B59" s="273"/>
      <c r="C59" s="279"/>
      <c r="D59" s="13" t="str">
        <f>CTM!D12</f>
        <v>Power Board</v>
      </c>
      <c r="E59" s="13" t="str">
        <f>CTM!E12</f>
        <v>R1C001369</v>
      </c>
      <c r="F59" s="13" t="str">
        <f>CTM!N12</f>
        <v>이지파워</v>
      </c>
      <c r="G59" s="13" t="str">
        <f>CTM!O12</f>
        <v>이지파워</v>
      </c>
      <c r="H59" s="13">
        <f>CTM!L12</f>
        <v>112000</v>
      </c>
      <c r="I59" s="13">
        <f>CTM!M12</f>
        <v>6720000</v>
      </c>
      <c r="J59" s="135"/>
      <c r="K59" s="135"/>
      <c r="L59" s="135"/>
      <c r="M59" s="3"/>
    </row>
    <row r="60" spans="2:13" ht="19">
      <c r="B60" s="273"/>
      <c r="C60" s="279"/>
      <c r="D60" s="156" t="str">
        <f>CTM!D13</f>
        <v>3P Connector</v>
      </c>
      <c r="E60" s="156" t="str">
        <f>CTM!E13</f>
        <v>770-213</v>
      </c>
      <c r="F60" s="156" t="str">
        <f>CTM!N13</f>
        <v>아이닉스</v>
      </c>
      <c r="G60" s="156" t="str">
        <f>CTM!O13</f>
        <v>WAGO</v>
      </c>
      <c r="H60" s="161">
        <f>CTM!L13</f>
        <v>2800</v>
      </c>
      <c r="I60" s="161">
        <f>CTM!M13</f>
        <v>154000</v>
      </c>
      <c r="J60" s="137">
        <v>45497</v>
      </c>
      <c r="K60" s="137">
        <v>45497</v>
      </c>
      <c r="L60" s="138" t="s">
        <v>283</v>
      </c>
      <c r="M60" s="16"/>
    </row>
    <row r="61" spans="2:13" ht="19">
      <c r="B61" s="273"/>
      <c r="C61" s="279"/>
      <c r="D61" s="156" t="str">
        <f>CTM!D14</f>
        <v>Locking</v>
      </c>
      <c r="E61" s="156" t="str">
        <f>CTM!E14</f>
        <v>770-101</v>
      </c>
      <c r="F61" s="156" t="str">
        <f>CTM!N14</f>
        <v>아이닉스</v>
      </c>
      <c r="G61" s="156" t="str">
        <f>CTM!O14</f>
        <v>WAGO</v>
      </c>
      <c r="H61" s="161">
        <f>CTM!L14</f>
        <v>350</v>
      </c>
      <c r="I61" s="161">
        <f>CTM!M14</f>
        <v>19250</v>
      </c>
      <c r="J61" s="137">
        <v>45497</v>
      </c>
      <c r="K61" s="137">
        <v>45497</v>
      </c>
      <c r="L61" s="138" t="s">
        <v>283</v>
      </c>
      <c r="M61" s="16"/>
    </row>
    <row r="62" spans="2:13" ht="19">
      <c r="B62" s="273"/>
      <c r="C62" s="279"/>
      <c r="D62" s="156" t="str">
        <f>CTM!D15</f>
        <v>4P Connector</v>
      </c>
      <c r="E62" s="156" t="str">
        <f>CTM!E15</f>
        <v>21 03 882 2405</v>
      </c>
      <c r="F62" s="156" t="str">
        <f>CTM!N15</f>
        <v>아이닉스</v>
      </c>
      <c r="G62" s="156" t="str">
        <f>CTM!O15</f>
        <v>HARTING</v>
      </c>
      <c r="H62" s="161">
        <f>CTM!L15</f>
        <v>32300</v>
      </c>
      <c r="I62" s="161">
        <f>CTM!M15</f>
        <v>6589200</v>
      </c>
      <c r="J62" s="137">
        <v>45497</v>
      </c>
      <c r="K62" s="137">
        <v>45497</v>
      </c>
      <c r="L62" s="138" t="s">
        <v>283</v>
      </c>
      <c r="M62" s="16"/>
    </row>
    <row r="63" spans="2:13" ht="19">
      <c r="B63" s="273"/>
      <c r="C63" s="279"/>
      <c r="D63" s="156" t="str">
        <f>CTM!D16</f>
        <v>Pin</v>
      </c>
      <c r="E63" s="156" t="str">
        <f>CTM!E16</f>
        <v>09 67 000 5476</v>
      </c>
      <c r="F63" s="156" t="str">
        <f>CTM!N16</f>
        <v>아이닉스</v>
      </c>
      <c r="G63" s="156" t="str">
        <f>CTM!O16</f>
        <v>HARTING</v>
      </c>
      <c r="H63" s="161">
        <f>CTM!L16</f>
        <v>1300</v>
      </c>
      <c r="I63" s="161">
        <f>CTM!M16</f>
        <v>1060800</v>
      </c>
      <c r="J63" s="137">
        <v>45497</v>
      </c>
      <c r="K63" s="137">
        <v>45497</v>
      </c>
      <c r="L63" s="138" t="s">
        <v>283</v>
      </c>
      <c r="M63" s="16"/>
    </row>
    <row r="64" spans="2:13" ht="19">
      <c r="B64" s="273"/>
      <c r="C64" s="279"/>
      <c r="D64" s="156" t="str">
        <f>CTM!D17</f>
        <v>Cable Gland</v>
      </c>
      <c r="E64" s="156" t="str">
        <f>CTM!E17</f>
        <v>DAM-25</v>
      </c>
      <c r="F64" s="156" t="str">
        <f>CTM!N17</f>
        <v>아이닉스</v>
      </c>
      <c r="G64" s="156" t="str">
        <f>CTM!O17</f>
        <v>DONGA</v>
      </c>
      <c r="H64" s="161">
        <f>CTM!L17</f>
        <v>1000</v>
      </c>
      <c r="I64" s="161">
        <f>CTM!M17</f>
        <v>110000</v>
      </c>
      <c r="J64" s="137">
        <v>45497</v>
      </c>
      <c r="K64" s="137">
        <v>45497</v>
      </c>
      <c r="L64" s="138" t="s">
        <v>283</v>
      </c>
      <c r="M64" s="16"/>
    </row>
    <row r="65" spans="2:13" ht="19">
      <c r="B65" s="273"/>
      <c r="C65" s="279"/>
      <c r="D65" s="190" t="str">
        <f>CTM!D18</f>
        <v>USB Adapter</v>
      </c>
      <c r="E65" s="190" t="str">
        <f>CTM!E18</f>
        <v>ECF504-12AAS (600mm)</v>
      </c>
      <c r="F65" s="190" t="str">
        <f>CTM!N18</f>
        <v>아이닉스</v>
      </c>
      <c r="G65" s="190" t="str">
        <f>CTM!O18</f>
        <v>L-COM</v>
      </c>
      <c r="H65" s="162">
        <f>CTM!L18</f>
        <v>28900</v>
      </c>
      <c r="I65" s="162">
        <f>CTM!M18</f>
        <v>1589500</v>
      </c>
      <c r="J65" s="142"/>
      <c r="K65" s="142"/>
      <c r="L65" s="143"/>
      <c r="M65" s="17" t="s">
        <v>356</v>
      </c>
    </row>
    <row r="66" spans="2:13" ht="19">
      <c r="B66" s="273"/>
      <c r="C66" s="279"/>
      <c r="D66" s="13" t="str">
        <f>CTM!D19</f>
        <v>Name Plate</v>
      </c>
      <c r="E66" s="13" t="str">
        <f>CTM!E19</f>
        <v>R1C001342_12</v>
      </c>
      <c r="F66" s="13" t="str">
        <f>CTM!N19</f>
        <v>-</v>
      </c>
      <c r="G66" s="13" t="str">
        <f>CTM!O19</f>
        <v>-</v>
      </c>
      <c r="H66" s="13" t="str">
        <f>CTM!L19</f>
        <v>-</v>
      </c>
      <c r="I66" s="13" t="str">
        <f>CTM!M19</f>
        <v>-</v>
      </c>
      <c r="J66" s="135"/>
      <c r="K66" s="135"/>
      <c r="L66" s="135"/>
      <c r="M66" s="3"/>
    </row>
    <row r="67" spans="2:13" ht="18">
      <c r="B67" s="273"/>
      <c r="C67" s="279"/>
      <c r="D67" s="12"/>
      <c r="E67" s="12"/>
      <c r="F67" s="12"/>
      <c r="G67" s="12"/>
      <c r="H67" s="12"/>
      <c r="I67" s="13"/>
      <c r="J67" s="135"/>
      <c r="K67" s="135"/>
      <c r="L67" s="134"/>
      <c r="M67" s="2"/>
    </row>
    <row r="68" spans="2:13" ht="19">
      <c r="B68" s="274"/>
      <c r="C68" s="280"/>
      <c r="D68" s="148" t="s">
        <v>286</v>
      </c>
      <c r="E68" s="148"/>
      <c r="F68" s="149" t="s">
        <v>262</v>
      </c>
      <c r="G68" s="149" t="s">
        <v>262</v>
      </c>
      <c r="H68" s="150"/>
      <c r="I68" s="156">
        <f>CTM!M34</f>
        <v>310200</v>
      </c>
      <c r="J68" s="137">
        <v>45497</v>
      </c>
      <c r="K68" s="137">
        <v>45497</v>
      </c>
      <c r="L68" s="149"/>
      <c r="M68" s="15"/>
    </row>
    <row r="69" spans="2:13" ht="19">
      <c r="B69" s="272">
        <v>4</v>
      </c>
      <c r="C69" s="278" t="s">
        <v>6</v>
      </c>
      <c r="D69" s="151"/>
      <c r="E69" s="152" t="s">
        <v>5</v>
      </c>
      <c r="F69" s="135"/>
      <c r="G69" s="135"/>
      <c r="H69" s="13"/>
      <c r="I69" s="13"/>
      <c r="J69" s="135"/>
      <c r="K69" s="135"/>
      <c r="L69" s="135"/>
      <c r="M69" s="3"/>
    </row>
    <row r="70" spans="2:13" ht="19">
      <c r="B70" s="273"/>
      <c r="C70" s="279"/>
      <c r="D70" s="161" t="str">
        <f>PAB!D3</f>
        <v>Main Frame, STS304, T1.5</v>
      </c>
      <c r="E70" s="161" t="str">
        <f>PAB!E3</f>
        <v>R1B002078</v>
      </c>
      <c r="F70" s="161" t="str">
        <f>PAB!M3</f>
        <v>세일엔지니어링</v>
      </c>
      <c r="G70" s="161" t="str">
        <f>PAB!N3</f>
        <v>세일엔지니어링</v>
      </c>
      <c r="H70" s="161">
        <f>PAB!K3</f>
        <v>260000</v>
      </c>
      <c r="I70" s="161">
        <f>PAB!L3</f>
        <v>13260000</v>
      </c>
      <c r="J70" s="163">
        <v>45457</v>
      </c>
      <c r="K70" s="163">
        <v>45478</v>
      </c>
      <c r="L70" s="163" t="s">
        <v>279</v>
      </c>
      <c r="M70" s="3"/>
    </row>
    <row r="71" spans="2:13" ht="19">
      <c r="B71" s="273"/>
      <c r="C71" s="279"/>
      <c r="D71" s="161" t="str">
        <f>PAB!D4</f>
        <v>Left Cover, STS304, T1.5</v>
      </c>
      <c r="E71" s="161" t="str">
        <f>PAB!E4</f>
        <v>R1B002079</v>
      </c>
      <c r="F71" s="161" t="str">
        <f>PAB!M4</f>
        <v>세일엔지니어링</v>
      </c>
      <c r="G71" s="161" t="str">
        <f>PAB!N4</f>
        <v>세일엔지니어링</v>
      </c>
      <c r="H71" s="161" t="str">
        <f>PAB!K4</f>
        <v>-</v>
      </c>
      <c r="I71" s="161" t="str">
        <f>PAB!L4</f>
        <v>-</v>
      </c>
      <c r="J71" s="138"/>
      <c r="K71" s="138"/>
      <c r="L71" s="138"/>
      <c r="M71" s="3"/>
    </row>
    <row r="72" spans="2:13" ht="19">
      <c r="B72" s="273"/>
      <c r="C72" s="279"/>
      <c r="D72" s="161" t="str">
        <f>PAB!D5</f>
        <v>Right Cover, STS304, T1.5</v>
      </c>
      <c r="E72" s="161" t="str">
        <f>PAB!E5</f>
        <v>R1B002080</v>
      </c>
      <c r="F72" s="161" t="str">
        <f>PAB!M5</f>
        <v>세일엔지니어링</v>
      </c>
      <c r="G72" s="161" t="str">
        <f>PAB!N5</f>
        <v>세일엔지니어링</v>
      </c>
      <c r="H72" s="161" t="str">
        <f>PAB!K5</f>
        <v>-</v>
      </c>
      <c r="I72" s="161" t="str">
        <f>PAB!L5</f>
        <v>-</v>
      </c>
      <c r="J72" s="138"/>
      <c r="K72" s="138"/>
      <c r="L72" s="138"/>
      <c r="M72" s="3"/>
    </row>
    <row r="73" spans="2:13" ht="19">
      <c r="B73" s="273"/>
      <c r="C73" s="279"/>
      <c r="D73" s="161" t="str">
        <f>PAB!D6</f>
        <v>Rear Cover, STS304, T1.5</v>
      </c>
      <c r="E73" s="161" t="str">
        <f>PAB!E6</f>
        <v>R1B002081</v>
      </c>
      <c r="F73" s="161" t="str">
        <f>PAB!M6</f>
        <v>세일엔지니어링</v>
      </c>
      <c r="G73" s="161" t="str">
        <f>PAB!N6</f>
        <v>세일엔지니어링</v>
      </c>
      <c r="H73" s="161" t="str">
        <f>PAB!K6</f>
        <v>-</v>
      </c>
      <c r="I73" s="161" t="str">
        <f>PAB!L6</f>
        <v>-</v>
      </c>
      <c r="J73" s="138"/>
      <c r="K73" s="138"/>
      <c r="L73" s="138"/>
      <c r="M73" s="3"/>
    </row>
    <row r="74" spans="2:13" ht="19">
      <c r="B74" s="273"/>
      <c r="C74" s="279"/>
      <c r="D74" s="198" t="str">
        <f>PAB!D7</f>
        <v>Power Board</v>
      </c>
      <c r="E74" s="198" t="str">
        <f>PAB!E7</f>
        <v>R1D007400</v>
      </c>
      <c r="F74" s="198" t="str">
        <f>PAB!M7</f>
        <v>이지파워</v>
      </c>
      <c r="G74" s="198" t="str">
        <f>PAB!N7</f>
        <v>이지파워</v>
      </c>
      <c r="H74" s="13">
        <f>PAB!K7</f>
        <v>89000</v>
      </c>
      <c r="I74" s="13">
        <f>PAB!L7</f>
        <v>4895000</v>
      </c>
      <c r="J74" s="164">
        <v>45506</v>
      </c>
      <c r="K74" s="135"/>
      <c r="L74" s="135"/>
      <c r="M74" s="3" t="s">
        <v>185</v>
      </c>
    </row>
    <row r="75" spans="2:13" ht="19">
      <c r="B75" s="273"/>
      <c r="C75" s="279"/>
      <c r="D75" s="198" t="str">
        <f>PAB!D8</f>
        <v>Control Board</v>
      </c>
      <c r="E75" s="198" t="str">
        <f>PAB!E8</f>
        <v>R1D007401</v>
      </c>
      <c r="F75" s="198" t="str">
        <f>PAB!M8</f>
        <v>BEUPSYS</v>
      </c>
      <c r="G75" s="198" t="str">
        <f>PAB!N8</f>
        <v>BUSYS</v>
      </c>
      <c r="H75" s="13">
        <f>PAB!K8</f>
        <v>330000</v>
      </c>
      <c r="I75" s="13">
        <f>PAB!L8</f>
        <v>18150000</v>
      </c>
      <c r="J75" s="135"/>
      <c r="K75" s="135"/>
      <c r="L75" s="135"/>
      <c r="M75" s="3"/>
    </row>
    <row r="76" spans="2:13" ht="19">
      <c r="B76" s="273"/>
      <c r="C76" s="279"/>
      <c r="D76" s="161" t="str">
        <f>PAB!D9</f>
        <v>3P Connector, N&amp;G coding</v>
      </c>
      <c r="E76" s="161" t="str">
        <f>PAB!E9</f>
        <v>770-213</v>
      </c>
      <c r="F76" s="161" t="str">
        <f>PAB!M9</f>
        <v>아이닉스</v>
      </c>
      <c r="G76" s="161" t="str">
        <f>PAB!N9</f>
        <v>WAGO</v>
      </c>
      <c r="H76" s="161">
        <f>PAB!K9</f>
        <v>2800</v>
      </c>
      <c r="I76" s="161">
        <f>PAB!L9</f>
        <v>616000</v>
      </c>
      <c r="J76" s="137">
        <v>45497</v>
      </c>
      <c r="K76" s="137">
        <v>45497</v>
      </c>
      <c r="L76" s="138" t="s">
        <v>283</v>
      </c>
      <c r="M76" s="3"/>
    </row>
    <row r="77" spans="2:13" ht="19">
      <c r="B77" s="273"/>
      <c r="C77" s="279"/>
      <c r="D77" s="161" t="str">
        <f>PAB!D10</f>
        <v>4P Connector</v>
      </c>
      <c r="E77" s="161" t="str">
        <f>PAB!E10</f>
        <v>770-214</v>
      </c>
      <c r="F77" s="161" t="str">
        <f>PAB!M10</f>
        <v>아이닉스</v>
      </c>
      <c r="G77" s="161" t="str">
        <f>PAB!N10</f>
        <v>WAGO</v>
      </c>
      <c r="H77" s="161">
        <f>PAB!K10</f>
        <v>4600</v>
      </c>
      <c r="I77" s="161">
        <f>PAB!L10</f>
        <v>253000</v>
      </c>
      <c r="J77" s="137">
        <v>45497</v>
      </c>
      <c r="K77" s="137">
        <v>45497</v>
      </c>
      <c r="L77" s="138" t="s">
        <v>283</v>
      </c>
      <c r="M77" s="3"/>
    </row>
    <row r="78" spans="2:13" ht="19">
      <c r="B78" s="273"/>
      <c r="C78" s="279"/>
      <c r="D78" s="161" t="str">
        <f>PAB!D11</f>
        <v>Locking</v>
      </c>
      <c r="E78" s="161" t="str">
        <f>PAB!E11</f>
        <v>770-101</v>
      </c>
      <c r="F78" s="161" t="str">
        <f>PAB!M11</f>
        <v>아이닉스</v>
      </c>
      <c r="G78" s="161" t="str">
        <f>PAB!N11</f>
        <v>WAGO</v>
      </c>
      <c r="H78" s="161">
        <f>PAB!K11</f>
        <v>350</v>
      </c>
      <c r="I78" s="161">
        <f>PAB!L11</f>
        <v>96250</v>
      </c>
      <c r="J78" s="137">
        <v>45497</v>
      </c>
      <c r="K78" s="137">
        <v>45497</v>
      </c>
      <c r="L78" s="138" t="s">
        <v>283</v>
      </c>
      <c r="M78" s="3"/>
    </row>
    <row r="79" spans="2:13" ht="19">
      <c r="B79" s="273"/>
      <c r="C79" s="279"/>
      <c r="D79" s="161" t="str">
        <f>PAB!D12</f>
        <v>4P Connector</v>
      </c>
      <c r="E79" s="161" t="str">
        <f>PAB!E12</f>
        <v>21 03 882 2405</v>
      </c>
      <c r="F79" s="161" t="str">
        <f>PAB!M12</f>
        <v>아이닉스</v>
      </c>
      <c r="G79" s="161" t="str">
        <f>PAB!N12</f>
        <v>HARTING</v>
      </c>
      <c r="H79" s="161">
        <f>PAB!K12</f>
        <v>32300</v>
      </c>
      <c r="I79" s="161">
        <f>PAB!L12</f>
        <v>1776500</v>
      </c>
      <c r="J79" s="137">
        <v>45497</v>
      </c>
      <c r="K79" s="137">
        <v>45497</v>
      </c>
      <c r="L79" s="138" t="s">
        <v>283</v>
      </c>
      <c r="M79" s="3"/>
    </row>
    <row r="80" spans="2:13" ht="19">
      <c r="B80" s="273"/>
      <c r="C80" s="279"/>
      <c r="D80" s="161" t="str">
        <f>PAB!D13</f>
        <v>Pin</v>
      </c>
      <c r="E80" s="161" t="str">
        <f>PAB!E13</f>
        <v>09 67 000 5476</v>
      </c>
      <c r="F80" s="161" t="str">
        <f>PAB!M13</f>
        <v>아이닉스</v>
      </c>
      <c r="G80" s="161" t="str">
        <f>PAB!N13</f>
        <v>HARTING</v>
      </c>
      <c r="H80" s="161">
        <f>PAB!K13</f>
        <v>1300</v>
      </c>
      <c r="I80" s="161">
        <f>PAB!L13</f>
        <v>286000</v>
      </c>
      <c r="J80" s="137">
        <v>45497</v>
      </c>
      <c r="K80" s="137">
        <v>45497</v>
      </c>
      <c r="L80" s="138" t="s">
        <v>283</v>
      </c>
      <c r="M80" s="3"/>
    </row>
    <row r="81" spans="2:13" ht="19">
      <c r="B81" s="273"/>
      <c r="C81" s="279"/>
      <c r="D81" s="161" t="str">
        <f>PAB!D14</f>
        <v>8P Connector</v>
      </c>
      <c r="E81" s="161" t="str">
        <f>PAB!E14</f>
        <v>UTG0128S</v>
      </c>
      <c r="F81" s="161" t="str">
        <f>PAB!M14</f>
        <v>아이닉스</v>
      </c>
      <c r="G81" s="161" t="str">
        <f>PAB!N14</f>
        <v>SOURIAU</v>
      </c>
      <c r="H81" s="161">
        <f>PAB!K14</f>
        <v>14350</v>
      </c>
      <c r="I81" s="161">
        <f>PAB!L14</f>
        <v>789250</v>
      </c>
      <c r="J81" s="137">
        <v>45497</v>
      </c>
      <c r="K81" s="137">
        <v>45497</v>
      </c>
      <c r="L81" s="138" t="s">
        <v>283</v>
      </c>
      <c r="M81" s="3"/>
    </row>
    <row r="82" spans="2:13" ht="19">
      <c r="B82" s="273"/>
      <c r="C82" s="279"/>
      <c r="D82" s="161" t="str">
        <f>PAB!D15</f>
        <v>Pin</v>
      </c>
      <c r="E82" s="161" t="str">
        <f>PAB!E15</f>
        <v>RC16M23K</v>
      </c>
      <c r="F82" s="161" t="str">
        <f>PAB!M15</f>
        <v>아이닉스</v>
      </c>
      <c r="G82" s="161" t="str">
        <f>PAB!N15</f>
        <v>SOURIAU</v>
      </c>
      <c r="H82" s="161">
        <f>PAB!K15</f>
        <v>1250</v>
      </c>
      <c r="I82" s="161">
        <f>PAB!L15</f>
        <v>550000</v>
      </c>
      <c r="J82" s="137">
        <v>45497</v>
      </c>
      <c r="K82" s="137">
        <v>45497</v>
      </c>
      <c r="L82" s="138" t="s">
        <v>283</v>
      </c>
      <c r="M82" s="3"/>
    </row>
    <row r="83" spans="2:13" ht="19">
      <c r="B83" s="273"/>
      <c r="C83" s="279"/>
      <c r="D83" s="161" t="str">
        <f>PAB!D16</f>
        <v>Cable Gland</v>
      </c>
      <c r="E83" s="161" t="str">
        <f>PAB!E16</f>
        <v>DAM-25</v>
      </c>
      <c r="F83" s="161" t="str">
        <f>PAB!M16</f>
        <v>아이닉스</v>
      </c>
      <c r="G83" s="161" t="str">
        <f>PAB!N16</f>
        <v>DONGA</v>
      </c>
      <c r="H83" s="161">
        <f>PAB!K16</f>
        <v>1000</v>
      </c>
      <c r="I83" s="161">
        <f>PAB!L16</f>
        <v>55000</v>
      </c>
      <c r="J83" s="137">
        <v>45497</v>
      </c>
      <c r="K83" s="137">
        <v>45497</v>
      </c>
      <c r="L83" s="138" t="s">
        <v>283</v>
      </c>
      <c r="M83" s="3"/>
    </row>
    <row r="84" spans="2:13" ht="38">
      <c r="B84" s="273"/>
      <c r="C84" s="279"/>
      <c r="D84" s="198" t="str">
        <f>PAB!D17</f>
        <v>Relay</v>
      </c>
      <c r="E84" s="198" t="str">
        <f>PAB!E17</f>
        <v>FS 4CO RL
(D-204N-Lr/V23)</v>
      </c>
      <c r="F84" s="198" t="str">
        <f>PAB!M17</f>
        <v>금산엠엔이</v>
      </c>
      <c r="G84" s="198" t="str">
        <f>PAB!N17</f>
        <v>MORS SMITT</v>
      </c>
      <c r="H84" s="13">
        <f>PAB!K17</f>
        <v>98000</v>
      </c>
      <c r="I84" s="13">
        <f>PAB!L17</f>
        <v>5390000</v>
      </c>
      <c r="J84" s="164">
        <v>45588</v>
      </c>
      <c r="K84" s="135"/>
      <c r="L84" s="135"/>
      <c r="M84" s="3" t="s">
        <v>185</v>
      </c>
    </row>
    <row r="85" spans="2:13" ht="19">
      <c r="B85" s="273"/>
      <c r="C85" s="279"/>
      <c r="D85" s="198" t="str">
        <f>PAB!D18</f>
        <v>Name Plate, AL, T1</v>
      </c>
      <c r="E85" s="198" t="str">
        <f>PAB!E18</f>
        <v>R1C001342_8</v>
      </c>
      <c r="F85" s="198" t="str">
        <f>PAB!M18</f>
        <v>-</v>
      </c>
      <c r="G85" s="198" t="str">
        <f>PAB!N18</f>
        <v>-</v>
      </c>
      <c r="H85" s="13" t="str">
        <f>PAB!K18</f>
        <v>-</v>
      </c>
      <c r="I85" s="13" t="str">
        <f>PAB!L18</f>
        <v>-</v>
      </c>
      <c r="J85" s="135"/>
      <c r="K85" s="135"/>
      <c r="L85" s="135"/>
      <c r="M85" s="3"/>
    </row>
    <row r="86" spans="2:13" ht="18">
      <c r="B86" s="273"/>
      <c r="C86" s="279"/>
      <c r="D86" s="145"/>
      <c r="E86" s="145"/>
      <c r="F86" s="145"/>
      <c r="G86" s="145"/>
      <c r="H86" s="12"/>
      <c r="I86" s="12"/>
      <c r="J86" s="135"/>
      <c r="K86" s="135"/>
      <c r="L86" s="134"/>
      <c r="M86" s="2"/>
    </row>
    <row r="87" spans="2:13" ht="19">
      <c r="B87" s="274"/>
      <c r="C87" s="280"/>
      <c r="D87" s="148" t="s">
        <v>286</v>
      </c>
      <c r="E87" s="148"/>
      <c r="F87" s="149" t="s">
        <v>262</v>
      </c>
      <c r="G87" s="149" t="s">
        <v>262</v>
      </c>
      <c r="H87" s="150"/>
      <c r="I87" s="150">
        <f>PAB!L32</f>
        <v>116490</v>
      </c>
      <c r="J87" s="137">
        <v>45497</v>
      </c>
      <c r="K87" s="137">
        <v>45497</v>
      </c>
      <c r="L87" s="149"/>
      <c r="M87" s="2"/>
    </row>
    <row r="88" spans="2:13" ht="19">
      <c r="B88" s="272">
        <v>5</v>
      </c>
      <c r="C88" s="278" t="s">
        <v>8</v>
      </c>
      <c r="D88" s="151"/>
      <c r="E88" s="152" t="s">
        <v>7</v>
      </c>
      <c r="F88" s="135"/>
      <c r="G88" s="135"/>
      <c r="H88" s="13"/>
      <c r="I88" s="165" t="s">
        <v>329</v>
      </c>
      <c r="J88" s="135"/>
      <c r="K88" s="135"/>
      <c r="L88" s="135"/>
      <c r="M88" s="3"/>
    </row>
    <row r="89" spans="2:13" ht="19">
      <c r="B89" s="273"/>
      <c r="C89" s="279"/>
      <c r="D89" s="161" t="str">
        <f>EID!D3</f>
        <v>Main Frame, STS304, T1.2</v>
      </c>
      <c r="E89" s="161" t="str">
        <f>EID!E3</f>
        <v>R1B002151</v>
      </c>
      <c r="F89" s="161" t="str">
        <f>EID!M3</f>
        <v>세일엔지니어링</v>
      </c>
      <c r="G89" s="161" t="str">
        <f>EID!N3</f>
        <v>세일엔지니어링</v>
      </c>
      <c r="H89" s="161">
        <f>EID!K3</f>
        <v>677500</v>
      </c>
      <c r="I89" s="161">
        <f>EID!L3</f>
        <v>27777500</v>
      </c>
      <c r="J89" s="163">
        <v>45457</v>
      </c>
      <c r="K89" s="163">
        <v>45478</v>
      </c>
      <c r="L89" s="138" t="s">
        <v>280</v>
      </c>
      <c r="M89" s="3"/>
    </row>
    <row r="90" spans="2:13" ht="19">
      <c r="B90" s="273"/>
      <c r="C90" s="279"/>
      <c r="D90" s="161" t="str">
        <f>EID!D4</f>
        <v>Mount Bracket</v>
      </c>
      <c r="E90" s="161" t="str">
        <f>EID!E4</f>
        <v>R1B002156</v>
      </c>
      <c r="F90" s="161" t="str">
        <f>EID!M4</f>
        <v>세일엔지니어링</v>
      </c>
      <c r="G90" s="161" t="str">
        <f>EID!N4</f>
        <v>세일엔지니어링</v>
      </c>
      <c r="H90" s="161" t="str">
        <f>EID!K4</f>
        <v>-</v>
      </c>
      <c r="I90" s="161" t="str">
        <f>EID!L4</f>
        <v>-</v>
      </c>
      <c r="J90" s="138"/>
      <c r="K90" s="138"/>
      <c r="L90" s="138"/>
      <c r="M90" s="3"/>
    </row>
    <row r="91" spans="2:13" ht="19">
      <c r="B91" s="273"/>
      <c r="C91" s="279"/>
      <c r="D91" s="161" t="str">
        <f>EID!D5</f>
        <v>LCD Bracket</v>
      </c>
      <c r="E91" s="161" t="str">
        <f>EID!E5</f>
        <v>R1B002154</v>
      </c>
      <c r="F91" s="161" t="str">
        <f>EID!M5</f>
        <v>세일엔지니어링</v>
      </c>
      <c r="G91" s="161" t="str">
        <f>EID!N5</f>
        <v>세일엔지니어링</v>
      </c>
      <c r="H91" s="161" t="str">
        <f>EID!K5</f>
        <v>-</v>
      </c>
      <c r="I91" s="161" t="str">
        <f>EID!L5</f>
        <v>-</v>
      </c>
      <c r="J91" s="138"/>
      <c r="K91" s="138"/>
      <c r="L91" s="138"/>
      <c r="M91" s="3"/>
    </row>
    <row r="92" spans="2:13" ht="19">
      <c r="B92" s="273"/>
      <c r="C92" s="279"/>
      <c r="D92" s="161" t="str">
        <f>EID!D6</f>
        <v>LCD Panel, 27”</v>
      </c>
      <c r="E92" s="161" t="str">
        <f>EID!E6</f>
        <v>RES25001002</v>
      </c>
      <c r="F92" s="161" t="str">
        <f>EID!M6</f>
        <v>아이닉스</v>
      </c>
      <c r="G92" s="161" t="str">
        <f>EID!N6</f>
        <v>CHIMEI INNOLUX</v>
      </c>
      <c r="H92" s="161">
        <f>EID!K6</f>
        <v>202000</v>
      </c>
      <c r="I92" s="161">
        <f>EID!L6</f>
        <v>12120000</v>
      </c>
      <c r="J92" s="137">
        <v>45497</v>
      </c>
      <c r="K92" s="137">
        <v>45497</v>
      </c>
      <c r="L92" s="138" t="s">
        <v>278</v>
      </c>
      <c r="M92" s="9" t="s">
        <v>184</v>
      </c>
    </row>
    <row r="93" spans="2:13" ht="19">
      <c r="B93" s="273"/>
      <c r="C93" s="279"/>
      <c r="D93" s="161" t="str">
        <f>EID!D7</f>
        <v>Connector Cover</v>
      </c>
      <c r="E93" s="161" t="str">
        <f>EID!E7</f>
        <v>R1C001378</v>
      </c>
      <c r="F93" s="161" t="str">
        <f>EID!M7</f>
        <v>세일엔지니어링</v>
      </c>
      <c r="G93" s="161" t="str">
        <f>EID!N7</f>
        <v>세일엔지니어링</v>
      </c>
      <c r="H93" s="161" t="str">
        <f>EID!K7</f>
        <v>-</v>
      </c>
      <c r="I93" s="161" t="str">
        <f>EID!L7</f>
        <v>-</v>
      </c>
      <c r="J93" s="138"/>
      <c r="K93" s="138"/>
      <c r="L93" s="138"/>
      <c r="M93" s="3"/>
    </row>
    <row r="94" spans="2:13" ht="19">
      <c r="B94" s="273"/>
      <c r="C94" s="279"/>
      <c r="D94" s="161" t="str">
        <f>EID!D8</f>
        <v>Rear Cover</v>
      </c>
      <c r="E94" s="161" t="str">
        <f>EID!E8</f>
        <v>R1B002210</v>
      </c>
      <c r="F94" s="161" t="str">
        <f>EID!M8</f>
        <v>세일엔지니어링</v>
      </c>
      <c r="G94" s="161" t="str">
        <f>EID!N8</f>
        <v>세일엔지니어링</v>
      </c>
      <c r="H94" s="161" t="str">
        <f>EID!K8</f>
        <v>-</v>
      </c>
      <c r="I94" s="161" t="str">
        <f>EID!L8</f>
        <v>-</v>
      </c>
      <c r="J94" s="138"/>
      <c r="K94" s="138"/>
      <c r="L94" s="138"/>
      <c r="M94" s="3"/>
    </row>
    <row r="95" spans="2:13" ht="19">
      <c r="B95" s="273"/>
      <c r="C95" s="279"/>
      <c r="D95" s="198" t="str">
        <f>EID!D9</f>
        <v>Control Board</v>
      </c>
      <c r="E95" s="198" t="str">
        <f>EID!E9</f>
        <v>R1D005881</v>
      </c>
      <c r="F95" s="198" t="str">
        <f>EID!M9</f>
        <v>BEUPSYS</v>
      </c>
      <c r="G95" s="198" t="str">
        <f>EID!N9</f>
        <v>BEUPSYS</v>
      </c>
      <c r="H95" s="13">
        <f>EID!K9</f>
        <v>550000</v>
      </c>
      <c r="I95" s="13">
        <f>EID!L9</f>
        <v>22550000</v>
      </c>
      <c r="J95" s="135"/>
      <c r="K95" s="135"/>
      <c r="L95" s="135"/>
      <c r="M95" s="3"/>
    </row>
    <row r="96" spans="2:13" ht="19">
      <c r="B96" s="273"/>
      <c r="C96" s="279"/>
      <c r="D96" s="198" t="str">
        <f>EID!D10</f>
        <v>Power Board</v>
      </c>
      <c r="E96" s="198" t="str">
        <f>EID!E10</f>
        <v>R1D007400</v>
      </c>
      <c r="F96" s="198" t="str">
        <f>EID!M10</f>
        <v>이지파워</v>
      </c>
      <c r="G96" s="198" t="str">
        <f>EID!N10</f>
        <v>이지파워</v>
      </c>
      <c r="H96" s="13">
        <f>EID!K10</f>
        <v>89000</v>
      </c>
      <c r="I96" s="13">
        <f>EID!L10</f>
        <v>4005000</v>
      </c>
      <c r="J96" s="164">
        <v>45506</v>
      </c>
      <c r="K96" s="135"/>
      <c r="L96" s="135"/>
      <c r="M96" s="3" t="s">
        <v>184</v>
      </c>
    </row>
    <row r="97" spans="2:13" ht="19">
      <c r="B97" s="273"/>
      <c r="C97" s="279"/>
      <c r="D97" s="161" t="str">
        <f>EID!D11</f>
        <v>3P Connector Female</v>
      </c>
      <c r="E97" s="161" t="str">
        <f>EID!E11</f>
        <v>770-213</v>
      </c>
      <c r="F97" s="161" t="str">
        <f>EID!M11</f>
        <v>아이닉스</v>
      </c>
      <c r="G97" s="161" t="str">
        <f>EID!N11</f>
        <v>WAGO</v>
      </c>
      <c r="H97" s="161">
        <f>EID!K11</f>
        <v>2800</v>
      </c>
      <c r="I97" s="161">
        <f>EID!L11</f>
        <v>126000</v>
      </c>
      <c r="J97" s="137">
        <v>45497</v>
      </c>
      <c r="K97" s="137">
        <v>45497</v>
      </c>
      <c r="L97" s="138" t="s">
        <v>355</v>
      </c>
      <c r="M97" s="3"/>
    </row>
    <row r="98" spans="2:13" ht="19">
      <c r="B98" s="273"/>
      <c r="C98" s="279"/>
      <c r="D98" s="161" t="str">
        <f>EID!D12</f>
        <v>Locking</v>
      </c>
      <c r="E98" s="161" t="str">
        <f>EID!E12</f>
        <v>770-101</v>
      </c>
      <c r="F98" s="161" t="str">
        <f>EID!M12</f>
        <v>아이닉스</v>
      </c>
      <c r="G98" s="161" t="str">
        <f>EID!N12</f>
        <v>WAGO</v>
      </c>
      <c r="H98" s="161">
        <f>EID!K12</f>
        <v>350</v>
      </c>
      <c r="I98" s="161">
        <f>EID!L12</f>
        <v>15750</v>
      </c>
      <c r="J98" s="137">
        <v>45497</v>
      </c>
      <c r="K98" s="137">
        <v>45497</v>
      </c>
      <c r="L98" s="138" t="s">
        <v>355</v>
      </c>
      <c r="M98" s="3"/>
    </row>
    <row r="99" spans="2:13" ht="19">
      <c r="B99" s="273"/>
      <c r="C99" s="279"/>
      <c r="D99" s="161" t="str">
        <f>EID!D13</f>
        <v>4P Connector Female</v>
      </c>
      <c r="E99" s="161" t="str">
        <f>EID!E13</f>
        <v>21 03 882 2405</v>
      </c>
      <c r="F99" s="161" t="str">
        <f>EID!M13</f>
        <v>아이닉스</v>
      </c>
      <c r="G99" s="161" t="str">
        <f>EID!N13</f>
        <v>HARTING</v>
      </c>
      <c r="H99" s="161">
        <f>EID!K13</f>
        <v>32300</v>
      </c>
      <c r="I99" s="161">
        <f>EID!L13</f>
        <v>1453500</v>
      </c>
      <c r="J99" s="137">
        <v>45497</v>
      </c>
      <c r="K99" s="137">
        <v>45497</v>
      </c>
      <c r="L99" s="138" t="s">
        <v>355</v>
      </c>
      <c r="M99" s="3"/>
    </row>
    <row r="100" spans="2:13" ht="19">
      <c r="B100" s="273"/>
      <c r="C100" s="279"/>
      <c r="D100" s="161" t="str">
        <f>EID!D14</f>
        <v>Pin</v>
      </c>
      <c r="E100" s="161" t="str">
        <f>EID!E14</f>
        <v>09 67 000 5476</v>
      </c>
      <c r="F100" s="161" t="str">
        <f>EID!M14</f>
        <v>아이닉스</v>
      </c>
      <c r="G100" s="161" t="str">
        <f>EID!N14</f>
        <v>HARTING</v>
      </c>
      <c r="H100" s="161">
        <f>EID!K14</f>
        <v>1300</v>
      </c>
      <c r="I100" s="161">
        <f>EID!L14</f>
        <v>234000</v>
      </c>
      <c r="J100" s="137">
        <v>45497</v>
      </c>
      <c r="K100" s="137">
        <v>45497</v>
      </c>
      <c r="L100" s="138" t="s">
        <v>355</v>
      </c>
      <c r="M100" s="3"/>
    </row>
    <row r="101" spans="2:13" ht="19">
      <c r="B101" s="273"/>
      <c r="C101" s="279"/>
      <c r="D101" s="161" t="str">
        <f>EID!D15</f>
        <v>Cable Gland</v>
      </c>
      <c r="E101" s="161" t="str">
        <f>EID!E15</f>
        <v>DAM-25</v>
      </c>
      <c r="F101" s="161" t="str">
        <f>EID!M15</f>
        <v>아이닉스</v>
      </c>
      <c r="G101" s="161" t="str">
        <f>EID!N15</f>
        <v>DONGA</v>
      </c>
      <c r="H101" s="161">
        <f>EID!K15</f>
        <v>1000</v>
      </c>
      <c r="I101" s="161">
        <f>EID!L15</f>
        <v>45000</v>
      </c>
      <c r="J101" s="137">
        <v>45497</v>
      </c>
      <c r="K101" s="137">
        <v>45497</v>
      </c>
      <c r="L101" s="138" t="s">
        <v>355</v>
      </c>
      <c r="M101" s="3"/>
    </row>
    <row r="102" spans="2:13" ht="19">
      <c r="B102" s="273"/>
      <c r="C102" s="279"/>
      <c r="D102" s="161" t="str">
        <f>EID!D16</f>
        <v>Illumination Sensor</v>
      </c>
      <c r="E102" s="161" t="str">
        <f>EID!E16</f>
        <v>APDS-9300</v>
      </c>
      <c r="F102" s="161" t="str">
        <f>EID!M16</f>
        <v>앤츠</v>
      </c>
      <c r="G102" s="161" t="str">
        <f>EID!N16</f>
        <v>앤츠</v>
      </c>
      <c r="H102" s="156">
        <f>EID!K16</f>
        <v>50000</v>
      </c>
      <c r="I102" s="156">
        <f>EID!L16</f>
        <v>2250000</v>
      </c>
      <c r="J102" s="157">
        <v>45499</v>
      </c>
      <c r="K102" s="157">
        <v>45499</v>
      </c>
      <c r="L102" s="153" t="s">
        <v>355</v>
      </c>
      <c r="M102" s="3"/>
    </row>
    <row r="103" spans="2:13" ht="19">
      <c r="B103" s="273"/>
      <c r="C103" s="279"/>
      <c r="D103" s="161" t="str">
        <f>EID!D17</f>
        <v>Inverter Board</v>
      </c>
      <c r="E103" s="161" t="str">
        <f>EID!E17</f>
        <v>R1B002153</v>
      </c>
      <c r="F103" s="161" t="str">
        <f>EID!M17</f>
        <v>아이닉스</v>
      </c>
      <c r="G103" s="161" t="str">
        <f>EID!N17</f>
        <v>아이닉스</v>
      </c>
      <c r="H103" s="161" t="str">
        <f>EID!K17</f>
        <v>-</v>
      </c>
      <c r="I103" s="161" t="str">
        <f>EID!L17</f>
        <v>-</v>
      </c>
      <c r="J103" s="137">
        <v>45497</v>
      </c>
      <c r="K103" s="137">
        <v>45497</v>
      </c>
      <c r="L103" s="138"/>
      <c r="M103" s="3" t="s">
        <v>184</v>
      </c>
    </row>
    <row r="104" spans="2:13" ht="19">
      <c r="B104" s="273"/>
      <c r="C104" s="279"/>
      <c r="D104" s="198" t="str">
        <f>EID!D18</f>
        <v>Name Plate, AL, T1</v>
      </c>
      <c r="E104" s="198" t="str">
        <f>EID!E18</f>
        <v>R1C001342_13</v>
      </c>
      <c r="F104" s="198" t="str">
        <f>EID!M18</f>
        <v>-</v>
      </c>
      <c r="G104" s="198" t="str">
        <f>EID!N18</f>
        <v>-</v>
      </c>
      <c r="H104" s="13" t="str">
        <f>EID!K18</f>
        <v>-</v>
      </c>
      <c r="I104" s="13" t="str">
        <f>EID!L18</f>
        <v>-</v>
      </c>
      <c r="J104" s="135"/>
      <c r="K104" s="135"/>
      <c r="L104" s="135"/>
      <c r="M104" s="3"/>
    </row>
    <row r="105" spans="2:13" ht="19">
      <c r="B105" s="273"/>
      <c r="C105" s="279"/>
      <c r="D105" s="161" t="str">
        <f>EID!D19</f>
        <v>강화유리</v>
      </c>
      <c r="E105" s="161" t="str">
        <f>EID!E19</f>
        <v xml:space="preserve">27Inch Glass </v>
      </c>
      <c r="F105" s="161" t="str">
        <f>EID!M19</f>
        <v>에센</v>
      </c>
      <c r="G105" s="161" t="str">
        <f>EID!N19</f>
        <v>에센</v>
      </c>
      <c r="H105" s="156">
        <f>EID!K19</f>
        <v>45500</v>
      </c>
      <c r="I105" s="156">
        <f>EID!L19</f>
        <v>2275000</v>
      </c>
      <c r="J105" s="137">
        <v>45497</v>
      </c>
      <c r="K105" s="137">
        <v>45497</v>
      </c>
      <c r="L105" s="149"/>
      <c r="M105" s="2"/>
    </row>
    <row r="106" spans="2:13" ht="18">
      <c r="B106" s="273"/>
      <c r="C106" s="279"/>
      <c r="D106" s="145"/>
      <c r="E106" s="145"/>
      <c r="F106" s="145"/>
      <c r="G106" s="145"/>
      <c r="H106" s="145"/>
      <c r="I106" s="198"/>
      <c r="J106" s="207"/>
      <c r="K106" s="207"/>
      <c r="L106" s="144"/>
      <c r="M106" s="2"/>
    </row>
    <row r="107" spans="2:13" ht="19">
      <c r="B107" s="274"/>
      <c r="C107" s="280"/>
      <c r="D107" s="148" t="s">
        <v>286</v>
      </c>
      <c r="E107" s="148"/>
      <c r="F107" s="149" t="s">
        <v>262</v>
      </c>
      <c r="G107" s="149" t="s">
        <v>262</v>
      </c>
      <c r="H107" s="150"/>
      <c r="I107" s="156">
        <f>EID!L38</f>
        <v>51750</v>
      </c>
      <c r="J107" s="137">
        <v>45497</v>
      </c>
      <c r="K107" s="137">
        <v>45497</v>
      </c>
      <c r="L107" s="149"/>
      <c r="M107" s="2"/>
    </row>
    <row r="108" spans="2:13" ht="19">
      <c r="B108" s="272">
        <v>6</v>
      </c>
      <c r="C108" s="278" t="s">
        <v>10</v>
      </c>
      <c r="D108" s="151"/>
      <c r="E108" s="152" t="s">
        <v>9</v>
      </c>
      <c r="F108" s="135"/>
      <c r="G108" s="135"/>
      <c r="H108" s="13"/>
      <c r="I108" s="13"/>
      <c r="J108" s="135"/>
      <c r="K108" s="135"/>
      <c r="L108" s="135"/>
      <c r="M108" s="3"/>
    </row>
    <row r="109" spans="2:13" ht="19">
      <c r="B109" s="273"/>
      <c r="C109" s="279"/>
      <c r="D109" s="13" t="str">
        <f>PSR!D3</f>
        <v>Hub Board</v>
      </c>
      <c r="E109" s="13" t="str">
        <f>PSR!E3</f>
        <v>R1B002194</v>
      </c>
      <c r="F109" s="13" t="str">
        <f>PSR!M3</f>
        <v>BEUPSYS</v>
      </c>
      <c r="G109" s="13" t="str">
        <f>PSR!N3</f>
        <v>BEUPSYS</v>
      </c>
      <c r="H109" s="13">
        <f>PSR!K3</f>
        <v>430000</v>
      </c>
      <c r="I109" s="13">
        <f>PSR!L3</f>
        <v>35260000</v>
      </c>
      <c r="J109" s="135"/>
      <c r="K109" s="135"/>
      <c r="L109" s="135"/>
      <c r="M109" s="3"/>
    </row>
    <row r="110" spans="2:13" ht="19">
      <c r="B110" s="273"/>
      <c r="C110" s="279"/>
      <c r="D110" s="13" t="str">
        <f>PSR!D4</f>
        <v>PA_VOIP Board</v>
      </c>
      <c r="E110" s="13" t="str">
        <f>PSR!E4</f>
        <v>R1B002197</v>
      </c>
      <c r="F110" s="13" t="str">
        <f>PSR!M4</f>
        <v>BEUPSYS</v>
      </c>
      <c r="G110" s="13" t="str">
        <f>PSR!N4</f>
        <v>BEUPSYS</v>
      </c>
      <c r="H110" s="13">
        <f>PSR!K4</f>
        <v>330000</v>
      </c>
      <c r="I110" s="13">
        <f>PSR!L4</f>
        <v>27060000</v>
      </c>
      <c r="J110" s="135"/>
      <c r="K110" s="135"/>
      <c r="L110" s="135"/>
      <c r="M110" s="3"/>
    </row>
    <row r="111" spans="2:13" ht="19">
      <c r="B111" s="273"/>
      <c r="C111" s="279"/>
      <c r="D111" s="13" t="str">
        <f>PSR!D5</f>
        <v>PA_AMP1 Board</v>
      </c>
      <c r="E111" s="13" t="str">
        <f>PSR!E5</f>
        <v>R1B002195</v>
      </c>
      <c r="F111" s="13" t="str">
        <f>PSR!M5</f>
        <v>BEUPSYS</v>
      </c>
      <c r="G111" s="13" t="str">
        <f>PSR!N5</f>
        <v>BEUPSYS</v>
      </c>
      <c r="H111" s="13">
        <f>PSR!K5</f>
        <v>330000</v>
      </c>
      <c r="I111" s="13">
        <f>PSR!L5</f>
        <v>27060000</v>
      </c>
      <c r="J111" s="135"/>
      <c r="K111" s="135"/>
      <c r="L111" s="135"/>
      <c r="M111" s="3"/>
    </row>
    <row r="112" spans="2:13" ht="19">
      <c r="B112" s="273"/>
      <c r="C112" s="279"/>
      <c r="D112" s="13" t="str">
        <f>PSR!D6</f>
        <v>35V PWR Board</v>
      </c>
      <c r="E112" s="13" t="str">
        <f>PSR!E6</f>
        <v>R1B002198</v>
      </c>
      <c r="F112" s="13" t="str">
        <f>PSR!M6</f>
        <v>이지파워</v>
      </c>
      <c r="G112" s="13" t="str">
        <f>PSR!N6</f>
        <v>이지파워</v>
      </c>
      <c r="H112" s="13">
        <f>PSR!K6</f>
        <v>158000</v>
      </c>
      <c r="I112" s="13">
        <f>PSR!L6</f>
        <v>15800000</v>
      </c>
      <c r="J112" s="164">
        <v>45506</v>
      </c>
      <c r="K112" s="135"/>
      <c r="L112" s="135"/>
      <c r="M112" s="3" t="s">
        <v>186</v>
      </c>
    </row>
    <row r="113" spans="2:13" ht="19">
      <c r="B113" s="273"/>
      <c r="C113" s="279"/>
      <c r="D113" s="13" t="str">
        <f>PSR!D7</f>
        <v>PA_AMP2 Board</v>
      </c>
      <c r="E113" s="13" t="str">
        <f>PSR!E7</f>
        <v>R1B002196</v>
      </c>
      <c r="F113" s="13" t="str">
        <f>PSR!M7</f>
        <v>BEUPSYS</v>
      </c>
      <c r="G113" s="13" t="str">
        <f>PSR!N7</f>
        <v>BEUPSYS</v>
      </c>
      <c r="H113" s="13">
        <f>PSR!K7</f>
        <v>190000</v>
      </c>
      <c r="I113" s="13">
        <f>PSR!L7</f>
        <v>15580000</v>
      </c>
      <c r="J113" s="135"/>
      <c r="K113" s="135"/>
      <c r="L113" s="135"/>
      <c r="M113" s="3"/>
    </row>
    <row r="114" spans="2:13" ht="19">
      <c r="B114" s="273"/>
      <c r="C114" s="279"/>
      <c r="D114" s="156" t="str">
        <f>PSR!D8</f>
        <v>Blank Panel</v>
      </c>
      <c r="E114" s="156" t="str">
        <f>PSR!E8</f>
        <v>R1D006106</v>
      </c>
      <c r="F114" s="156" t="str">
        <f>PSR!M8</f>
        <v>USK</v>
      </c>
      <c r="G114" s="156" t="str">
        <f>PSR!N8</f>
        <v>USK</v>
      </c>
      <c r="H114" s="156" t="str">
        <f>PSR!K8</f>
        <v>-</v>
      </c>
      <c r="I114" s="156" t="str">
        <f>PSR!L8</f>
        <v>-</v>
      </c>
      <c r="J114" s="157">
        <v>45422</v>
      </c>
      <c r="K114" s="157">
        <v>45422</v>
      </c>
      <c r="L114" s="157" t="s">
        <v>192</v>
      </c>
      <c r="M114" s="3"/>
    </row>
    <row r="115" spans="2:13" ht="19">
      <c r="B115" s="273"/>
      <c r="C115" s="279"/>
      <c r="D115" s="13" t="str">
        <f>PSR!D9</f>
        <v>12V PWR Board</v>
      </c>
      <c r="E115" s="13" t="str">
        <f>PSR!E9</f>
        <v>R1B002199</v>
      </c>
      <c r="F115" s="13" t="str">
        <f>PSR!M9</f>
        <v>이지파워</v>
      </c>
      <c r="G115" s="13" t="str">
        <f>PSR!N9</f>
        <v>이지파워</v>
      </c>
      <c r="H115" s="13">
        <f>PSR!K9</f>
        <v>133000</v>
      </c>
      <c r="I115" s="13">
        <f>PSR!L9</f>
        <v>13300000</v>
      </c>
      <c r="J115" s="164">
        <v>45506</v>
      </c>
      <c r="K115" s="135"/>
      <c r="L115" s="135"/>
      <c r="M115" s="3"/>
    </row>
    <row r="116" spans="2:13" ht="19">
      <c r="B116" s="273"/>
      <c r="C116" s="279"/>
      <c r="D116" s="156" t="str">
        <f>PSR!D10</f>
        <v>PSR Back Plane</v>
      </c>
      <c r="E116" s="156" t="str">
        <f>PSR!E10</f>
        <v>R1D007457</v>
      </c>
      <c r="F116" s="156" t="str">
        <f>PSR!M10</f>
        <v>앤츠</v>
      </c>
      <c r="G116" s="156" t="str">
        <f>PSR!N10</f>
        <v>앤츠</v>
      </c>
      <c r="H116" s="156">
        <f>PSR!K10</f>
        <v>330000</v>
      </c>
      <c r="I116" s="156">
        <f>PSR!L10</f>
        <v>14850000</v>
      </c>
      <c r="J116" s="157">
        <v>45499</v>
      </c>
      <c r="K116" s="157">
        <v>45499</v>
      </c>
      <c r="L116" s="153" t="s">
        <v>355</v>
      </c>
      <c r="M116" s="3" t="s">
        <v>284</v>
      </c>
    </row>
    <row r="117" spans="2:13" ht="19">
      <c r="B117" s="273"/>
      <c r="C117" s="279"/>
      <c r="D117" s="156" t="str">
        <f>PSR!D11</f>
        <v>Frame</v>
      </c>
      <c r="E117" s="156" t="str">
        <f>PSR!E11</f>
        <v>R1B002086</v>
      </c>
      <c r="F117" s="156" t="str">
        <f>PSR!M11</f>
        <v>USK</v>
      </c>
      <c r="G117" s="156" t="str">
        <f>PSR!N11</f>
        <v>USK</v>
      </c>
      <c r="H117" s="156">
        <f>PSR!K11</f>
        <v>620000</v>
      </c>
      <c r="I117" s="156">
        <f>PSR!L11</f>
        <v>25420000</v>
      </c>
      <c r="J117" s="157">
        <v>45422</v>
      </c>
      <c r="K117" s="157">
        <v>45422</v>
      </c>
      <c r="L117" s="157" t="s">
        <v>192</v>
      </c>
      <c r="M117" s="3"/>
    </row>
    <row r="118" spans="2:13" ht="19">
      <c r="B118" s="273"/>
      <c r="C118" s="279"/>
      <c r="D118" s="13" t="str">
        <f>PSR!D12</f>
        <v>Name Plate, AL, T1</v>
      </c>
      <c r="E118" s="13" t="str">
        <f>PSR!E12</f>
        <v>R1C001342_5</v>
      </c>
      <c r="F118" s="13" t="str">
        <f>PSR!M12</f>
        <v>-</v>
      </c>
      <c r="G118" s="13" t="str">
        <f>PSR!N12</f>
        <v>-</v>
      </c>
      <c r="H118" s="13" t="str">
        <f>PSR!K12</f>
        <v>-</v>
      </c>
      <c r="I118" s="13" t="str">
        <f>PSR!L12</f>
        <v>-</v>
      </c>
      <c r="J118" s="135"/>
      <c r="K118" s="135"/>
      <c r="L118" s="135"/>
      <c r="M118" s="3"/>
    </row>
    <row r="119" spans="2:13" ht="18">
      <c r="B119" s="273"/>
      <c r="C119" s="279"/>
      <c r="D119" s="12"/>
      <c r="E119" s="12"/>
      <c r="F119" s="12"/>
      <c r="G119" s="12"/>
      <c r="H119" s="12"/>
      <c r="I119" s="13"/>
      <c r="J119" s="135"/>
      <c r="K119" s="135"/>
      <c r="L119" s="134"/>
      <c r="M119" s="2"/>
    </row>
    <row r="120" spans="2:13" ht="19">
      <c r="B120" s="274"/>
      <c r="C120" s="280"/>
      <c r="D120" s="148" t="s">
        <v>286</v>
      </c>
      <c r="E120" s="148"/>
      <c r="F120" s="149" t="s">
        <v>262</v>
      </c>
      <c r="G120" s="149" t="s">
        <v>262</v>
      </c>
      <c r="H120" s="150"/>
      <c r="I120" s="156">
        <f>PSR!L36</f>
        <v>9191830</v>
      </c>
      <c r="J120" s="137">
        <v>45497</v>
      </c>
      <c r="K120" s="137">
        <v>45497</v>
      </c>
      <c r="L120" s="149"/>
      <c r="M120" s="2"/>
    </row>
    <row r="121" spans="2:13" ht="19">
      <c r="B121" s="272">
        <v>7</v>
      </c>
      <c r="C121" s="275" t="s">
        <v>14</v>
      </c>
      <c r="D121" s="151"/>
      <c r="E121" s="152" t="s">
        <v>11</v>
      </c>
      <c r="F121" s="135"/>
      <c r="G121" s="135"/>
      <c r="H121" s="13"/>
      <c r="I121" s="13"/>
      <c r="J121" s="135"/>
      <c r="K121" s="135"/>
      <c r="L121" s="135"/>
      <c r="M121" s="3"/>
    </row>
    <row r="122" spans="2:13" ht="19">
      <c r="B122" s="273"/>
      <c r="C122" s="276"/>
      <c r="D122" s="161" t="str">
        <f>ETND!D3</f>
        <v>Main Frame, SPCC</v>
      </c>
      <c r="E122" s="161" t="str">
        <f>ETND!E3</f>
        <v>R1B002200</v>
      </c>
      <c r="F122" s="161" t="str">
        <f>ETND!M3</f>
        <v>세일엔지니어링</v>
      </c>
      <c r="G122" s="161" t="str">
        <f>ETND!N3</f>
        <v>세일엔지니어링</v>
      </c>
      <c r="H122" s="161">
        <f>ETND!K3</f>
        <v>265000</v>
      </c>
      <c r="I122" s="161">
        <f>ETND!L3</f>
        <v>5565000</v>
      </c>
      <c r="J122" s="163">
        <v>45457</v>
      </c>
      <c r="K122" s="163">
        <v>45478</v>
      </c>
      <c r="L122" s="138" t="s">
        <v>281</v>
      </c>
      <c r="M122" s="4"/>
    </row>
    <row r="123" spans="2:13" ht="19">
      <c r="B123" s="273"/>
      <c r="C123" s="276"/>
      <c r="D123" s="161" t="str">
        <f>ETND!D4</f>
        <v>Rear Cover</v>
      </c>
      <c r="E123" s="161" t="str">
        <f>ETND!E4</f>
        <v>R1B002158</v>
      </c>
      <c r="F123" s="161" t="str">
        <f>ETND!M4</f>
        <v>세일엔지니어링</v>
      </c>
      <c r="G123" s="161" t="str">
        <f>ETND!N4</f>
        <v>세일엔지니어링</v>
      </c>
      <c r="H123" s="161" t="str">
        <f>ETND!K4</f>
        <v>-</v>
      </c>
      <c r="I123" s="161" t="str">
        <f>ETND!L4</f>
        <v>-</v>
      </c>
      <c r="J123" s="166"/>
      <c r="K123" s="166"/>
      <c r="L123" s="166"/>
      <c r="M123" s="4"/>
    </row>
    <row r="124" spans="2:13" ht="19">
      <c r="B124" s="273"/>
      <c r="C124" s="276"/>
      <c r="D124" s="161" t="str">
        <f>ETND!D5</f>
        <v>LED Bracket</v>
      </c>
      <c r="E124" s="161" t="str">
        <f>ETND!E5</f>
        <v>R1B002157</v>
      </c>
      <c r="F124" s="161" t="str">
        <f>ETND!M5</f>
        <v>세일엔지니어링</v>
      </c>
      <c r="G124" s="161" t="str">
        <f>ETND!N5</f>
        <v>세일엔지니어링</v>
      </c>
      <c r="H124" s="161" t="str">
        <f>ETND!K5</f>
        <v>-</v>
      </c>
      <c r="I124" s="161" t="str">
        <f>ETND!L5</f>
        <v>-</v>
      </c>
      <c r="J124" s="166"/>
      <c r="K124" s="166"/>
      <c r="L124" s="166"/>
      <c r="M124" s="4"/>
    </row>
    <row r="125" spans="2:13" ht="19">
      <c r="B125" s="273"/>
      <c r="C125" s="276"/>
      <c r="D125" s="198" t="str">
        <f>ETND!D6</f>
        <v>LED Module</v>
      </c>
      <c r="E125" s="198" t="str">
        <f>ETND!E6</f>
        <v>ODTLM-064CA-16B4</v>
      </c>
      <c r="F125" s="198" t="str">
        <f>ETND!M6</f>
        <v>오디텍</v>
      </c>
      <c r="G125" s="198" t="str">
        <f>ETND!N6</f>
        <v>오디텍</v>
      </c>
      <c r="H125" s="13">
        <f>ETND!K6</f>
        <v>50000</v>
      </c>
      <c r="I125" s="13">
        <f>ETND!L6</f>
        <v>12400000</v>
      </c>
      <c r="J125" s="168">
        <v>45504</v>
      </c>
      <c r="K125" s="167"/>
      <c r="L125" s="167"/>
      <c r="M125" s="4" t="s">
        <v>189</v>
      </c>
    </row>
    <row r="126" spans="2:13" ht="19">
      <c r="B126" s="273"/>
      <c r="C126" s="276"/>
      <c r="D126" s="161" t="str">
        <f>ETND!D7</f>
        <v>Power Board Bracket</v>
      </c>
      <c r="E126" s="161" t="str">
        <f>ETND!E7</f>
        <v>R1C001376</v>
      </c>
      <c r="F126" s="161" t="str">
        <f>ETND!M7</f>
        <v>세일엔지니어링</v>
      </c>
      <c r="G126" s="161" t="str">
        <f>ETND!N7</f>
        <v>세일엔지니어링</v>
      </c>
      <c r="H126" s="161" t="str">
        <f>ETND!K7</f>
        <v>-</v>
      </c>
      <c r="I126" s="161" t="str">
        <f>ETND!L7</f>
        <v>-</v>
      </c>
      <c r="J126" s="169"/>
      <c r="K126" s="169"/>
      <c r="L126" s="169"/>
      <c r="M126" s="7"/>
    </row>
    <row r="127" spans="2:13" ht="19">
      <c r="B127" s="273"/>
      <c r="C127" s="276"/>
      <c r="D127" s="198" t="str">
        <f>ETND!D8</f>
        <v>Power Board</v>
      </c>
      <c r="E127" s="198" t="str">
        <f>ETND!E8</f>
        <v>R1C001393</v>
      </c>
      <c r="F127" s="198" t="str">
        <f>ETND!M8</f>
        <v>이지파워</v>
      </c>
      <c r="G127" s="198" t="str">
        <f>ETND!N8</f>
        <v>이지파워</v>
      </c>
      <c r="H127" s="13">
        <f>ETND!K8</f>
        <v>112000</v>
      </c>
      <c r="I127" s="13">
        <f>ETND!L8</f>
        <v>2800000</v>
      </c>
      <c r="J127" s="171">
        <v>45506</v>
      </c>
      <c r="K127" s="170"/>
      <c r="L127" s="170"/>
      <c r="M127" s="7" t="s">
        <v>183</v>
      </c>
    </row>
    <row r="128" spans="2:13" ht="19">
      <c r="B128" s="273"/>
      <c r="C128" s="276"/>
      <c r="D128" s="161" t="str">
        <f>ETND!D9</f>
        <v>Control Board Bracket</v>
      </c>
      <c r="E128" s="161" t="str">
        <f>ETND!E9</f>
        <v>R1C001373</v>
      </c>
      <c r="F128" s="161" t="str">
        <f>ETND!M9</f>
        <v>세일엔지니어링</v>
      </c>
      <c r="G128" s="161" t="str">
        <f>ETND!N9</f>
        <v>세일엔지니어링</v>
      </c>
      <c r="H128" s="161" t="str">
        <f>ETND!K9</f>
        <v>-</v>
      </c>
      <c r="I128" s="161" t="str">
        <f>ETND!L9</f>
        <v>-</v>
      </c>
      <c r="J128" s="169"/>
      <c r="K128" s="169"/>
      <c r="L128" s="169"/>
      <c r="M128" s="7"/>
    </row>
    <row r="129" spans="2:13" ht="19">
      <c r="B129" s="273"/>
      <c r="C129" s="276"/>
      <c r="D129" s="161" t="str">
        <f>ETND!D10</f>
        <v>Control Board</v>
      </c>
      <c r="E129" s="161" t="str">
        <f>ETND!E10</f>
        <v>R1C001374</v>
      </c>
      <c r="F129" s="161" t="str">
        <f>ETND!M10</f>
        <v>앤츠</v>
      </c>
      <c r="G129" s="161" t="str">
        <f>ETND!N10</f>
        <v>앤츠</v>
      </c>
      <c r="H129" s="156">
        <f>ETND!K10</f>
        <v>580000</v>
      </c>
      <c r="I129" s="156">
        <f>ETND!L10</f>
        <v>14500000</v>
      </c>
      <c r="J129" s="157">
        <v>45499</v>
      </c>
      <c r="K129" s="157">
        <v>45499</v>
      </c>
      <c r="L129" s="172" t="s">
        <v>282</v>
      </c>
      <c r="M129" s="6"/>
    </row>
    <row r="130" spans="2:13" ht="19">
      <c r="B130" s="273"/>
      <c r="C130" s="276"/>
      <c r="D130" s="161" t="str">
        <f>ETND!D11</f>
        <v>3P Connector Female</v>
      </c>
      <c r="E130" s="161" t="str">
        <f>ETND!E11</f>
        <v>770-213</v>
      </c>
      <c r="F130" s="161" t="str">
        <f>ETND!M11</f>
        <v>아이닉스</v>
      </c>
      <c r="G130" s="161" t="str">
        <f>ETND!N11</f>
        <v>WAGO</v>
      </c>
      <c r="H130" s="161">
        <f>ETND!K11</f>
        <v>2800</v>
      </c>
      <c r="I130" s="161">
        <f>ETND!L11</f>
        <v>70000</v>
      </c>
      <c r="J130" s="137">
        <v>45497</v>
      </c>
      <c r="K130" s="137">
        <v>45497</v>
      </c>
      <c r="L130" s="166" t="s">
        <v>282</v>
      </c>
      <c r="M130" s="4"/>
    </row>
    <row r="131" spans="2:13" ht="19">
      <c r="B131" s="273"/>
      <c r="C131" s="276"/>
      <c r="D131" s="161" t="str">
        <f>ETND!D12</f>
        <v>Locking</v>
      </c>
      <c r="E131" s="161" t="str">
        <f>ETND!E12</f>
        <v>770-101</v>
      </c>
      <c r="F131" s="161" t="str">
        <f>ETND!M12</f>
        <v>아이닉스</v>
      </c>
      <c r="G131" s="161" t="str">
        <f>ETND!N12</f>
        <v>WAGO</v>
      </c>
      <c r="H131" s="161">
        <f>ETND!K12</f>
        <v>350</v>
      </c>
      <c r="I131" s="161">
        <f>ETND!L12</f>
        <v>8750</v>
      </c>
      <c r="J131" s="137">
        <v>45497</v>
      </c>
      <c r="K131" s="137">
        <v>45497</v>
      </c>
      <c r="L131" s="166" t="s">
        <v>282</v>
      </c>
      <c r="M131" s="4"/>
    </row>
    <row r="132" spans="2:13" ht="19">
      <c r="B132" s="273"/>
      <c r="C132" s="276"/>
      <c r="D132" s="161" t="str">
        <f>ETND!D13</f>
        <v>4P Connector Female</v>
      </c>
      <c r="E132" s="161" t="str">
        <f>ETND!E13</f>
        <v>21 03 882 2405</v>
      </c>
      <c r="F132" s="161" t="str">
        <f>ETND!M13</f>
        <v>아이닉스</v>
      </c>
      <c r="G132" s="161" t="str">
        <f>ETND!N13</f>
        <v>HARTING</v>
      </c>
      <c r="H132" s="161">
        <f>ETND!K13</f>
        <v>32300</v>
      </c>
      <c r="I132" s="161">
        <f>ETND!L13</f>
        <v>807500</v>
      </c>
      <c r="J132" s="137">
        <v>45497</v>
      </c>
      <c r="K132" s="137">
        <v>45497</v>
      </c>
      <c r="L132" s="166" t="s">
        <v>282</v>
      </c>
      <c r="M132" s="4"/>
    </row>
    <row r="133" spans="2:13" ht="19">
      <c r="B133" s="273"/>
      <c r="C133" s="276"/>
      <c r="D133" s="161" t="str">
        <f>ETND!D14</f>
        <v>Pin</v>
      </c>
      <c r="E133" s="161" t="str">
        <f>ETND!E14</f>
        <v>09 67 000 5476</v>
      </c>
      <c r="F133" s="161" t="str">
        <f>ETND!M14</f>
        <v>아이닉스</v>
      </c>
      <c r="G133" s="161" t="str">
        <f>ETND!N14</f>
        <v>HARTING</v>
      </c>
      <c r="H133" s="161">
        <f>ETND!K14</f>
        <v>1300</v>
      </c>
      <c r="I133" s="161">
        <f>ETND!L14</f>
        <v>130000</v>
      </c>
      <c r="J133" s="137">
        <v>45497</v>
      </c>
      <c r="K133" s="137">
        <v>45497</v>
      </c>
      <c r="L133" s="166" t="s">
        <v>282</v>
      </c>
      <c r="M133" s="4"/>
    </row>
    <row r="134" spans="2:13" ht="19">
      <c r="B134" s="273"/>
      <c r="C134" s="276"/>
      <c r="D134" s="161" t="str">
        <f>ETND!D15</f>
        <v>Mount Bracket</v>
      </c>
      <c r="E134" s="161" t="str">
        <f>ETND!E15</f>
        <v>-</v>
      </c>
      <c r="F134" s="161" t="str">
        <f>ETND!M15</f>
        <v>세일엔지니어링</v>
      </c>
      <c r="G134" s="161" t="str">
        <f>ETND!N15</f>
        <v xml:space="preserve"> 세일엔지니어링</v>
      </c>
      <c r="H134" s="161" t="str">
        <f>ETND!K15</f>
        <v>-</v>
      </c>
      <c r="I134" s="161" t="str">
        <f>ETND!L15</f>
        <v>-</v>
      </c>
      <c r="J134" s="166"/>
      <c r="K134" s="166"/>
      <c r="L134" s="166"/>
      <c r="M134" s="4"/>
    </row>
    <row r="135" spans="2:13" ht="19">
      <c r="B135" s="273"/>
      <c r="C135" s="276"/>
      <c r="D135" s="198" t="str">
        <f>ETND!D16</f>
        <v>Name Plate, AL, T1</v>
      </c>
      <c r="E135" s="198" t="str">
        <f>ETND!E16</f>
        <v>R1C001342_9</v>
      </c>
      <c r="F135" s="198" t="str">
        <f>ETND!M16</f>
        <v>-</v>
      </c>
      <c r="G135" s="198" t="str">
        <f>ETND!N16</f>
        <v>-</v>
      </c>
      <c r="H135" s="13" t="str">
        <f>ETND!K16</f>
        <v>-</v>
      </c>
      <c r="I135" s="13" t="str">
        <f>ETND!L16</f>
        <v>-</v>
      </c>
      <c r="J135" s="173"/>
      <c r="K135" s="173"/>
      <c r="L135" s="173"/>
      <c r="M135" s="10"/>
    </row>
    <row r="136" spans="2:13" ht="18">
      <c r="B136" s="273"/>
      <c r="C136" s="276"/>
      <c r="D136" s="145"/>
      <c r="E136" s="145"/>
      <c r="F136" s="145"/>
      <c r="G136" s="145"/>
      <c r="H136" s="12"/>
      <c r="I136" s="13"/>
      <c r="J136" s="167"/>
      <c r="K136" s="167"/>
      <c r="L136" s="208"/>
      <c r="M136" s="6"/>
    </row>
    <row r="137" spans="2:13" ht="19">
      <c r="B137" s="274"/>
      <c r="C137" s="277"/>
      <c r="D137" s="148" t="s">
        <v>286</v>
      </c>
      <c r="E137" s="148"/>
      <c r="F137" s="149" t="s">
        <v>262</v>
      </c>
      <c r="G137" s="149" t="s">
        <v>262</v>
      </c>
      <c r="H137" s="150"/>
      <c r="I137" s="156">
        <f>ETND!L31</f>
        <v>19900</v>
      </c>
      <c r="J137" s="163">
        <v>45497</v>
      </c>
      <c r="K137" s="137">
        <v>45497</v>
      </c>
      <c r="L137" s="149"/>
      <c r="M137" s="2"/>
    </row>
    <row r="138" spans="2:13" ht="19">
      <c r="B138" s="272">
        <v>8</v>
      </c>
      <c r="C138" s="278" t="s">
        <v>13</v>
      </c>
      <c r="D138" s="174"/>
      <c r="E138" s="152" t="s">
        <v>193</v>
      </c>
      <c r="F138" s="135"/>
      <c r="G138" s="135"/>
      <c r="H138" s="13"/>
      <c r="I138" s="13"/>
      <c r="J138" s="135"/>
      <c r="K138" s="135"/>
      <c r="L138" s="135"/>
      <c r="M138" s="3"/>
    </row>
    <row r="139" spans="2:13" ht="19">
      <c r="B139" s="273"/>
      <c r="C139" s="279"/>
      <c r="D139" s="161" t="str">
        <f>EDD!D3</f>
        <v>Main Frame, SPCC</v>
      </c>
      <c r="E139" s="161" t="str">
        <f>EDD!E3</f>
        <v>R1B002145</v>
      </c>
      <c r="F139" s="161" t="str">
        <f>EDD!M3</f>
        <v>세일엔지니어링</v>
      </c>
      <c r="G139" s="161" t="str">
        <f>EDD!N3</f>
        <v>세일엔지니어링</v>
      </c>
      <c r="H139" s="161">
        <f>EDD!K3</f>
        <v>230000</v>
      </c>
      <c r="I139" s="161">
        <f>EDD!L3</f>
        <v>4830000</v>
      </c>
      <c r="J139" s="163">
        <v>45457</v>
      </c>
      <c r="K139" s="137">
        <v>45478</v>
      </c>
      <c r="L139" s="175" t="s">
        <v>281</v>
      </c>
      <c r="M139" s="3"/>
    </row>
    <row r="140" spans="2:13" ht="19">
      <c r="B140" s="273"/>
      <c r="C140" s="279"/>
      <c r="D140" s="161" t="str">
        <f>EDD!D4</f>
        <v>Rear Cover</v>
      </c>
      <c r="E140" s="161" t="str">
        <f>EDD!E4</f>
        <v>R1C001377</v>
      </c>
      <c r="F140" s="161" t="str">
        <f>EDD!M4</f>
        <v>세일엔지니어링</v>
      </c>
      <c r="G140" s="161" t="str">
        <f>EDD!N4</f>
        <v>세일엔지니어링</v>
      </c>
      <c r="H140" s="161" t="str">
        <f>EDD!K4</f>
        <v>-</v>
      </c>
      <c r="I140" s="161" t="str">
        <f>EDD!L4</f>
        <v>-</v>
      </c>
      <c r="J140" s="138"/>
      <c r="K140" s="138"/>
      <c r="L140" s="138"/>
      <c r="M140" s="3"/>
    </row>
    <row r="141" spans="2:13" ht="19">
      <c r="B141" s="273"/>
      <c r="C141" s="279"/>
      <c r="D141" s="161" t="str">
        <f>EDD!D5</f>
        <v>LED Bracket</v>
      </c>
      <c r="E141" s="161" t="str">
        <f>EDD!E5</f>
        <v>R1B002144</v>
      </c>
      <c r="F141" s="161" t="str">
        <f>EDD!M5</f>
        <v>세일엔지니어링</v>
      </c>
      <c r="G141" s="161" t="str">
        <f>EDD!N5</f>
        <v>세일엔지니어링</v>
      </c>
      <c r="H141" s="161" t="str">
        <f>EDD!K5</f>
        <v>-</v>
      </c>
      <c r="I141" s="161" t="str">
        <f>EDD!L5</f>
        <v>-</v>
      </c>
      <c r="J141" s="138"/>
      <c r="K141" s="138"/>
      <c r="L141" s="138"/>
      <c r="M141" s="3"/>
    </row>
    <row r="142" spans="2:13" ht="19">
      <c r="B142" s="273"/>
      <c r="C142" s="279"/>
      <c r="D142" s="198" t="str">
        <f>EDD!D6</f>
        <v>LED Module</v>
      </c>
      <c r="E142" s="198" t="str">
        <f>EDD!E6</f>
        <v>ODTLM-064CA-16B4</v>
      </c>
      <c r="F142" s="198" t="str">
        <f>EDD!M6</f>
        <v>오디텍</v>
      </c>
      <c r="G142" s="198" t="str">
        <f>EDD!N6</f>
        <v>오디텍</v>
      </c>
      <c r="H142" s="13">
        <f>EDD!K6</f>
        <v>50000</v>
      </c>
      <c r="I142" s="13">
        <f>EDD!L6</f>
        <v>12600000</v>
      </c>
      <c r="J142" s="168">
        <v>45504</v>
      </c>
      <c r="K142" s="135"/>
      <c r="L142" s="167"/>
      <c r="M142" s="4" t="s">
        <v>189</v>
      </c>
    </row>
    <row r="143" spans="2:13" ht="19">
      <c r="B143" s="273"/>
      <c r="C143" s="279"/>
      <c r="D143" s="161" t="str">
        <f>EDD!D7</f>
        <v>Power Board Bracket</v>
      </c>
      <c r="E143" s="161" t="str">
        <f>EDD!E7</f>
        <v>R1C001376</v>
      </c>
      <c r="F143" s="161" t="str">
        <f>EDD!M7</f>
        <v>세일엔지니어링</v>
      </c>
      <c r="G143" s="161" t="str">
        <f>EDD!N7</f>
        <v>세일엔지니어링</v>
      </c>
      <c r="H143" s="161" t="str">
        <f>EDD!K7</f>
        <v>-</v>
      </c>
      <c r="I143" s="161" t="str">
        <f>EDD!L7</f>
        <v>-</v>
      </c>
      <c r="J143" s="138"/>
      <c r="K143" s="138"/>
      <c r="L143" s="138"/>
      <c r="M143" s="3"/>
    </row>
    <row r="144" spans="2:13" ht="19">
      <c r="B144" s="273"/>
      <c r="C144" s="279"/>
      <c r="D144" s="198" t="str">
        <f>EDD!D8</f>
        <v>Power Board</v>
      </c>
      <c r="E144" s="198" t="str">
        <f>EDD!E8</f>
        <v>R1C001393</v>
      </c>
      <c r="F144" s="198" t="str">
        <f>EDD!M8</f>
        <v>이지파워</v>
      </c>
      <c r="G144" s="198" t="str">
        <f>EDD!N8</f>
        <v>이지파워</v>
      </c>
      <c r="H144" s="13">
        <f>EDD!K8</f>
        <v>112000</v>
      </c>
      <c r="I144" s="13">
        <f>EDD!L8</f>
        <v>2800000</v>
      </c>
      <c r="J144" s="164">
        <v>45506</v>
      </c>
      <c r="K144" s="135"/>
      <c r="L144" s="167"/>
      <c r="M144" s="4" t="s">
        <v>183</v>
      </c>
    </row>
    <row r="145" spans="2:13" ht="19">
      <c r="B145" s="273"/>
      <c r="C145" s="279"/>
      <c r="D145" s="161" t="str">
        <f>EDD!D9</f>
        <v>Control Board Bracket</v>
      </c>
      <c r="E145" s="161" t="str">
        <f>EDD!E9</f>
        <v>R1C001373</v>
      </c>
      <c r="F145" s="161" t="str">
        <f>EDD!M9</f>
        <v>세일엔지니어링</v>
      </c>
      <c r="G145" s="161" t="str">
        <f>EDD!N9</f>
        <v>세일엔지니어링</v>
      </c>
      <c r="H145" s="161" t="str">
        <f>EDD!K9</f>
        <v>-</v>
      </c>
      <c r="I145" s="161" t="str">
        <f>EDD!L9</f>
        <v>-</v>
      </c>
      <c r="J145" s="138"/>
      <c r="K145" s="138"/>
      <c r="L145" s="138"/>
      <c r="M145" s="3"/>
    </row>
    <row r="146" spans="2:13" ht="19">
      <c r="B146" s="273"/>
      <c r="C146" s="279"/>
      <c r="D146" s="161" t="str">
        <f>EDD!D10</f>
        <v>Control Board</v>
      </c>
      <c r="E146" s="161" t="str">
        <f>EDD!E10</f>
        <v>R1C001374</v>
      </c>
      <c r="F146" s="161" t="str">
        <f>EDD!M10</f>
        <v>앤츠</v>
      </c>
      <c r="G146" s="161" t="str">
        <f>EDD!N10</f>
        <v>앤츠</v>
      </c>
      <c r="H146" s="156">
        <f>EDD!K10</f>
        <v>580000</v>
      </c>
      <c r="I146" s="156">
        <f>EDD!L10</f>
        <v>14500000</v>
      </c>
      <c r="J146" s="157">
        <v>45499</v>
      </c>
      <c r="K146" s="157">
        <v>45499</v>
      </c>
      <c r="L146" s="153" t="s">
        <v>282</v>
      </c>
      <c r="M146" s="3"/>
    </row>
    <row r="147" spans="2:13" ht="19">
      <c r="B147" s="273"/>
      <c r="C147" s="279"/>
      <c r="D147" s="161" t="str">
        <f>EDD!D11</f>
        <v>3P Connector Female</v>
      </c>
      <c r="E147" s="161" t="str">
        <f>EDD!E11</f>
        <v>770-213</v>
      </c>
      <c r="F147" s="161" t="str">
        <f>EDD!M11</f>
        <v>아이닉스</v>
      </c>
      <c r="G147" s="161" t="str">
        <f>EDD!N11</f>
        <v>WAGO</v>
      </c>
      <c r="H147" s="161">
        <f>EDD!K11</f>
        <v>2800</v>
      </c>
      <c r="I147" s="161">
        <f>EDD!L11</f>
        <v>70000</v>
      </c>
      <c r="J147" s="163">
        <v>45497</v>
      </c>
      <c r="K147" s="137">
        <v>45497</v>
      </c>
      <c r="L147" s="138" t="s">
        <v>282</v>
      </c>
      <c r="M147" s="3"/>
    </row>
    <row r="148" spans="2:13" ht="19">
      <c r="B148" s="273"/>
      <c r="C148" s="279"/>
      <c r="D148" s="161" t="str">
        <f>EDD!D12</f>
        <v>Locking</v>
      </c>
      <c r="E148" s="161" t="str">
        <f>EDD!E12</f>
        <v>770-101</v>
      </c>
      <c r="F148" s="161" t="str">
        <f>EDD!M12</f>
        <v>아이닉스</v>
      </c>
      <c r="G148" s="161" t="str">
        <f>EDD!N12</f>
        <v>WAGO</v>
      </c>
      <c r="H148" s="161">
        <f>EDD!K12</f>
        <v>350</v>
      </c>
      <c r="I148" s="161">
        <f>EDD!L12</f>
        <v>8750</v>
      </c>
      <c r="J148" s="163">
        <v>45497</v>
      </c>
      <c r="K148" s="137">
        <v>45497</v>
      </c>
      <c r="L148" s="138" t="s">
        <v>282</v>
      </c>
      <c r="M148" s="3"/>
    </row>
    <row r="149" spans="2:13" ht="19">
      <c r="B149" s="273"/>
      <c r="C149" s="279"/>
      <c r="D149" s="161" t="str">
        <f>EDD!D13</f>
        <v>4P Connector Female</v>
      </c>
      <c r="E149" s="161" t="str">
        <f>EDD!E13</f>
        <v>21 03 882 2405</v>
      </c>
      <c r="F149" s="161" t="str">
        <f>EDD!M13</f>
        <v>아이닉스</v>
      </c>
      <c r="G149" s="161" t="str">
        <f>EDD!N13</f>
        <v>HARTING</v>
      </c>
      <c r="H149" s="161">
        <f>EDD!K13</f>
        <v>32300</v>
      </c>
      <c r="I149" s="161">
        <f>EDD!L13</f>
        <v>807500</v>
      </c>
      <c r="J149" s="163">
        <v>45497</v>
      </c>
      <c r="K149" s="137">
        <v>45497</v>
      </c>
      <c r="L149" s="138" t="s">
        <v>282</v>
      </c>
      <c r="M149" s="3"/>
    </row>
    <row r="150" spans="2:13" ht="19">
      <c r="B150" s="273"/>
      <c r="C150" s="279"/>
      <c r="D150" s="161" t="str">
        <f>EDD!D14</f>
        <v>Pin</v>
      </c>
      <c r="E150" s="161" t="str">
        <f>EDD!E14</f>
        <v>09 67 000 5476</v>
      </c>
      <c r="F150" s="161" t="str">
        <f>EDD!M14</f>
        <v>아이닉스</v>
      </c>
      <c r="G150" s="161" t="str">
        <f>EDD!N14</f>
        <v>HARTING</v>
      </c>
      <c r="H150" s="161">
        <f>EDD!K14</f>
        <v>1300</v>
      </c>
      <c r="I150" s="161">
        <f>EDD!L14</f>
        <v>130000</v>
      </c>
      <c r="J150" s="163">
        <v>45497</v>
      </c>
      <c r="K150" s="137">
        <v>45497</v>
      </c>
      <c r="L150" s="138" t="s">
        <v>282</v>
      </c>
      <c r="M150" s="3"/>
    </row>
    <row r="151" spans="2:13" ht="19">
      <c r="B151" s="273"/>
      <c r="C151" s="279"/>
      <c r="D151" s="161" t="str">
        <f>EDD!D15</f>
        <v>Mount Bracket</v>
      </c>
      <c r="E151" s="161" t="str">
        <f>EDD!E15</f>
        <v>R1C001375</v>
      </c>
      <c r="F151" s="161" t="str">
        <f>EDD!M15</f>
        <v>세일엔지니어링</v>
      </c>
      <c r="G151" s="161" t="str">
        <f>EDD!N15</f>
        <v>세일엔지니어링</v>
      </c>
      <c r="H151" s="161" t="str">
        <f>EDD!K15</f>
        <v>-</v>
      </c>
      <c r="I151" s="161" t="str">
        <f>EDD!L15</f>
        <v>-</v>
      </c>
      <c r="J151" s="138"/>
      <c r="K151" s="138"/>
      <c r="L151" s="138"/>
      <c r="M151" s="3"/>
    </row>
    <row r="152" spans="2:13" ht="19">
      <c r="B152" s="273"/>
      <c r="C152" s="279"/>
      <c r="D152" s="198" t="str">
        <f>EDD!D16</f>
        <v>Name Plate, AL, T1</v>
      </c>
      <c r="E152" s="198" t="str">
        <f>EDD!E16</f>
        <v>R1C001342_9</v>
      </c>
      <c r="F152" s="198" t="str">
        <f>EDD!M16</f>
        <v>-</v>
      </c>
      <c r="G152" s="198" t="str">
        <f>EDD!N16</f>
        <v>-</v>
      </c>
      <c r="H152" s="13" t="str">
        <f>EDD!K16</f>
        <v>-</v>
      </c>
      <c r="I152" s="13" t="str">
        <f>EDD!L16</f>
        <v>-</v>
      </c>
      <c r="J152" s="135"/>
      <c r="K152" s="135"/>
      <c r="L152" s="135"/>
      <c r="M152" s="3"/>
    </row>
    <row r="153" spans="2:13" ht="18">
      <c r="B153" s="273"/>
      <c r="C153" s="279"/>
      <c r="D153" s="145"/>
      <c r="E153" s="145"/>
      <c r="F153" s="145"/>
      <c r="G153" s="145"/>
      <c r="H153" s="12"/>
      <c r="I153" s="13"/>
      <c r="J153" s="135"/>
      <c r="K153" s="135"/>
      <c r="L153" s="134"/>
      <c r="M153" s="2"/>
    </row>
    <row r="154" spans="2:13" ht="19">
      <c r="B154" s="273"/>
      <c r="C154" s="280"/>
      <c r="D154" s="148" t="s">
        <v>286</v>
      </c>
      <c r="E154" s="148"/>
      <c r="F154" s="149" t="s">
        <v>262</v>
      </c>
      <c r="G154" s="149" t="s">
        <v>262</v>
      </c>
      <c r="H154" s="150"/>
      <c r="I154" s="156">
        <f>EDD!L32</f>
        <v>19900</v>
      </c>
      <c r="J154" s="163">
        <v>45497</v>
      </c>
      <c r="K154" s="137">
        <v>45497</v>
      </c>
      <c r="L154" s="149"/>
      <c r="M154" s="2"/>
    </row>
    <row r="155" spans="2:13" ht="19" customHeight="1">
      <c r="B155" s="281" t="s">
        <v>285</v>
      </c>
      <c r="C155" s="177">
        <v>1</v>
      </c>
      <c r="D155" s="176" t="s">
        <v>345</v>
      </c>
      <c r="E155" s="176" t="s">
        <v>346</v>
      </c>
      <c r="F155" s="155" t="s">
        <v>262</v>
      </c>
      <c r="G155" s="155" t="s">
        <v>290</v>
      </c>
      <c r="H155" s="178">
        <v>3900</v>
      </c>
      <c r="I155" s="179">
        <f>H155*800</f>
        <v>3120000</v>
      </c>
      <c r="J155" s="163">
        <v>45497</v>
      </c>
      <c r="K155" s="137">
        <v>45497</v>
      </c>
      <c r="L155" s="180"/>
      <c r="M155" s="14" t="s">
        <v>292</v>
      </c>
    </row>
    <row r="156" spans="2:13" ht="19">
      <c r="B156" s="281"/>
      <c r="C156" s="177">
        <v>2</v>
      </c>
      <c r="D156" s="176" t="s">
        <v>345</v>
      </c>
      <c r="E156" s="176" t="s">
        <v>287</v>
      </c>
      <c r="F156" s="155" t="s">
        <v>262</v>
      </c>
      <c r="G156" s="155" t="s">
        <v>290</v>
      </c>
      <c r="H156" s="178">
        <v>2600</v>
      </c>
      <c r="I156" s="179">
        <f>H156*2500</f>
        <v>6500000</v>
      </c>
      <c r="J156" s="163">
        <v>45497</v>
      </c>
      <c r="K156" s="137">
        <v>45497</v>
      </c>
      <c r="L156" s="180"/>
      <c r="M156" s="14" t="s">
        <v>293</v>
      </c>
    </row>
    <row r="157" spans="2:13" ht="20" thickBot="1">
      <c r="B157" s="281"/>
      <c r="C157" s="177">
        <v>3</v>
      </c>
      <c r="D157" s="176" t="s">
        <v>345</v>
      </c>
      <c r="E157" s="176" t="s">
        <v>352</v>
      </c>
      <c r="F157" s="155" t="s">
        <v>262</v>
      </c>
      <c r="G157" s="155" t="s">
        <v>353</v>
      </c>
      <c r="H157" s="178">
        <v>18900</v>
      </c>
      <c r="I157" s="178">
        <f>H157*500</f>
        <v>9450000</v>
      </c>
      <c r="J157" s="163">
        <v>45497</v>
      </c>
      <c r="K157" s="137">
        <v>45497</v>
      </c>
      <c r="L157" s="181"/>
      <c r="M157" s="14" t="s">
        <v>294</v>
      </c>
    </row>
    <row r="158" spans="2:13" ht="21" thickBot="1">
      <c r="B158" s="281"/>
      <c r="C158" s="177">
        <v>4</v>
      </c>
      <c r="D158" s="182" t="s">
        <v>351</v>
      </c>
      <c r="E158" s="182" t="s">
        <v>354</v>
      </c>
      <c r="F158" s="211" t="s">
        <v>332</v>
      </c>
      <c r="G158" s="183" t="s">
        <v>360</v>
      </c>
      <c r="H158" s="184"/>
      <c r="I158" s="184">
        <v>1240000</v>
      </c>
      <c r="J158" s="185">
        <v>45506</v>
      </c>
      <c r="K158" s="186"/>
      <c r="L158" s="186"/>
      <c r="M158" s="187" t="s">
        <v>333</v>
      </c>
    </row>
    <row r="159" spans="2:13" ht="33" thickBot="1">
      <c r="B159" s="281"/>
      <c r="C159" s="177">
        <v>5</v>
      </c>
      <c r="D159" s="188" t="s">
        <v>330</v>
      </c>
      <c r="E159" s="188"/>
      <c r="F159" s="188" t="s">
        <v>289</v>
      </c>
      <c r="G159" s="210" t="s">
        <v>289</v>
      </c>
      <c r="H159" s="156"/>
      <c r="I159" s="156">
        <f>EID!L26</f>
        <v>1825000</v>
      </c>
      <c r="J159" s="163">
        <v>45499</v>
      </c>
      <c r="K159" s="163">
        <v>45499</v>
      </c>
      <c r="L159" s="186"/>
      <c r="M159" s="189" t="s">
        <v>361</v>
      </c>
    </row>
    <row r="160" spans="2:13" ht="33" thickBot="1">
      <c r="B160" s="281"/>
      <c r="C160" s="177">
        <v>6</v>
      </c>
      <c r="D160" s="40" t="s">
        <v>349</v>
      </c>
      <c r="E160" s="214" t="s">
        <v>371</v>
      </c>
      <c r="F160" s="213" t="s">
        <v>288</v>
      </c>
      <c r="G160" s="213" t="s">
        <v>288</v>
      </c>
      <c r="H160" s="198"/>
      <c r="I160" s="29">
        <v>1680000</v>
      </c>
      <c r="J160" s="185"/>
      <c r="K160" s="185"/>
      <c r="L160" s="186"/>
      <c r="M160" s="189" t="s">
        <v>370</v>
      </c>
    </row>
    <row r="161" spans="2:13" ht="33" thickBot="1">
      <c r="B161" s="281"/>
      <c r="C161" s="177">
        <v>7</v>
      </c>
      <c r="D161" s="213" t="str">
        <f>MOP!D13</f>
        <v>LCD</v>
      </c>
      <c r="E161" s="214" t="str">
        <f>MOP!E13</f>
        <v>"HL035T002T-02(단종)
HL035T11-01 + RTC"</v>
      </c>
      <c r="F161" s="214" t="str">
        <f>MOP!N13</f>
        <v>티렉스아이엔씨</v>
      </c>
      <c r="G161" s="214" t="str">
        <f>MOP!O13</f>
        <v>Shenzhen</v>
      </c>
      <c r="H161" s="198">
        <f>MOP!L13</f>
        <v>23000</v>
      </c>
      <c r="I161" s="198">
        <f>MOP!M13</f>
        <v>1380000</v>
      </c>
      <c r="J161" s="185"/>
      <c r="K161" s="185"/>
      <c r="L161" s="186"/>
      <c r="M161" s="189" t="s">
        <v>370</v>
      </c>
    </row>
    <row r="162" spans="2:13" ht="32">
      <c r="B162" s="282"/>
      <c r="C162" s="215">
        <v>8</v>
      </c>
      <c r="D162" s="216" t="s">
        <v>260</v>
      </c>
      <c r="E162" s="216" t="s">
        <v>359</v>
      </c>
      <c r="F162" s="217" t="s">
        <v>261</v>
      </c>
      <c r="G162" s="218" t="s">
        <v>357</v>
      </c>
      <c r="H162" s="219">
        <f>EID!K27</f>
        <v>5000</v>
      </c>
      <c r="I162" s="219">
        <f>EID!L27</f>
        <v>300000</v>
      </c>
      <c r="J162" s="220">
        <v>45497</v>
      </c>
      <c r="K162" s="221">
        <v>45497</v>
      </c>
      <c r="L162" s="222"/>
      <c r="M162" s="223" t="s">
        <v>361</v>
      </c>
    </row>
    <row r="163" spans="2:13" ht="19">
      <c r="B163" s="209" t="s">
        <v>372</v>
      </c>
      <c r="C163" s="177">
        <v>1</v>
      </c>
      <c r="D163" s="188" t="s">
        <v>373</v>
      </c>
      <c r="E163" s="188"/>
      <c r="F163" s="212" t="s">
        <v>363</v>
      </c>
      <c r="G163" s="212" t="s">
        <v>363</v>
      </c>
      <c r="H163" s="224"/>
      <c r="I163" s="224">
        <v>85000000</v>
      </c>
      <c r="J163" s="225" t="s">
        <v>374</v>
      </c>
      <c r="K163" s="225"/>
      <c r="L163" s="226"/>
      <c r="M163" s="189"/>
    </row>
    <row r="165" spans="2:13" ht="18">
      <c r="I165" s="19">
        <f>SUBTOTAL(109,I4:I163)</f>
        <v>998087008</v>
      </c>
    </row>
    <row r="167" spans="2:13">
      <c r="I167" s="11"/>
    </row>
  </sheetData>
  <autoFilter ref="B2:M162" xr:uid="{00000000-0001-0000-0000-000000000000}"/>
  <mergeCells count="17">
    <mergeCell ref="C108:C120"/>
    <mergeCell ref="B121:B137"/>
    <mergeCell ref="C121:C137"/>
    <mergeCell ref="C138:C154"/>
    <mergeCell ref="B155:B162"/>
    <mergeCell ref="C3:C30"/>
    <mergeCell ref="B138:B154"/>
    <mergeCell ref="B3:B30"/>
    <mergeCell ref="B31:B48"/>
    <mergeCell ref="C31:C48"/>
    <mergeCell ref="B49:B68"/>
    <mergeCell ref="C49:C68"/>
    <mergeCell ref="B69:B87"/>
    <mergeCell ref="C69:C87"/>
    <mergeCell ref="C88:C107"/>
    <mergeCell ref="B88:B107"/>
    <mergeCell ref="B108:B12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D49-761E-4F96-B204-B50CDF875A07}">
  <dimension ref="B1:Q51"/>
  <sheetViews>
    <sheetView zoomScale="85" workbookViewId="0">
      <pane ySplit="1" topLeftCell="A2" activePane="bottomLeft" state="frozen"/>
      <selection pane="bottomLeft" activeCell="D33" sqref="D33:K50"/>
    </sheetView>
  </sheetViews>
  <sheetFormatPr baseColWidth="10" defaultColWidth="9.3984375" defaultRowHeight="18"/>
  <cols>
    <col min="1" max="1" width="5" style="32" customWidth="1"/>
    <col min="2" max="2" width="11.59765625" style="32" customWidth="1"/>
    <col min="3" max="3" width="8.3984375" style="32" bestFit="1" customWidth="1"/>
    <col min="4" max="4" width="31" style="32" bestFit="1" customWidth="1"/>
    <col min="5" max="5" width="34.3984375" style="32" bestFit="1" customWidth="1"/>
    <col min="6" max="8" width="15.796875" style="32" bestFit="1" customWidth="1"/>
    <col min="9" max="9" width="18" style="32" bestFit="1" customWidth="1"/>
    <col min="10" max="10" width="15.796875" style="32" bestFit="1" customWidth="1"/>
    <col min="11" max="11" width="15.796875" style="32" customWidth="1"/>
    <col min="12" max="12" width="13" style="32" bestFit="1" customWidth="1"/>
    <col min="13" max="13" width="16.19921875" style="32" bestFit="1" customWidth="1"/>
    <col min="14" max="15" width="20" style="32" bestFit="1" customWidth="1"/>
    <col min="16" max="16" width="16.3984375" style="32" bestFit="1" customWidth="1"/>
    <col min="17" max="17" width="19.19921875" style="32" bestFit="1" customWidth="1"/>
    <col min="18" max="18" width="3.3984375" style="32" customWidth="1"/>
    <col min="19" max="16384" width="9.3984375" style="32"/>
  </cols>
  <sheetData>
    <row r="1" spans="2:17" ht="39" thickBot="1">
      <c r="B1" s="85" t="s">
        <v>365</v>
      </c>
      <c r="C1" s="85" t="s">
        <v>15</v>
      </c>
      <c r="D1" s="20" t="s">
        <v>18</v>
      </c>
      <c r="E1" s="81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86">
        <v>1</v>
      </c>
      <c r="C2" s="22" t="s">
        <v>2</v>
      </c>
      <c r="D2" s="78"/>
      <c r="E2" s="82" t="s">
        <v>42</v>
      </c>
      <c r="F2" s="23"/>
      <c r="G2" s="23"/>
      <c r="H2" s="23"/>
      <c r="I2" s="87"/>
      <c r="J2" s="87"/>
      <c r="K2" s="87"/>
      <c r="L2" s="24"/>
      <c r="M2" s="24"/>
      <c r="N2" s="51"/>
      <c r="O2" s="51"/>
      <c r="P2" s="51"/>
      <c r="Q2" s="59"/>
    </row>
    <row r="3" spans="2:17" ht="19">
      <c r="B3" s="86"/>
      <c r="C3" s="22">
        <v>1</v>
      </c>
      <c r="D3" s="78" t="s">
        <v>19</v>
      </c>
      <c r="E3" s="83" t="s">
        <v>43</v>
      </c>
      <c r="F3" s="84"/>
      <c r="G3" s="84"/>
      <c r="H3" s="84"/>
      <c r="I3" s="33">
        <v>1</v>
      </c>
      <c r="J3" s="33">
        <v>51</v>
      </c>
      <c r="K3" s="236">
        <f>I3*J3</f>
        <v>51</v>
      </c>
      <c r="L3" s="237">
        <v>440100</v>
      </c>
      <c r="M3" s="26">
        <f>I3*J3*L3</f>
        <v>22445100</v>
      </c>
      <c r="N3" s="51" t="s">
        <v>181</v>
      </c>
      <c r="O3" s="88" t="s">
        <v>181</v>
      </c>
      <c r="P3" s="55"/>
      <c r="Q3" s="54"/>
    </row>
    <row r="4" spans="2:17" ht="19">
      <c r="B4" s="86"/>
      <c r="C4" s="22">
        <v>2</v>
      </c>
      <c r="D4" s="78" t="s">
        <v>20</v>
      </c>
      <c r="E4" s="83" t="s">
        <v>44</v>
      </c>
      <c r="F4" s="84"/>
      <c r="G4" s="84"/>
      <c r="H4" s="84"/>
      <c r="I4" s="33">
        <v>1</v>
      </c>
      <c r="J4" s="33">
        <v>51</v>
      </c>
      <c r="K4" s="236">
        <f t="shared" ref="K4:K30" si="0">I4*J4</f>
        <v>51</v>
      </c>
      <c r="L4" s="237" t="s">
        <v>317</v>
      </c>
      <c r="M4" s="25" t="s">
        <v>317</v>
      </c>
      <c r="N4" s="51" t="s">
        <v>181</v>
      </c>
      <c r="O4" s="88" t="s">
        <v>181</v>
      </c>
      <c r="P4" s="55"/>
      <c r="Q4" s="54"/>
    </row>
    <row r="5" spans="2:17" ht="19">
      <c r="B5" s="86"/>
      <c r="C5" s="22">
        <v>3</v>
      </c>
      <c r="D5" s="240" t="s">
        <v>21</v>
      </c>
      <c r="E5" s="241" t="s">
        <v>45</v>
      </c>
      <c r="F5" s="242"/>
      <c r="G5" s="242"/>
      <c r="H5" s="242"/>
      <c r="I5" s="48">
        <v>1</v>
      </c>
      <c r="J5" s="48">
        <v>51</v>
      </c>
      <c r="K5" s="243">
        <f t="shared" si="0"/>
        <v>51</v>
      </c>
      <c r="L5" s="244" t="s">
        <v>317</v>
      </c>
      <c r="M5" s="244" t="s">
        <v>317</v>
      </c>
      <c r="N5" s="239" t="s">
        <v>181</v>
      </c>
      <c r="O5" s="239" t="s">
        <v>181</v>
      </c>
      <c r="P5" s="238"/>
      <c r="Q5" s="54"/>
    </row>
    <row r="6" spans="2:17" ht="19">
      <c r="B6" s="86"/>
      <c r="C6" s="22">
        <v>4</v>
      </c>
      <c r="D6" s="240" t="s">
        <v>22</v>
      </c>
      <c r="E6" s="241" t="s">
        <v>46</v>
      </c>
      <c r="F6" s="242"/>
      <c r="G6" s="242"/>
      <c r="H6" s="242"/>
      <c r="I6" s="48">
        <v>1</v>
      </c>
      <c r="J6" s="48">
        <v>51</v>
      </c>
      <c r="K6" s="243">
        <f t="shared" si="0"/>
        <v>51</v>
      </c>
      <c r="L6" s="244" t="s">
        <v>317</v>
      </c>
      <c r="M6" s="244" t="s">
        <v>317</v>
      </c>
      <c r="N6" s="239" t="s">
        <v>181</v>
      </c>
      <c r="O6" s="239" t="s">
        <v>181</v>
      </c>
      <c r="P6" s="238"/>
      <c r="Q6" s="54"/>
    </row>
    <row r="7" spans="2:17" ht="19">
      <c r="B7" s="86"/>
      <c r="C7" s="22">
        <v>5</v>
      </c>
      <c r="D7" s="240" t="s">
        <v>23</v>
      </c>
      <c r="E7" s="241" t="s">
        <v>47</v>
      </c>
      <c r="F7" s="242"/>
      <c r="G7" s="242"/>
      <c r="H7" s="242"/>
      <c r="I7" s="48">
        <v>1</v>
      </c>
      <c r="J7" s="48">
        <v>51</v>
      </c>
      <c r="K7" s="243">
        <f t="shared" si="0"/>
        <v>51</v>
      </c>
      <c r="L7" s="244" t="s">
        <v>317</v>
      </c>
      <c r="M7" s="244" t="s">
        <v>317</v>
      </c>
      <c r="N7" s="239" t="s">
        <v>181</v>
      </c>
      <c r="O7" s="239" t="s">
        <v>181</v>
      </c>
      <c r="P7" s="238"/>
      <c r="Q7" s="54"/>
    </row>
    <row r="8" spans="2:17" ht="19">
      <c r="B8" s="86"/>
      <c r="C8" s="22">
        <v>6</v>
      </c>
      <c r="D8" s="240" t="s">
        <v>24</v>
      </c>
      <c r="E8" s="241" t="s">
        <v>48</v>
      </c>
      <c r="F8" s="242"/>
      <c r="G8" s="242"/>
      <c r="H8" s="242"/>
      <c r="I8" s="48">
        <v>1</v>
      </c>
      <c r="J8" s="48">
        <v>51</v>
      </c>
      <c r="K8" s="243">
        <f t="shared" si="0"/>
        <v>51</v>
      </c>
      <c r="L8" s="244" t="s">
        <v>317</v>
      </c>
      <c r="M8" s="244" t="s">
        <v>317</v>
      </c>
      <c r="N8" s="239" t="s">
        <v>181</v>
      </c>
      <c r="O8" s="239" t="s">
        <v>181</v>
      </c>
      <c r="P8" s="48"/>
      <c r="Q8" s="263"/>
    </row>
    <row r="9" spans="2:17" ht="19">
      <c r="B9" s="86"/>
      <c r="C9" s="22">
        <v>7</v>
      </c>
      <c r="D9" s="245" t="s">
        <v>25</v>
      </c>
      <c r="E9" s="40" t="s">
        <v>49</v>
      </c>
      <c r="F9" s="40"/>
      <c r="G9" s="40"/>
      <c r="H9" s="40"/>
      <c r="I9" s="40">
        <v>4</v>
      </c>
      <c r="J9" s="40">
        <v>55</v>
      </c>
      <c r="K9" s="246">
        <f t="shared" si="0"/>
        <v>220</v>
      </c>
      <c r="L9" s="247">
        <v>28800</v>
      </c>
      <c r="M9" s="247">
        <f t="shared" ref="M9:M11" si="1">I9*J9*L9</f>
        <v>6336000</v>
      </c>
      <c r="N9" s="235" t="s">
        <v>262</v>
      </c>
      <c r="O9" s="235" t="s">
        <v>270</v>
      </c>
      <c r="P9" s="40"/>
      <c r="Q9" s="40"/>
    </row>
    <row r="10" spans="2:17" ht="19">
      <c r="B10" s="86"/>
      <c r="C10" s="22">
        <v>8</v>
      </c>
      <c r="D10" s="245" t="s">
        <v>25</v>
      </c>
      <c r="E10" s="40" t="s">
        <v>224</v>
      </c>
      <c r="F10" s="40"/>
      <c r="G10" s="40"/>
      <c r="H10" s="40"/>
      <c r="I10" s="40">
        <v>4</v>
      </c>
      <c r="J10" s="40">
        <v>55</v>
      </c>
      <c r="K10" s="246">
        <f t="shared" si="0"/>
        <v>220</v>
      </c>
      <c r="L10" s="247">
        <v>4650</v>
      </c>
      <c r="M10" s="247">
        <f t="shared" si="1"/>
        <v>1023000</v>
      </c>
      <c r="N10" s="235" t="s">
        <v>262</v>
      </c>
      <c r="O10" s="235" t="s">
        <v>270</v>
      </c>
      <c r="P10" s="40"/>
      <c r="Q10" s="40"/>
    </row>
    <row r="11" spans="2:17" ht="19">
      <c r="B11" s="86"/>
      <c r="C11" s="22">
        <v>9</v>
      </c>
      <c r="D11" s="245" t="s">
        <v>25</v>
      </c>
      <c r="E11" s="40" t="s">
        <v>376</v>
      </c>
      <c r="F11" s="40"/>
      <c r="G11" s="40"/>
      <c r="H11" s="40"/>
      <c r="I11" s="40">
        <v>4</v>
      </c>
      <c r="J11" s="40">
        <v>55</v>
      </c>
      <c r="K11" s="246">
        <f t="shared" si="0"/>
        <v>220</v>
      </c>
      <c r="L11" s="247">
        <v>39000</v>
      </c>
      <c r="M11" s="247">
        <f t="shared" si="1"/>
        <v>8580000</v>
      </c>
      <c r="N11" s="235" t="s">
        <v>262</v>
      </c>
      <c r="O11" s="235" t="s">
        <v>270</v>
      </c>
      <c r="P11" s="40"/>
      <c r="Q11" s="40"/>
    </row>
    <row r="12" spans="2:17" ht="19">
      <c r="B12" s="86"/>
      <c r="C12" s="22">
        <v>10</v>
      </c>
      <c r="D12" s="240" t="s">
        <v>26</v>
      </c>
      <c r="E12" s="241" t="s">
        <v>196</v>
      </c>
      <c r="F12" s="242"/>
      <c r="G12" s="242"/>
      <c r="H12" s="242"/>
      <c r="I12" s="48">
        <v>1</v>
      </c>
      <c r="J12" s="48">
        <v>55</v>
      </c>
      <c r="K12" s="243">
        <f t="shared" si="0"/>
        <v>55</v>
      </c>
      <c r="L12" s="244">
        <v>2800</v>
      </c>
      <c r="M12" s="248">
        <f t="shared" ref="M12:M27" si="2">I12*J12*L12</f>
        <v>154000</v>
      </c>
      <c r="N12" s="242" t="s">
        <v>262</v>
      </c>
      <c r="O12" s="242" t="s">
        <v>271</v>
      </c>
      <c r="P12" s="48"/>
      <c r="Q12" s="263"/>
    </row>
    <row r="13" spans="2:17" ht="38">
      <c r="B13" s="86"/>
      <c r="C13" s="22">
        <v>11</v>
      </c>
      <c r="D13" s="240" t="s">
        <v>27</v>
      </c>
      <c r="E13" s="242" t="s">
        <v>366</v>
      </c>
      <c r="F13" s="242"/>
      <c r="G13" s="242"/>
      <c r="H13" s="242"/>
      <c r="I13" s="48">
        <v>1</v>
      </c>
      <c r="J13" s="48">
        <v>60</v>
      </c>
      <c r="K13" s="243">
        <f t="shared" si="0"/>
        <v>60</v>
      </c>
      <c r="L13" s="244">
        <v>23000</v>
      </c>
      <c r="M13" s="248">
        <f t="shared" si="2"/>
        <v>1380000</v>
      </c>
      <c r="N13" s="242" t="s">
        <v>261</v>
      </c>
      <c r="O13" s="242" t="s">
        <v>272</v>
      </c>
      <c r="P13" s="48"/>
      <c r="Q13" s="40" t="s">
        <v>333</v>
      </c>
    </row>
    <row r="14" spans="2:17" ht="19">
      <c r="B14" s="86"/>
      <c r="C14" s="22">
        <v>12</v>
      </c>
      <c r="D14" s="240" t="s">
        <v>28</v>
      </c>
      <c r="E14" s="241" t="s">
        <v>50</v>
      </c>
      <c r="F14" s="242"/>
      <c r="G14" s="242"/>
      <c r="H14" s="242"/>
      <c r="I14" s="48">
        <v>1</v>
      </c>
      <c r="J14" s="48">
        <v>51</v>
      </c>
      <c r="K14" s="243">
        <f t="shared" si="0"/>
        <v>51</v>
      </c>
      <c r="L14" s="244" t="s">
        <v>317</v>
      </c>
      <c r="M14" s="244" t="s">
        <v>317</v>
      </c>
      <c r="N14" s="242" t="s">
        <v>181</v>
      </c>
      <c r="O14" s="242" t="s">
        <v>181</v>
      </c>
      <c r="P14" s="48"/>
      <c r="Q14" s="263"/>
    </row>
    <row r="15" spans="2:17" ht="19">
      <c r="B15" s="86"/>
      <c r="C15" s="22">
        <v>13</v>
      </c>
      <c r="D15" s="240" t="s">
        <v>29</v>
      </c>
      <c r="E15" s="241" t="s">
        <v>175</v>
      </c>
      <c r="F15" s="242"/>
      <c r="G15" s="242"/>
      <c r="H15" s="242"/>
      <c r="I15" s="48">
        <v>1</v>
      </c>
      <c r="J15" s="48">
        <v>51</v>
      </c>
      <c r="K15" s="243">
        <f t="shared" si="0"/>
        <v>51</v>
      </c>
      <c r="L15" s="249">
        <v>425213</v>
      </c>
      <c r="M15" s="248">
        <f t="shared" si="2"/>
        <v>21685863</v>
      </c>
      <c r="N15" s="242" t="s">
        <v>363</v>
      </c>
      <c r="O15" s="242" t="s">
        <v>363</v>
      </c>
      <c r="P15" s="48"/>
      <c r="Q15" s="263"/>
    </row>
    <row r="16" spans="2:17" ht="19">
      <c r="B16" s="86"/>
      <c r="C16" s="22">
        <v>14</v>
      </c>
      <c r="D16" s="240" t="s">
        <v>30</v>
      </c>
      <c r="E16" s="241" t="s">
        <v>51</v>
      </c>
      <c r="F16" s="242"/>
      <c r="G16" s="242"/>
      <c r="H16" s="242"/>
      <c r="I16" s="48">
        <v>1</v>
      </c>
      <c r="J16" s="48">
        <v>51</v>
      </c>
      <c r="K16" s="243">
        <f t="shared" si="0"/>
        <v>51</v>
      </c>
      <c r="L16" s="249">
        <v>473650</v>
      </c>
      <c r="M16" s="248">
        <f t="shared" si="2"/>
        <v>24156150</v>
      </c>
      <c r="N16" s="242" t="s">
        <v>363</v>
      </c>
      <c r="O16" s="242" t="s">
        <v>363</v>
      </c>
      <c r="P16" s="48"/>
      <c r="Q16" s="263"/>
    </row>
    <row r="17" spans="2:17" ht="19">
      <c r="B17" s="86"/>
      <c r="C17" s="22">
        <v>15</v>
      </c>
      <c r="D17" s="240" t="s">
        <v>31</v>
      </c>
      <c r="E17" s="241" t="s">
        <v>52</v>
      </c>
      <c r="F17" s="242"/>
      <c r="G17" s="242"/>
      <c r="H17" s="242"/>
      <c r="I17" s="48">
        <v>1</v>
      </c>
      <c r="J17" s="48">
        <v>51</v>
      </c>
      <c r="K17" s="243">
        <f t="shared" si="0"/>
        <v>51</v>
      </c>
      <c r="L17" s="244">
        <v>89000</v>
      </c>
      <c r="M17" s="248">
        <f t="shared" si="2"/>
        <v>4539000</v>
      </c>
      <c r="N17" s="242" t="s">
        <v>182</v>
      </c>
      <c r="O17" s="242" t="s">
        <v>182</v>
      </c>
      <c r="P17" s="48"/>
      <c r="Q17" s="263"/>
    </row>
    <row r="18" spans="2:17" ht="19">
      <c r="B18" s="86"/>
      <c r="C18" s="22">
        <v>16</v>
      </c>
      <c r="D18" s="240" t="s">
        <v>32</v>
      </c>
      <c r="E18" s="241" t="s">
        <v>53</v>
      </c>
      <c r="F18" s="242"/>
      <c r="G18" s="242"/>
      <c r="H18" s="242"/>
      <c r="I18" s="48">
        <v>1</v>
      </c>
      <c r="J18" s="48">
        <v>55</v>
      </c>
      <c r="K18" s="243">
        <f t="shared" si="0"/>
        <v>55</v>
      </c>
      <c r="L18" s="249">
        <v>2800</v>
      </c>
      <c r="M18" s="248">
        <f t="shared" si="2"/>
        <v>154000</v>
      </c>
      <c r="N18" s="242" t="s">
        <v>262</v>
      </c>
      <c r="O18" s="242" t="s">
        <v>263</v>
      </c>
      <c r="P18" s="48"/>
      <c r="Q18" s="263"/>
    </row>
    <row r="19" spans="2:17" ht="19">
      <c r="B19" s="86"/>
      <c r="C19" s="22">
        <v>17</v>
      </c>
      <c r="D19" s="240" t="s">
        <v>33</v>
      </c>
      <c r="E19" s="241" t="s">
        <v>54</v>
      </c>
      <c r="F19" s="242"/>
      <c r="G19" s="242"/>
      <c r="H19" s="242"/>
      <c r="I19" s="250">
        <v>1</v>
      </c>
      <c r="J19" s="48">
        <v>55</v>
      </c>
      <c r="K19" s="243">
        <f t="shared" si="0"/>
        <v>55</v>
      </c>
      <c r="L19" s="244">
        <v>4250</v>
      </c>
      <c r="M19" s="248">
        <f t="shared" si="2"/>
        <v>233750</v>
      </c>
      <c r="N19" s="242" t="s">
        <v>262</v>
      </c>
      <c r="O19" s="242" t="s">
        <v>263</v>
      </c>
      <c r="P19" s="250"/>
      <c r="Q19" s="263"/>
    </row>
    <row r="20" spans="2:17" ht="19">
      <c r="B20" s="86"/>
      <c r="C20" s="22">
        <v>18</v>
      </c>
      <c r="D20" s="240" t="s">
        <v>34</v>
      </c>
      <c r="E20" s="241" t="s">
        <v>55</v>
      </c>
      <c r="F20" s="242"/>
      <c r="G20" s="242"/>
      <c r="H20" s="242"/>
      <c r="I20" s="250">
        <v>1</v>
      </c>
      <c r="J20" s="48">
        <v>55</v>
      </c>
      <c r="K20" s="243">
        <f t="shared" si="0"/>
        <v>55</v>
      </c>
      <c r="L20" s="244">
        <v>350</v>
      </c>
      <c r="M20" s="248">
        <f t="shared" si="2"/>
        <v>19250</v>
      </c>
      <c r="N20" s="242" t="s">
        <v>262</v>
      </c>
      <c r="O20" s="242" t="s">
        <v>263</v>
      </c>
      <c r="P20" s="250"/>
      <c r="Q20" s="263"/>
    </row>
    <row r="21" spans="2:17" ht="19">
      <c r="B21" s="86"/>
      <c r="C21" s="22">
        <v>19</v>
      </c>
      <c r="D21" s="240" t="s">
        <v>35</v>
      </c>
      <c r="E21" s="241" t="s">
        <v>56</v>
      </c>
      <c r="F21" s="242"/>
      <c r="G21" s="242"/>
      <c r="H21" s="242"/>
      <c r="I21" s="250">
        <v>1</v>
      </c>
      <c r="J21" s="48">
        <v>55</v>
      </c>
      <c r="K21" s="243">
        <f t="shared" si="0"/>
        <v>55</v>
      </c>
      <c r="L21" s="249">
        <v>32300</v>
      </c>
      <c r="M21" s="248">
        <f t="shared" si="2"/>
        <v>1776500</v>
      </c>
      <c r="N21" s="242" t="s">
        <v>262</v>
      </c>
      <c r="O21" s="242" t="s">
        <v>264</v>
      </c>
      <c r="P21" s="250"/>
      <c r="Q21" s="263"/>
    </row>
    <row r="22" spans="2:17" ht="19">
      <c r="B22" s="86"/>
      <c r="C22" s="22">
        <v>20</v>
      </c>
      <c r="D22" s="240" t="s">
        <v>36</v>
      </c>
      <c r="E22" s="241" t="s">
        <v>57</v>
      </c>
      <c r="F22" s="242"/>
      <c r="G22" s="242"/>
      <c r="H22" s="242"/>
      <c r="I22" s="250">
        <v>4</v>
      </c>
      <c r="J22" s="48">
        <v>55</v>
      </c>
      <c r="K22" s="243">
        <f t="shared" si="0"/>
        <v>220</v>
      </c>
      <c r="L22" s="249">
        <v>1300</v>
      </c>
      <c r="M22" s="248">
        <f t="shared" si="2"/>
        <v>286000</v>
      </c>
      <c r="N22" s="242" t="s">
        <v>262</v>
      </c>
      <c r="O22" s="242" t="s">
        <v>264</v>
      </c>
      <c r="P22" s="250"/>
      <c r="Q22" s="263"/>
    </row>
    <row r="23" spans="2:17" ht="19">
      <c r="B23" s="86"/>
      <c r="C23" s="22">
        <v>21</v>
      </c>
      <c r="D23" s="240" t="s">
        <v>37</v>
      </c>
      <c r="E23" s="241" t="s">
        <v>58</v>
      </c>
      <c r="F23" s="242"/>
      <c r="G23" s="242"/>
      <c r="H23" s="242"/>
      <c r="I23" s="250">
        <v>1</v>
      </c>
      <c r="J23" s="48">
        <v>50</v>
      </c>
      <c r="K23" s="243">
        <f t="shared" si="0"/>
        <v>50</v>
      </c>
      <c r="L23" s="244">
        <v>23900</v>
      </c>
      <c r="M23" s="248">
        <f t="shared" si="2"/>
        <v>1195000</v>
      </c>
      <c r="N23" s="242" t="s">
        <v>262</v>
      </c>
      <c r="O23" s="242" t="s">
        <v>269</v>
      </c>
      <c r="P23" s="250"/>
      <c r="Q23" s="40" t="s">
        <v>327</v>
      </c>
    </row>
    <row r="24" spans="2:17" ht="19">
      <c r="B24" s="86"/>
      <c r="C24" s="22">
        <v>22</v>
      </c>
      <c r="D24" s="240" t="s">
        <v>36</v>
      </c>
      <c r="E24" s="241" t="s">
        <v>59</v>
      </c>
      <c r="F24" s="242"/>
      <c r="G24" s="242"/>
      <c r="H24" s="242"/>
      <c r="I24" s="250">
        <v>12</v>
      </c>
      <c r="J24" s="48">
        <v>50</v>
      </c>
      <c r="K24" s="243">
        <f t="shared" si="0"/>
        <v>600</v>
      </c>
      <c r="L24" s="244">
        <v>1250</v>
      </c>
      <c r="M24" s="248">
        <f t="shared" si="2"/>
        <v>750000</v>
      </c>
      <c r="N24" s="242" t="s">
        <v>262</v>
      </c>
      <c r="O24" s="242" t="s">
        <v>269</v>
      </c>
      <c r="P24" s="250"/>
      <c r="Q24" s="263"/>
    </row>
    <row r="25" spans="2:17" ht="19">
      <c r="B25" s="86"/>
      <c r="C25" s="22">
        <v>23</v>
      </c>
      <c r="D25" s="240" t="s">
        <v>38</v>
      </c>
      <c r="E25" s="241" t="s">
        <v>60</v>
      </c>
      <c r="F25" s="242"/>
      <c r="G25" s="242"/>
      <c r="H25" s="242"/>
      <c r="I25" s="250">
        <v>1</v>
      </c>
      <c r="J25" s="48">
        <v>55</v>
      </c>
      <c r="K25" s="243">
        <f t="shared" si="0"/>
        <v>55</v>
      </c>
      <c r="L25" s="251">
        <v>12000</v>
      </c>
      <c r="M25" s="248">
        <f t="shared" si="2"/>
        <v>660000</v>
      </c>
      <c r="N25" s="242" t="s">
        <v>262</v>
      </c>
      <c r="O25" s="242" t="s">
        <v>269</v>
      </c>
      <c r="P25" s="250"/>
      <c r="Q25" s="263"/>
    </row>
    <row r="26" spans="2:17" ht="19">
      <c r="B26" s="86"/>
      <c r="C26" s="22">
        <v>24</v>
      </c>
      <c r="D26" s="252" t="s">
        <v>39</v>
      </c>
      <c r="E26" s="253" t="s">
        <v>61</v>
      </c>
      <c r="F26" s="254"/>
      <c r="G26" s="254"/>
      <c r="H26" s="254"/>
      <c r="I26" s="255">
        <v>1</v>
      </c>
      <c r="J26" s="239">
        <v>55</v>
      </c>
      <c r="K26" s="243">
        <f t="shared" si="0"/>
        <v>55</v>
      </c>
      <c r="L26" s="244" t="s">
        <v>317</v>
      </c>
      <c r="M26" s="244" t="s">
        <v>317</v>
      </c>
      <c r="N26" s="255" t="s">
        <v>317</v>
      </c>
      <c r="O26" s="242" t="s">
        <v>317</v>
      </c>
      <c r="P26" s="255"/>
      <c r="Q26" s="264"/>
    </row>
    <row r="27" spans="2:17" ht="19">
      <c r="B27" s="86"/>
      <c r="C27" s="22">
        <v>25</v>
      </c>
      <c r="D27" s="235" t="s">
        <v>197</v>
      </c>
      <c r="E27" s="40" t="s">
        <v>315</v>
      </c>
      <c r="F27" s="40"/>
      <c r="G27" s="40"/>
      <c r="H27" s="40"/>
      <c r="I27" s="40">
        <v>1</v>
      </c>
      <c r="J27" s="48">
        <v>55</v>
      </c>
      <c r="K27" s="243">
        <f t="shared" si="0"/>
        <v>55</v>
      </c>
      <c r="L27" s="244">
        <v>4800</v>
      </c>
      <c r="M27" s="248">
        <f t="shared" si="2"/>
        <v>264000</v>
      </c>
      <c r="N27" s="40" t="s">
        <v>262</v>
      </c>
      <c r="O27" s="242" t="s">
        <v>317</v>
      </c>
      <c r="P27" s="40"/>
      <c r="Q27" s="263"/>
    </row>
    <row r="28" spans="2:17" ht="19">
      <c r="B28" s="86"/>
      <c r="C28" s="22">
        <v>26</v>
      </c>
      <c r="D28" s="256" t="s">
        <v>92</v>
      </c>
      <c r="E28" s="35" t="s">
        <v>93</v>
      </c>
      <c r="F28" s="257"/>
      <c r="G28" s="257"/>
      <c r="H28" s="257"/>
      <c r="I28" s="258">
        <v>1</v>
      </c>
      <c r="J28" s="35">
        <v>55</v>
      </c>
      <c r="K28" s="259">
        <f t="shared" si="0"/>
        <v>55</v>
      </c>
      <c r="L28" s="260"/>
      <c r="M28" s="261"/>
      <c r="N28" s="257"/>
      <c r="O28" s="257"/>
      <c r="P28" s="74"/>
      <c r="Q28" s="89" t="s">
        <v>386</v>
      </c>
    </row>
    <row r="29" spans="2:17" ht="19">
      <c r="B29" s="86"/>
      <c r="C29" s="22">
        <v>27</v>
      </c>
      <c r="D29" s="256" t="s">
        <v>92</v>
      </c>
      <c r="E29" s="35" t="s">
        <v>383</v>
      </c>
      <c r="F29" s="257"/>
      <c r="G29" s="257"/>
      <c r="H29" s="257"/>
      <c r="I29" s="74">
        <v>1</v>
      </c>
      <c r="J29" s="35">
        <v>55</v>
      </c>
      <c r="K29" s="259">
        <f t="shared" si="0"/>
        <v>55</v>
      </c>
      <c r="L29" s="262"/>
      <c r="M29" s="261"/>
      <c r="N29" s="257"/>
      <c r="O29" s="257"/>
      <c r="P29" s="74"/>
      <c r="Q29" s="89" t="s">
        <v>386</v>
      </c>
    </row>
    <row r="30" spans="2:17" ht="19">
      <c r="B30" s="86"/>
      <c r="C30" s="28">
        <v>28</v>
      </c>
      <c r="D30" s="265" t="s">
        <v>384</v>
      </c>
      <c r="E30" s="266" t="s">
        <v>385</v>
      </c>
      <c r="F30" s="266"/>
      <c r="G30" s="266"/>
      <c r="H30" s="266"/>
      <c r="I30" s="266">
        <v>1</v>
      </c>
      <c r="J30" s="35">
        <v>55</v>
      </c>
      <c r="K30" s="259">
        <f t="shared" si="0"/>
        <v>55</v>
      </c>
      <c r="L30" s="267">
        <v>4000</v>
      </c>
      <c r="M30" s="268">
        <f t="shared" ref="M30" si="3">I30*J30*L30</f>
        <v>220000</v>
      </c>
      <c r="N30" s="266" t="s">
        <v>317</v>
      </c>
      <c r="O30" s="257"/>
      <c r="P30" s="266"/>
      <c r="Q30" s="89" t="s">
        <v>386</v>
      </c>
    </row>
    <row r="33" spans="2:17">
      <c r="B33" s="285" t="s">
        <v>367</v>
      </c>
      <c r="C33" s="28">
        <v>1</v>
      </c>
      <c r="D33" s="40" t="s">
        <v>349</v>
      </c>
      <c r="E33" s="40"/>
      <c r="F33" s="40"/>
      <c r="G33" s="40"/>
      <c r="H33" s="40"/>
      <c r="I33" s="40">
        <v>1</v>
      </c>
      <c r="J33" s="40">
        <v>55</v>
      </c>
      <c r="K33" s="229">
        <f>I33*J33</f>
        <v>55</v>
      </c>
      <c r="L33" s="29"/>
      <c r="M33" s="29">
        <v>1680000</v>
      </c>
      <c r="N33" s="40" t="s">
        <v>288</v>
      </c>
      <c r="O33" s="40" t="s">
        <v>288</v>
      </c>
      <c r="P33" s="40"/>
      <c r="Q33" s="89" t="s">
        <v>333</v>
      </c>
    </row>
    <row r="34" spans="2:17">
      <c r="B34" s="286"/>
      <c r="C34" s="28">
        <v>2</v>
      </c>
      <c r="D34" s="40" t="s">
        <v>217</v>
      </c>
      <c r="E34" s="40" t="s">
        <v>218</v>
      </c>
      <c r="F34" s="40"/>
      <c r="G34" s="40"/>
      <c r="H34" s="40"/>
      <c r="I34" s="40">
        <v>1</v>
      </c>
      <c r="J34" s="40">
        <v>55</v>
      </c>
      <c r="K34" s="229">
        <f t="shared" ref="K34:K50" si="4">I34*J34</f>
        <v>55</v>
      </c>
      <c r="L34" s="29"/>
      <c r="M34" s="29">
        <f t="shared" ref="M34:M50" si="5">I34*J34*L34</f>
        <v>0</v>
      </c>
      <c r="N34" s="40" t="s">
        <v>289</v>
      </c>
      <c r="O34" s="40"/>
      <c r="P34" s="40"/>
      <c r="Q34" s="40"/>
    </row>
    <row r="35" spans="2:17">
      <c r="B35" s="286"/>
      <c r="C35" s="28">
        <v>3</v>
      </c>
      <c r="D35" s="40" t="s">
        <v>219</v>
      </c>
      <c r="E35" s="40" t="s">
        <v>220</v>
      </c>
      <c r="F35" s="40"/>
      <c r="G35" s="40"/>
      <c r="H35" s="40"/>
      <c r="I35" s="40">
        <v>1</v>
      </c>
      <c r="J35" s="40">
        <v>55</v>
      </c>
      <c r="K35" s="229">
        <f t="shared" si="4"/>
        <v>55</v>
      </c>
      <c r="L35" s="29"/>
      <c r="M35" s="29">
        <f t="shared" si="5"/>
        <v>0</v>
      </c>
      <c r="N35" s="40" t="s">
        <v>289</v>
      </c>
      <c r="O35" s="40"/>
      <c r="P35" s="40"/>
      <c r="Q35" s="40"/>
    </row>
    <row r="36" spans="2:17">
      <c r="B36" s="286"/>
      <c r="C36" s="28">
        <v>4</v>
      </c>
      <c r="D36" s="40" t="s">
        <v>221</v>
      </c>
      <c r="E36" s="40" t="s">
        <v>237</v>
      </c>
      <c r="F36" s="40"/>
      <c r="G36" s="40"/>
      <c r="H36" s="40"/>
      <c r="I36" s="40">
        <v>1</v>
      </c>
      <c r="J36" s="40">
        <v>55</v>
      </c>
      <c r="K36" s="229">
        <f t="shared" si="4"/>
        <v>55</v>
      </c>
      <c r="L36" s="29"/>
      <c r="M36" s="29">
        <f t="shared" si="5"/>
        <v>0</v>
      </c>
      <c r="N36" s="40" t="s">
        <v>289</v>
      </c>
      <c r="O36" s="40"/>
      <c r="P36" s="40"/>
      <c r="Q36" s="40"/>
    </row>
    <row r="37" spans="2:17" ht="19">
      <c r="B37" s="286"/>
      <c r="C37" s="28">
        <v>5</v>
      </c>
      <c r="D37" s="40" t="s">
        <v>222</v>
      </c>
      <c r="E37" s="40" t="s">
        <v>223</v>
      </c>
      <c r="F37" s="40"/>
      <c r="G37" s="40"/>
      <c r="H37" s="40"/>
      <c r="I37" s="40">
        <v>1</v>
      </c>
      <c r="J37" s="40">
        <v>55</v>
      </c>
      <c r="K37" s="229">
        <f t="shared" si="4"/>
        <v>55</v>
      </c>
      <c r="L37" s="29"/>
      <c r="M37" s="29">
        <f t="shared" si="5"/>
        <v>0</v>
      </c>
      <c r="N37" s="93" t="s">
        <v>262</v>
      </c>
      <c r="O37" s="93"/>
      <c r="P37" s="40"/>
      <c r="Q37" s="40"/>
    </row>
    <row r="38" spans="2:17" ht="19">
      <c r="B38" s="286"/>
      <c r="C38" s="28">
        <v>9</v>
      </c>
      <c r="D38" s="40" t="s">
        <v>213</v>
      </c>
      <c r="E38" s="40" t="s">
        <v>225</v>
      </c>
      <c r="F38" s="40"/>
      <c r="G38" s="40"/>
      <c r="H38" s="40"/>
      <c r="I38" s="40">
        <v>1</v>
      </c>
      <c r="J38" s="40">
        <v>55</v>
      </c>
      <c r="K38" s="229">
        <f t="shared" si="4"/>
        <v>55</v>
      </c>
      <c r="L38" s="29">
        <v>50</v>
      </c>
      <c r="M38" s="29">
        <f t="shared" si="5"/>
        <v>2750</v>
      </c>
      <c r="N38" s="93" t="s">
        <v>262</v>
      </c>
      <c r="O38" s="93"/>
      <c r="P38" s="40"/>
      <c r="Q38" s="40"/>
    </row>
    <row r="39" spans="2:17" ht="19">
      <c r="B39" s="286"/>
      <c r="C39" s="28">
        <v>10</v>
      </c>
      <c r="D39" s="40" t="s">
        <v>213</v>
      </c>
      <c r="E39" s="40" t="s">
        <v>226</v>
      </c>
      <c r="F39" s="40"/>
      <c r="G39" s="40"/>
      <c r="H39" s="40"/>
      <c r="I39" s="40">
        <v>2</v>
      </c>
      <c r="J39" s="40">
        <v>55</v>
      </c>
      <c r="K39" s="229">
        <f t="shared" si="4"/>
        <v>110</v>
      </c>
      <c r="L39" s="29">
        <v>50</v>
      </c>
      <c r="M39" s="29">
        <f t="shared" si="5"/>
        <v>5500</v>
      </c>
      <c r="N39" s="93" t="s">
        <v>262</v>
      </c>
      <c r="O39" s="93"/>
      <c r="P39" s="40"/>
      <c r="Q39" s="40"/>
    </row>
    <row r="40" spans="2:17" ht="19">
      <c r="B40" s="286"/>
      <c r="C40" s="28">
        <v>11</v>
      </c>
      <c r="D40" s="40" t="s">
        <v>213</v>
      </c>
      <c r="E40" s="40" t="s">
        <v>227</v>
      </c>
      <c r="F40" s="40"/>
      <c r="G40" s="40"/>
      <c r="H40" s="40"/>
      <c r="I40" s="40">
        <v>1</v>
      </c>
      <c r="J40" s="40">
        <v>55</v>
      </c>
      <c r="K40" s="229">
        <f t="shared" si="4"/>
        <v>55</v>
      </c>
      <c r="L40" s="29">
        <v>70</v>
      </c>
      <c r="M40" s="29">
        <f t="shared" si="5"/>
        <v>3850</v>
      </c>
      <c r="N40" s="93" t="s">
        <v>262</v>
      </c>
      <c r="O40" s="93"/>
      <c r="P40" s="40"/>
      <c r="Q40" s="40"/>
    </row>
    <row r="41" spans="2:17" ht="19">
      <c r="B41" s="286"/>
      <c r="C41" s="28">
        <v>12</v>
      </c>
      <c r="D41" s="40" t="s">
        <v>213</v>
      </c>
      <c r="E41" s="40" t="s">
        <v>228</v>
      </c>
      <c r="F41" s="40"/>
      <c r="G41" s="40"/>
      <c r="H41" s="40"/>
      <c r="I41" s="40">
        <v>2</v>
      </c>
      <c r="J41" s="40">
        <v>55</v>
      </c>
      <c r="K41" s="229">
        <f t="shared" si="4"/>
        <v>110</v>
      </c>
      <c r="L41" s="29">
        <v>80</v>
      </c>
      <c r="M41" s="29">
        <f t="shared" si="5"/>
        <v>8800</v>
      </c>
      <c r="N41" s="93" t="s">
        <v>262</v>
      </c>
      <c r="O41" s="93"/>
      <c r="P41" s="40"/>
      <c r="Q41" s="40"/>
    </row>
    <row r="42" spans="2:17" ht="19">
      <c r="B42" s="286"/>
      <c r="C42" s="28">
        <v>13</v>
      </c>
      <c r="D42" s="40" t="s">
        <v>213</v>
      </c>
      <c r="E42" s="40" t="s">
        <v>229</v>
      </c>
      <c r="F42" s="40"/>
      <c r="G42" s="40"/>
      <c r="H42" s="40"/>
      <c r="I42" s="40">
        <v>1</v>
      </c>
      <c r="J42" s="40">
        <v>55</v>
      </c>
      <c r="K42" s="229">
        <f t="shared" si="4"/>
        <v>55</v>
      </c>
      <c r="L42" s="29">
        <v>120</v>
      </c>
      <c r="M42" s="29">
        <f t="shared" si="5"/>
        <v>6600</v>
      </c>
      <c r="N42" s="93" t="s">
        <v>262</v>
      </c>
      <c r="O42" s="93"/>
      <c r="P42" s="40"/>
      <c r="Q42" s="40"/>
    </row>
    <row r="43" spans="2:17" ht="19">
      <c r="B43" s="286"/>
      <c r="C43" s="28">
        <v>14</v>
      </c>
      <c r="D43" s="40" t="s">
        <v>213</v>
      </c>
      <c r="E43" s="40" t="s">
        <v>230</v>
      </c>
      <c r="F43" s="40"/>
      <c r="G43" s="40"/>
      <c r="H43" s="40"/>
      <c r="I43" s="40">
        <v>1</v>
      </c>
      <c r="J43" s="40">
        <v>55</v>
      </c>
      <c r="K43" s="229">
        <f t="shared" si="4"/>
        <v>55</v>
      </c>
      <c r="L43" s="29">
        <v>120</v>
      </c>
      <c r="M43" s="29">
        <f t="shared" si="5"/>
        <v>6600</v>
      </c>
      <c r="N43" s="93" t="s">
        <v>262</v>
      </c>
      <c r="O43" s="93"/>
      <c r="P43" s="40"/>
      <c r="Q43" s="40"/>
    </row>
    <row r="44" spans="2:17" ht="19">
      <c r="B44" s="286"/>
      <c r="C44" s="28">
        <v>15</v>
      </c>
      <c r="D44" s="40" t="s">
        <v>213</v>
      </c>
      <c r="E44" s="40" t="s">
        <v>231</v>
      </c>
      <c r="F44" s="40"/>
      <c r="G44" s="40"/>
      <c r="H44" s="40"/>
      <c r="I44" s="40">
        <v>1</v>
      </c>
      <c r="J44" s="40">
        <v>55</v>
      </c>
      <c r="K44" s="229">
        <f t="shared" si="4"/>
        <v>55</v>
      </c>
      <c r="L44" s="29">
        <v>140</v>
      </c>
      <c r="M44" s="29">
        <f t="shared" si="5"/>
        <v>7700</v>
      </c>
      <c r="N44" s="93" t="s">
        <v>262</v>
      </c>
      <c r="O44" s="93"/>
      <c r="P44" s="40"/>
      <c r="Q44" s="40"/>
    </row>
    <row r="45" spans="2:17" ht="19">
      <c r="B45" s="286"/>
      <c r="C45" s="28">
        <v>16</v>
      </c>
      <c r="D45" s="40" t="s">
        <v>213</v>
      </c>
      <c r="E45" s="40" t="s">
        <v>232</v>
      </c>
      <c r="F45" s="40"/>
      <c r="G45" s="40"/>
      <c r="H45" s="40"/>
      <c r="I45" s="40">
        <v>1</v>
      </c>
      <c r="J45" s="40">
        <v>55</v>
      </c>
      <c r="K45" s="229">
        <f t="shared" si="4"/>
        <v>55</v>
      </c>
      <c r="L45" s="29">
        <v>200</v>
      </c>
      <c r="M45" s="29">
        <f t="shared" si="5"/>
        <v>11000</v>
      </c>
      <c r="N45" s="93" t="s">
        <v>262</v>
      </c>
      <c r="O45" s="93"/>
      <c r="P45" s="40"/>
      <c r="Q45" s="40"/>
    </row>
    <row r="46" spans="2:17" ht="19">
      <c r="B46" s="286"/>
      <c r="C46" s="28">
        <v>17</v>
      </c>
      <c r="D46" s="40" t="s">
        <v>233</v>
      </c>
      <c r="E46" s="40" t="s">
        <v>234</v>
      </c>
      <c r="F46" s="40"/>
      <c r="G46" s="40"/>
      <c r="H46" s="40"/>
      <c r="I46" s="40">
        <v>67</v>
      </c>
      <c r="J46" s="40">
        <v>55</v>
      </c>
      <c r="K46" s="229">
        <f t="shared" si="4"/>
        <v>3685</v>
      </c>
      <c r="L46" s="29">
        <v>11</v>
      </c>
      <c r="M46" s="29">
        <f t="shared" si="5"/>
        <v>40535</v>
      </c>
      <c r="N46" s="93" t="s">
        <v>262</v>
      </c>
      <c r="O46" s="93"/>
      <c r="P46" s="40"/>
      <c r="Q46" s="40"/>
    </row>
    <row r="47" spans="2:17" ht="19">
      <c r="B47" s="286"/>
      <c r="C47" s="28">
        <v>18</v>
      </c>
      <c r="D47" s="40" t="s">
        <v>213</v>
      </c>
      <c r="E47" s="40" t="s">
        <v>235</v>
      </c>
      <c r="F47" s="40"/>
      <c r="G47" s="40"/>
      <c r="H47" s="40"/>
      <c r="I47" s="40">
        <v>1</v>
      </c>
      <c r="J47" s="40">
        <v>55</v>
      </c>
      <c r="K47" s="229">
        <f t="shared" si="4"/>
        <v>55</v>
      </c>
      <c r="L47" s="29">
        <v>45</v>
      </c>
      <c r="M47" s="29">
        <f t="shared" si="5"/>
        <v>2475</v>
      </c>
      <c r="N47" s="93" t="s">
        <v>262</v>
      </c>
      <c r="O47" s="93"/>
      <c r="P47" s="40"/>
      <c r="Q47" s="40"/>
    </row>
    <row r="48" spans="2:17" ht="19">
      <c r="B48" s="286"/>
      <c r="C48" s="28">
        <v>19</v>
      </c>
      <c r="D48" s="40" t="s">
        <v>233</v>
      </c>
      <c r="E48" s="40" t="s">
        <v>236</v>
      </c>
      <c r="F48" s="40"/>
      <c r="G48" s="40"/>
      <c r="H48" s="40"/>
      <c r="I48" s="40">
        <v>5</v>
      </c>
      <c r="J48" s="40">
        <v>55</v>
      </c>
      <c r="K48" s="229">
        <f t="shared" si="4"/>
        <v>275</v>
      </c>
      <c r="L48" s="29">
        <v>25</v>
      </c>
      <c r="M48" s="29">
        <f t="shared" si="5"/>
        <v>6875</v>
      </c>
      <c r="N48" s="93" t="s">
        <v>262</v>
      </c>
      <c r="O48" s="93"/>
      <c r="P48" s="40"/>
      <c r="Q48" s="40"/>
    </row>
    <row r="49" spans="2:17" ht="19">
      <c r="B49" s="286"/>
      <c r="C49" s="28">
        <v>20</v>
      </c>
      <c r="D49" s="40" t="s">
        <v>213</v>
      </c>
      <c r="E49" s="40">
        <v>22011052</v>
      </c>
      <c r="F49" s="40"/>
      <c r="G49" s="40"/>
      <c r="H49" s="40"/>
      <c r="I49" s="40">
        <v>1</v>
      </c>
      <c r="J49" s="40">
        <v>55</v>
      </c>
      <c r="K49" s="229">
        <f t="shared" si="4"/>
        <v>55</v>
      </c>
      <c r="L49" s="29">
        <v>60</v>
      </c>
      <c r="M49" s="29">
        <f t="shared" si="5"/>
        <v>3300</v>
      </c>
      <c r="N49" s="93" t="s">
        <v>262</v>
      </c>
      <c r="O49" s="93"/>
      <c r="P49" s="40"/>
      <c r="Q49" s="40"/>
    </row>
    <row r="50" spans="2:17" ht="19">
      <c r="B50" s="286"/>
      <c r="C50" s="28">
        <v>21</v>
      </c>
      <c r="D50" s="40" t="s">
        <v>233</v>
      </c>
      <c r="E50" s="40" t="s">
        <v>239</v>
      </c>
      <c r="F50" s="40"/>
      <c r="G50" s="40"/>
      <c r="H50" s="40"/>
      <c r="I50" s="40">
        <v>5</v>
      </c>
      <c r="J50" s="40">
        <v>55</v>
      </c>
      <c r="K50" s="229">
        <f t="shared" si="4"/>
        <v>275</v>
      </c>
      <c r="L50" s="29">
        <v>25</v>
      </c>
      <c r="M50" s="29">
        <f t="shared" si="5"/>
        <v>6875</v>
      </c>
      <c r="N50" s="93" t="s">
        <v>262</v>
      </c>
      <c r="O50" s="93"/>
      <c r="P50" s="40"/>
      <c r="Q50" s="40"/>
    </row>
    <row r="51" spans="2:17">
      <c r="L51" s="31">
        <f>SUM(L38:L50)</f>
        <v>996</v>
      </c>
      <c r="M51" s="31">
        <f>SUM(M38:M50)</f>
        <v>112860</v>
      </c>
    </row>
  </sheetData>
  <autoFilter ref="B1:Q1" xr:uid="{AD1CDD49-761E-4F96-B204-B50CDF875A07}"/>
  <mergeCells count="1">
    <mergeCell ref="B33:B5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9CC8-7466-4AE8-8E3E-40061B3AE359}">
  <dimension ref="B1:Q49"/>
  <sheetViews>
    <sheetView tabSelected="1" workbookViewId="0">
      <pane ySplit="1" topLeftCell="A2" activePane="bottomLeft" state="frozen"/>
      <selection pane="bottomLeft" activeCell="D45" sqref="D45"/>
    </sheetView>
  </sheetViews>
  <sheetFormatPr baseColWidth="10" defaultColWidth="9.3984375" defaultRowHeight="18"/>
  <cols>
    <col min="1" max="1" width="5" style="32" customWidth="1"/>
    <col min="2" max="2" width="9.19921875" style="32" bestFit="1" customWidth="1"/>
    <col min="3" max="3" width="7.3984375" style="32" bestFit="1" customWidth="1"/>
    <col min="4" max="4" width="41.3984375" style="32" bestFit="1" customWidth="1"/>
    <col min="5" max="5" width="22.796875" style="32" bestFit="1" customWidth="1"/>
    <col min="6" max="6" width="12" style="32" bestFit="1" customWidth="1"/>
    <col min="7" max="7" width="18.3984375" style="32" bestFit="1" customWidth="1"/>
    <col min="8" max="8" width="12" style="32" bestFit="1" customWidth="1"/>
    <col min="9" max="9" width="14.59765625" style="32" bestFit="1" customWidth="1"/>
    <col min="10" max="10" width="12" style="32" bestFit="1" customWidth="1"/>
    <col min="11" max="11" width="12" style="32" customWidth="1"/>
    <col min="12" max="12" width="14.59765625" style="32" customWidth="1"/>
    <col min="13" max="13" width="18.3984375" style="32" bestFit="1" customWidth="1"/>
    <col min="14" max="14" width="22.796875" style="32" bestFit="1" customWidth="1"/>
    <col min="15" max="15" width="22.796875" style="32" customWidth="1"/>
    <col min="16" max="16" width="12.796875" style="32" bestFit="1" customWidth="1"/>
    <col min="17" max="17" width="19.19921875" style="32" bestFit="1" customWidth="1"/>
    <col min="18" max="18" width="3.3984375" style="32" customWidth="1"/>
    <col min="19" max="16384" width="9.3984375" style="32"/>
  </cols>
  <sheetData>
    <row r="1" spans="2:17" ht="39" thickBot="1">
      <c r="B1" s="94" t="s">
        <v>365</v>
      </c>
      <c r="C1" s="94" t="s">
        <v>15</v>
      </c>
      <c r="D1" s="95" t="s">
        <v>18</v>
      </c>
      <c r="E1" s="81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289">
        <v>2</v>
      </c>
      <c r="C2" s="45" t="s">
        <v>17</v>
      </c>
      <c r="D2" s="71"/>
      <c r="E2" s="96" t="s">
        <v>1</v>
      </c>
      <c r="F2" s="23"/>
      <c r="G2" s="23"/>
      <c r="H2" s="23"/>
      <c r="I2" s="34"/>
      <c r="J2" s="34"/>
      <c r="K2" s="34"/>
      <c r="L2" s="51"/>
      <c r="M2" s="51"/>
      <c r="N2" s="51"/>
      <c r="O2" s="51"/>
      <c r="P2" s="51"/>
      <c r="Q2" s="54"/>
    </row>
    <row r="3" spans="2:17" ht="19">
      <c r="B3" s="290"/>
      <c r="C3" s="45">
        <v>1</v>
      </c>
      <c r="D3" s="71" t="s">
        <v>62</v>
      </c>
      <c r="E3" s="96" t="s">
        <v>63</v>
      </c>
      <c r="F3" s="84"/>
      <c r="G3" s="84"/>
      <c r="H3" s="84"/>
      <c r="I3" s="33">
        <v>1</v>
      </c>
      <c r="J3" s="33">
        <v>51</v>
      </c>
      <c r="K3" s="230">
        <f>J3*I3</f>
        <v>51</v>
      </c>
      <c r="L3" s="27">
        <v>136000</v>
      </c>
      <c r="M3" s="26">
        <f>I3*J3*L3</f>
        <v>6936000</v>
      </c>
      <c r="N3" s="51" t="s">
        <v>182</v>
      </c>
      <c r="O3" s="135" t="s">
        <v>182</v>
      </c>
      <c r="P3" s="55"/>
      <c r="Q3" s="54"/>
    </row>
    <row r="4" spans="2:17" ht="19">
      <c r="B4" s="290"/>
      <c r="C4" s="45">
        <v>2</v>
      </c>
      <c r="D4" s="71" t="s">
        <v>64</v>
      </c>
      <c r="E4" s="96" t="s">
        <v>65</v>
      </c>
      <c r="F4" s="84"/>
      <c r="G4" s="84"/>
      <c r="H4" s="84"/>
      <c r="I4" s="33">
        <v>1</v>
      </c>
      <c r="J4" s="33">
        <v>51</v>
      </c>
      <c r="K4" s="230">
        <f t="shared" ref="K4:K17" si="0">J4*I4</f>
        <v>51</v>
      </c>
      <c r="L4" s="27">
        <v>610566</v>
      </c>
      <c r="M4" s="26">
        <f t="shared" ref="M4:M9" si="1">I4*J4*L4</f>
        <v>31138866</v>
      </c>
      <c r="N4" s="90" t="s">
        <v>362</v>
      </c>
      <c r="O4" s="140" t="s">
        <v>362</v>
      </c>
      <c r="P4" s="55"/>
      <c r="Q4" s="54"/>
    </row>
    <row r="5" spans="2:17" ht="19">
      <c r="B5" s="290"/>
      <c r="C5" s="45">
        <v>3</v>
      </c>
      <c r="D5" s="71" t="s">
        <v>66</v>
      </c>
      <c r="E5" s="96" t="s">
        <v>67</v>
      </c>
      <c r="F5" s="84"/>
      <c r="G5" s="84"/>
      <c r="H5" s="84"/>
      <c r="I5" s="33">
        <v>1</v>
      </c>
      <c r="J5" s="33">
        <v>51</v>
      </c>
      <c r="K5" s="230">
        <f t="shared" si="0"/>
        <v>51</v>
      </c>
      <c r="L5" s="27">
        <v>664363</v>
      </c>
      <c r="M5" s="26">
        <f t="shared" si="1"/>
        <v>33882513</v>
      </c>
      <c r="N5" s="90" t="s">
        <v>362</v>
      </c>
      <c r="O5" s="140" t="s">
        <v>362</v>
      </c>
      <c r="P5" s="55"/>
      <c r="Q5" s="54"/>
    </row>
    <row r="6" spans="2:17" ht="19">
      <c r="B6" s="290"/>
      <c r="C6" s="45">
        <v>4</v>
      </c>
      <c r="D6" s="71" t="s">
        <v>68</v>
      </c>
      <c r="E6" s="96" t="s">
        <v>69</v>
      </c>
      <c r="F6" s="84"/>
      <c r="G6" s="84"/>
      <c r="H6" s="84"/>
      <c r="I6" s="33">
        <v>1</v>
      </c>
      <c r="J6" s="33">
        <v>51</v>
      </c>
      <c r="K6" s="230">
        <f t="shared" si="0"/>
        <v>51</v>
      </c>
      <c r="L6" s="27">
        <v>1129222</v>
      </c>
      <c r="M6" s="26">
        <f t="shared" si="1"/>
        <v>57590322</v>
      </c>
      <c r="N6" s="90" t="s">
        <v>362</v>
      </c>
      <c r="O6" s="140" t="s">
        <v>362</v>
      </c>
      <c r="P6" s="55"/>
      <c r="Q6" s="54"/>
    </row>
    <row r="7" spans="2:17" ht="19">
      <c r="B7" s="290"/>
      <c r="C7" s="45">
        <v>5</v>
      </c>
      <c r="D7" s="71" t="s">
        <v>70</v>
      </c>
      <c r="E7" s="96" t="s">
        <v>71</v>
      </c>
      <c r="F7" s="84"/>
      <c r="G7" s="84"/>
      <c r="H7" s="84"/>
      <c r="I7" s="33">
        <v>1</v>
      </c>
      <c r="J7" s="33">
        <v>51</v>
      </c>
      <c r="K7" s="230">
        <f t="shared" si="0"/>
        <v>51</v>
      </c>
      <c r="L7" s="27">
        <v>289000</v>
      </c>
      <c r="M7" s="26">
        <f t="shared" si="1"/>
        <v>14739000</v>
      </c>
      <c r="N7" s="90" t="s">
        <v>362</v>
      </c>
      <c r="O7" s="140" t="s">
        <v>362</v>
      </c>
      <c r="P7" s="55"/>
      <c r="Q7" s="54"/>
    </row>
    <row r="8" spans="2:17" ht="19">
      <c r="B8" s="290"/>
      <c r="C8" s="45">
        <v>6</v>
      </c>
      <c r="D8" s="71" t="s">
        <v>72</v>
      </c>
      <c r="E8" s="96" t="s">
        <v>73</v>
      </c>
      <c r="F8" s="84"/>
      <c r="G8" s="84"/>
      <c r="H8" s="84"/>
      <c r="I8" s="33">
        <v>1</v>
      </c>
      <c r="J8" s="33">
        <v>51</v>
      </c>
      <c r="K8" s="230">
        <f t="shared" si="0"/>
        <v>51</v>
      </c>
      <c r="L8" s="27">
        <v>474791</v>
      </c>
      <c r="M8" s="26">
        <f t="shared" si="1"/>
        <v>24214341</v>
      </c>
      <c r="N8" s="90" t="s">
        <v>362</v>
      </c>
      <c r="O8" s="140" t="s">
        <v>362</v>
      </c>
      <c r="P8" s="55"/>
      <c r="Q8" s="54"/>
    </row>
    <row r="9" spans="2:17" ht="19">
      <c r="B9" s="290"/>
      <c r="C9" s="45">
        <v>7</v>
      </c>
      <c r="D9" s="72" t="s">
        <v>74</v>
      </c>
      <c r="E9" s="97" t="s">
        <v>173</v>
      </c>
      <c r="F9" s="84"/>
      <c r="G9" s="84"/>
      <c r="H9" s="84"/>
      <c r="I9" s="33">
        <v>1</v>
      </c>
      <c r="J9" s="33">
        <v>51</v>
      </c>
      <c r="K9" s="230">
        <f t="shared" si="0"/>
        <v>51</v>
      </c>
      <c r="L9" s="27">
        <v>913923</v>
      </c>
      <c r="M9" s="26">
        <f t="shared" si="1"/>
        <v>46610073</v>
      </c>
      <c r="N9" s="90" t="s">
        <v>362</v>
      </c>
      <c r="O9" s="140" t="s">
        <v>362</v>
      </c>
      <c r="P9" s="55"/>
      <c r="Q9" s="54"/>
    </row>
    <row r="10" spans="2:17" ht="19">
      <c r="B10" s="290"/>
      <c r="C10" s="45"/>
      <c r="D10" s="79" t="s">
        <v>324</v>
      </c>
      <c r="E10" s="98" t="s">
        <v>317</v>
      </c>
      <c r="F10" s="84"/>
      <c r="G10" s="84"/>
      <c r="H10" s="84"/>
      <c r="I10" s="33">
        <v>1</v>
      </c>
      <c r="J10" s="33">
        <v>60</v>
      </c>
      <c r="K10" s="230">
        <f t="shared" si="0"/>
        <v>60</v>
      </c>
      <c r="L10" s="99">
        <v>763</v>
      </c>
      <c r="M10" s="99">
        <f>L10*(J10*I10)</f>
        <v>45780</v>
      </c>
      <c r="N10" s="100" t="s">
        <v>187</v>
      </c>
      <c r="O10" s="153" t="s">
        <v>295</v>
      </c>
      <c r="P10" s="55"/>
      <c r="Q10" s="54"/>
    </row>
    <row r="11" spans="2:17" ht="19">
      <c r="B11" s="290"/>
      <c r="C11" s="45"/>
      <c r="D11" s="79" t="s">
        <v>325</v>
      </c>
      <c r="E11" s="98" t="s">
        <v>317</v>
      </c>
      <c r="F11" s="84"/>
      <c r="G11" s="84"/>
      <c r="H11" s="84"/>
      <c r="I11" s="33">
        <v>1</v>
      </c>
      <c r="J11" s="33">
        <v>60</v>
      </c>
      <c r="K11" s="230">
        <f t="shared" si="0"/>
        <v>60</v>
      </c>
      <c r="L11" s="99">
        <v>43.3</v>
      </c>
      <c r="M11" s="99">
        <f>L11*(J11*I11)</f>
        <v>2598</v>
      </c>
      <c r="N11" s="100" t="s">
        <v>187</v>
      </c>
      <c r="O11" s="153" t="s">
        <v>295</v>
      </c>
      <c r="P11" s="55"/>
      <c r="Q11" s="54"/>
    </row>
    <row r="12" spans="2:17" ht="19">
      <c r="B12" s="290"/>
      <c r="C12" s="45"/>
      <c r="D12" s="80" t="s">
        <v>326</v>
      </c>
      <c r="E12" s="60" t="s">
        <v>317</v>
      </c>
      <c r="F12" s="91"/>
      <c r="G12" s="91"/>
      <c r="H12" s="91"/>
      <c r="I12" s="36">
        <v>1</v>
      </c>
      <c r="J12" s="36">
        <v>60</v>
      </c>
      <c r="K12" s="230">
        <f t="shared" si="0"/>
        <v>60</v>
      </c>
      <c r="L12" s="101">
        <v>36000</v>
      </c>
      <c r="M12" s="101">
        <f>L12*(J12*I12)</f>
        <v>2160000</v>
      </c>
      <c r="N12" s="38" t="s">
        <v>318</v>
      </c>
      <c r="O12" s="38" t="s">
        <v>318</v>
      </c>
      <c r="P12" s="36"/>
      <c r="Q12" s="61"/>
    </row>
    <row r="13" spans="2:17" ht="19">
      <c r="B13" s="290"/>
      <c r="C13" s="45">
        <v>8</v>
      </c>
      <c r="D13" s="71" t="s">
        <v>75</v>
      </c>
      <c r="E13" s="96" t="s">
        <v>76</v>
      </c>
      <c r="F13" s="84"/>
      <c r="G13" s="84"/>
      <c r="H13" s="84"/>
      <c r="I13" s="33">
        <v>2</v>
      </c>
      <c r="J13" s="33">
        <v>51</v>
      </c>
      <c r="K13" s="230">
        <f t="shared" si="0"/>
        <v>102</v>
      </c>
      <c r="L13" s="27">
        <v>339000</v>
      </c>
      <c r="M13" s="26">
        <f t="shared" ref="M13" si="2">I13*J13*L13</f>
        <v>34578000</v>
      </c>
      <c r="N13" s="140" t="s">
        <v>362</v>
      </c>
      <c r="O13" s="140" t="s">
        <v>362</v>
      </c>
      <c r="P13" s="55"/>
      <c r="Q13" s="54"/>
    </row>
    <row r="14" spans="2:17" ht="19">
      <c r="B14" s="290"/>
      <c r="C14" s="45">
        <v>9</v>
      </c>
      <c r="D14" s="71" t="s">
        <v>77</v>
      </c>
      <c r="E14" s="96" t="s">
        <v>78</v>
      </c>
      <c r="F14" s="84"/>
      <c r="G14" s="84"/>
      <c r="H14" s="84"/>
      <c r="I14" s="33">
        <v>1</v>
      </c>
      <c r="J14" s="33">
        <v>55</v>
      </c>
      <c r="K14" s="230">
        <f t="shared" si="0"/>
        <v>55</v>
      </c>
      <c r="L14" s="27">
        <v>300000</v>
      </c>
      <c r="M14" s="26">
        <f>I14*J14*L14</f>
        <v>16500000</v>
      </c>
      <c r="N14" s="51" t="s">
        <v>273</v>
      </c>
      <c r="O14" s="153" t="s">
        <v>273</v>
      </c>
      <c r="P14" s="55"/>
      <c r="Q14" s="54"/>
    </row>
    <row r="15" spans="2:17" ht="19">
      <c r="B15" s="290"/>
      <c r="C15" s="45">
        <v>10</v>
      </c>
      <c r="D15" s="71" t="s">
        <v>79</v>
      </c>
      <c r="E15" s="96" t="s">
        <v>80</v>
      </c>
      <c r="F15" s="84"/>
      <c r="G15" s="84"/>
      <c r="H15" s="84"/>
      <c r="I15" s="33">
        <v>1</v>
      </c>
      <c r="J15" s="33">
        <v>51</v>
      </c>
      <c r="K15" s="230">
        <f t="shared" si="0"/>
        <v>51</v>
      </c>
      <c r="L15" s="27">
        <v>630000</v>
      </c>
      <c r="M15" s="26">
        <f>I15*J15*L15</f>
        <v>32130000</v>
      </c>
      <c r="N15" s="51" t="s">
        <v>179</v>
      </c>
      <c r="O15" s="153" t="s">
        <v>179</v>
      </c>
      <c r="P15" s="55"/>
      <c r="Q15" s="54"/>
    </row>
    <row r="16" spans="2:17" ht="19">
      <c r="B16" s="290"/>
      <c r="C16" s="45">
        <v>11</v>
      </c>
      <c r="D16" s="71" t="s">
        <v>39</v>
      </c>
      <c r="E16" s="96" t="s">
        <v>81</v>
      </c>
      <c r="F16" s="84"/>
      <c r="G16" s="84"/>
      <c r="H16" s="84"/>
      <c r="I16" s="33">
        <v>1</v>
      </c>
      <c r="J16" s="33">
        <v>51</v>
      </c>
      <c r="K16" s="230">
        <f t="shared" si="0"/>
        <v>51</v>
      </c>
      <c r="L16" s="52" t="s">
        <v>317</v>
      </c>
      <c r="M16" s="37" t="s">
        <v>317</v>
      </c>
      <c r="N16" s="52" t="s">
        <v>317</v>
      </c>
      <c r="O16" s="135" t="s">
        <v>317</v>
      </c>
      <c r="P16" s="52"/>
      <c r="Q16" s="57"/>
    </row>
    <row r="17" spans="2:17" ht="19">
      <c r="B17" s="291"/>
      <c r="C17" s="45">
        <v>12</v>
      </c>
      <c r="D17" s="73" t="s">
        <v>319</v>
      </c>
      <c r="E17" s="60" t="s">
        <v>317</v>
      </c>
      <c r="F17" s="38"/>
      <c r="G17" s="38"/>
      <c r="H17" s="101"/>
      <c r="I17" s="36">
        <v>2</v>
      </c>
      <c r="J17" s="38">
        <v>52</v>
      </c>
      <c r="K17" s="230">
        <f t="shared" si="0"/>
        <v>104</v>
      </c>
      <c r="L17" s="39">
        <v>490000</v>
      </c>
      <c r="M17" s="39">
        <f>I17*J17*L17</f>
        <v>50960000</v>
      </c>
      <c r="N17" s="38" t="s">
        <v>318</v>
      </c>
      <c r="O17" s="38" t="s">
        <v>318</v>
      </c>
      <c r="P17" s="63"/>
      <c r="Q17" s="61"/>
    </row>
    <row r="21" spans="2:17">
      <c r="B21" s="287" t="s">
        <v>312</v>
      </c>
      <c r="C21" s="40">
        <v>1</v>
      </c>
      <c r="D21" s="70" t="s">
        <v>68</v>
      </c>
      <c r="E21" s="40"/>
      <c r="F21" s="40"/>
      <c r="G21" s="40"/>
      <c r="H21" s="40"/>
      <c r="I21" s="40"/>
      <c r="J21" s="40"/>
      <c r="K21" s="229"/>
      <c r="L21" s="40"/>
      <c r="M21" s="29"/>
      <c r="N21" s="40"/>
      <c r="O21" s="40"/>
      <c r="P21" s="40"/>
      <c r="Q21" s="40" t="s">
        <v>240</v>
      </c>
    </row>
    <row r="22" spans="2:17" ht="19">
      <c r="B22" s="288"/>
      <c r="C22" s="41" t="s">
        <v>201</v>
      </c>
      <c r="D22" s="40" t="s">
        <v>198</v>
      </c>
      <c r="E22" s="40" t="s">
        <v>200</v>
      </c>
      <c r="F22" s="40"/>
      <c r="G22" s="40"/>
      <c r="H22" s="40"/>
      <c r="I22" s="40">
        <v>8</v>
      </c>
      <c r="J22" s="40">
        <v>53</v>
      </c>
      <c r="K22" s="229">
        <f>I22*J22</f>
        <v>424</v>
      </c>
      <c r="L22" s="29">
        <v>21500</v>
      </c>
      <c r="M22" s="29">
        <f t="shared" ref="M22:M41" si="3">I22*J22*L22</f>
        <v>9116000</v>
      </c>
      <c r="N22" s="93" t="s">
        <v>262</v>
      </c>
      <c r="O22" s="93"/>
      <c r="P22" s="40"/>
      <c r="Q22" s="40"/>
    </row>
    <row r="23" spans="2:17" ht="19">
      <c r="B23" s="288"/>
      <c r="C23" s="42" t="s">
        <v>297</v>
      </c>
      <c r="D23" s="40" t="s">
        <v>213</v>
      </c>
      <c r="E23" s="40" t="s">
        <v>226</v>
      </c>
      <c r="F23" s="40"/>
      <c r="G23" s="40"/>
      <c r="H23" s="40"/>
      <c r="I23" s="40">
        <v>8</v>
      </c>
      <c r="J23" s="40">
        <v>55</v>
      </c>
      <c r="K23" s="229">
        <f t="shared" ref="K23:K41" si="4">I23*J23</f>
        <v>440</v>
      </c>
      <c r="L23" s="29">
        <v>50</v>
      </c>
      <c r="M23" s="29">
        <f t="shared" si="3"/>
        <v>22000</v>
      </c>
      <c r="N23" s="93" t="s">
        <v>262</v>
      </c>
      <c r="O23" s="93"/>
      <c r="P23" s="40"/>
      <c r="Q23" s="40"/>
    </row>
    <row r="24" spans="2:17" ht="19">
      <c r="B24" s="288"/>
      <c r="C24" s="42" t="s">
        <v>299</v>
      </c>
      <c r="D24" s="269" t="s">
        <v>213</v>
      </c>
      <c r="E24" s="269" t="s">
        <v>241</v>
      </c>
      <c r="F24" s="269"/>
      <c r="G24" s="269"/>
      <c r="H24" s="269"/>
      <c r="I24" s="269">
        <v>0</v>
      </c>
      <c r="J24" s="269">
        <v>55</v>
      </c>
      <c r="K24" s="270">
        <f t="shared" si="4"/>
        <v>0</v>
      </c>
      <c r="L24" s="271">
        <v>120</v>
      </c>
      <c r="M24" s="271">
        <f t="shared" si="3"/>
        <v>0</v>
      </c>
      <c r="N24" s="93" t="s">
        <v>262</v>
      </c>
      <c r="O24" s="93"/>
      <c r="P24" s="40"/>
      <c r="Q24" s="40"/>
    </row>
    <row r="25" spans="2:17" ht="19">
      <c r="B25" s="288"/>
      <c r="C25" s="42" t="s">
        <v>300</v>
      </c>
      <c r="D25" s="40" t="s">
        <v>233</v>
      </c>
      <c r="E25" s="40" t="s">
        <v>234</v>
      </c>
      <c r="F25" s="40"/>
      <c r="G25" s="40"/>
      <c r="H25" s="40"/>
      <c r="I25" s="40">
        <v>36</v>
      </c>
      <c r="J25" s="40">
        <v>55</v>
      </c>
      <c r="K25" s="229">
        <f t="shared" si="4"/>
        <v>1980</v>
      </c>
      <c r="L25" s="29">
        <v>11</v>
      </c>
      <c r="M25" s="29">
        <f t="shared" si="3"/>
        <v>21780</v>
      </c>
      <c r="N25" s="93" t="s">
        <v>262</v>
      </c>
      <c r="O25" s="93"/>
      <c r="P25" s="40"/>
      <c r="Q25" s="40"/>
    </row>
    <row r="26" spans="2:17">
      <c r="B26" s="288"/>
      <c r="C26" s="40">
        <v>2</v>
      </c>
      <c r="D26" s="70" t="s">
        <v>66</v>
      </c>
      <c r="E26" s="40"/>
      <c r="F26" s="40"/>
      <c r="G26" s="40"/>
      <c r="H26" s="40"/>
      <c r="I26" s="40"/>
      <c r="J26" s="40"/>
      <c r="K26" s="229"/>
      <c r="L26" s="29"/>
      <c r="M26" s="29"/>
      <c r="N26" s="40"/>
      <c r="O26" s="40"/>
      <c r="P26" s="40"/>
      <c r="Q26" s="40"/>
    </row>
    <row r="27" spans="2:17" ht="19">
      <c r="B27" s="288"/>
      <c r="C27" s="42" t="s">
        <v>291</v>
      </c>
      <c r="D27" s="40" t="s">
        <v>198</v>
      </c>
      <c r="E27" s="40" t="s">
        <v>200</v>
      </c>
      <c r="F27" s="40"/>
      <c r="G27" s="40"/>
      <c r="H27" s="40"/>
      <c r="I27" s="40">
        <v>6</v>
      </c>
      <c r="J27" s="40">
        <v>53</v>
      </c>
      <c r="K27" s="229">
        <f t="shared" si="4"/>
        <v>318</v>
      </c>
      <c r="L27" s="29">
        <v>21500</v>
      </c>
      <c r="M27" s="29">
        <f t="shared" si="3"/>
        <v>6837000</v>
      </c>
      <c r="N27" s="93" t="s">
        <v>262</v>
      </c>
      <c r="O27" s="93"/>
      <c r="P27" s="40"/>
      <c r="Q27" s="40"/>
    </row>
    <row r="28" spans="2:17" ht="19">
      <c r="B28" s="288"/>
      <c r="C28" s="42" t="s">
        <v>301</v>
      </c>
      <c r="D28" s="40" t="s">
        <v>213</v>
      </c>
      <c r="E28" s="40" t="s">
        <v>241</v>
      </c>
      <c r="F28" s="40"/>
      <c r="G28" s="40"/>
      <c r="H28" s="40"/>
      <c r="I28" s="40">
        <v>6</v>
      </c>
      <c r="J28" s="40">
        <v>55</v>
      </c>
      <c r="K28" s="229">
        <f t="shared" si="4"/>
        <v>330</v>
      </c>
      <c r="L28" s="29">
        <v>50</v>
      </c>
      <c r="M28" s="29">
        <f t="shared" si="3"/>
        <v>16500</v>
      </c>
      <c r="N28" s="93" t="s">
        <v>262</v>
      </c>
      <c r="O28" s="93"/>
      <c r="P28" s="40"/>
      <c r="Q28" s="40"/>
    </row>
    <row r="29" spans="2:17" ht="19">
      <c r="B29" s="288"/>
      <c r="C29" s="42" t="s">
        <v>302</v>
      </c>
      <c r="D29" s="269" t="s">
        <v>334</v>
      </c>
      <c r="E29" s="269" t="s">
        <v>387</v>
      </c>
      <c r="F29" s="269"/>
      <c r="G29" s="269"/>
      <c r="H29" s="269"/>
      <c r="I29" s="269">
        <v>0</v>
      </c>
      <c r="J29" s="269">
        <v>55</v>
      </c>
      <c r="K29" s="269">
        <f t="shared" si="4"/>
        <v>0</v>
      </c>
      <c r="L29" s="269">
        <v>120</v>
      </c>
      <c r="M29" s="269">
        <f t="shared" si="3"/>
        <v>0</v>
      </c>
      <c r="N29" s="93" t="s">
        <v>262</v>
      </c>
      <c r="O29" s="93"/>
      <c r="P29" s="40"/>
      <c r="Q29" s="40"/>
    </row>
    <row r="30" spans="2:17" ht="19">
      <c r="B30" s="288"/>
      <c r="C30" s="42" t="s">
        <v>303</v>
      </c>
      <c r="D30" s="40" t="s">
        <v>233</v>
      </c>
      <c r="E30" s="40" t="s">
        <v>234</v>
      </c>
      <c r="F30" s="40"/>
      <c r="G30" s="40"/>
      <c r="H30" s="40"/>
      <c r="I30" s="40">
        <f>I28*4</f>
        <v>24</v>
      </c>
      <c r="J30" s="40">
        <v>55</v>
      </c>
      <c r="K30" s="229">
        <f t="shared" si="4"/>
        <v>1320</v>
      </c>
      <c r="L30" s="29">
        <v>11</v>
      </c>
      <c r="M30" s="29">
        <f t="shared" si="3"/>
        <v>14520</v>
      </c>
      <c r="N30" s="93" t="s">
        <v>262</v>
      </c>
      <c r="O30" s="93"/>
      <c r="P30" s="40"/>
      <c r="Q30" s="40"/>
    </row>
    <row r="31" spans="2:17">
      <c r="B31" s="288"/>
      <c r="C31" s="40">
        <v>3</v>
      </c>
      <c r="D31" s="70" t="s">
        <v>62</v>
      </c>
      <c r="E31" s="40"/>
      <c r="F31" s="40"/>
      <c r="G31" s="40"/>
      <c r="H31" s="40"/>
      <c r="I31" s="40"/>
      <c r="J31" s="40"/>
      <c r="K31" s="229"/>
      <c r="L31" s="29"/>
      <c r="M31" s="29"/>
      <c r="N31" s="40"/>
      <c r="O31" s="40"/>
      <c r="P31" s="40"/>
      <c r="Q31" s="40"/>
    </row>
    <row r="32" spans="2:17" ht="19">
      <c r="B32" s="288"/>
      <c r="C32" s="42" t="s">
        <v>304</v>
      </c>
      <c r="D32" s="40" t="s">
        <v>198</v>
      </c>
      <c r="E32" s="40" t="s">
        <v>199</v>
      </c>
      <c r="F32" s="40"/>
      <c r="G32" s="40"/>
      <c r="H32" s="40"/>
      <c r="I32" s="40">
        <v>1</v>
      </c>
      <c r="J32" s="40">
        <v>55</v>
      </c>
      <c r="K32" s="229">
        <f t="shared" si="4"/>
        <v>55</v>
      </c>
      <c r="L32" s="29">
        <v>3350</v>
      </c>
      <c r="M32" s="29">
        <f t="shared" si="3"/>
        <v>184250</v>
      </c>
      <c r="N32" s="93" t="s">
        <v>262</v>
      </c>
      <c r="O32" s="93"/>
      <c r="P32" s="40"/>
      <c r="Q32" s="40"/>
    </row>
    <row r="33" spans="2:17" ht="19">
      <c r="B33" s="288"/>
      <c r="C33" s="42" t="s">
        <v>305</v>
      </c>
      <c r="D33" s="40" t="s">
        <v>213</v>
      </c>
      <c r="E33" s="40" t="s">
        <v>235</v>
      </c>
      <c r="F33" s="40"/>
      <c r="G33" s="40"/>
      <c r="H33" s="40"/>
      <c r="I33" s="40">
        <v>1</v>
      </c>
      <c r="J33" s="40">
        <v>55</v>
      </c>
      <c r="K33" s="229">
        <f t="shared" si="4"/>
        <v>55</v>
      </c>
      <c r="L33" s="29">
        <v>45</v>
      </c>
      <c r="M33" s="29">
        <f t="shared" si="3"/>
        <v>2475</v>
      </c>
      <c r="N33" s="93" t="s">
        <v>262</v>
      </c>
      <c r="O33" s="93"/>
      <c r="P33" s="40"/>
      <c r="Q33" s="40"/>
    </row>
    <row r="34" spans="2:17" ht="19">
      <c r="B34" s="288"/>
      <c r="C34" s="42" t="s">
        <v>306</v>
      </c>
      <c r="D34" s="40" t="s">
        <v>233</v>
      </c>
      <c r="E34" s="40" t="s">
        <v>236</v>
      </c>
      <c r="F34" s="40"/>
      <c r="G34" s="40"/>
      <c r="H34" s="40"/>
      <c r="I34" s="40">
        <v>5</v>
      </c>
      <c r="J34" s="40">
        <v>55</v>
      </c>
      <c r="K34" s="229">
        <f t="shared" si="4"/>
        <v>275</v>
      </c>
      <c r="L34" s="29">
        <v>25</v>
      </c>
      <c r="M34" s="29">
        <f t="shared" si="3"/>
        <v>6875</v>
      </c>
      <c r="N34" s="93" t="s">
        <v>262</v>
      </c>
      <c r="O34" s="93"/>
      <c r="P34" s="40"/>
      <c r="Q34" s="40"/>
    </row>
    <row r="35" spans="2:17">
      <c r="B35" s="288"/>
      <c r="C35" s="40">
        <v>4</v>
      </c>
      <c r="D35" s="70" t="s">
        <v>72</v>
      </c>
      <c r="E35" s="40"/>
      <c r="F35" s="40"/>
      <c r="G35" s="40"/>
      <c r="H35" s="40"/>
      <c r="I35" s="40"/>
      <c r="J35" s="40"/>
      <c r="K35" s="229"/>
      <c r="L35" s="29"/>
      <c r="M35" s="29"/>
      <c r="N35" s="40"/>
      <c r="O35" s="40"/>
      <c r="P35" s="40"/>
      <c r="Q35" s="40"/>
    </row>
    <row r="36" spans="2:17" ht="19">
      <c r="B36" s="288"/>
      <c r="C36" s="42" t="s">
        <v>202</v>
      </c>
      <c r="D36" s="40" t="s">
        <v>198</v>
      </c>
      <c r="E36" s="40" t="s">
        <v>204</v>
      </c>
      <c r="F36" s="40"/>
      <c r="G36" s="40"/>
      <c r="H36" s="40"/>
      <c r="I36" s="40">
        <v>1</v>
      </c>
      <c r="J36" s="40">
        <v>50</v>
      </c>
      <c r="K36" s="229">
        <f t="shared" si="4"/>
        <v>50</v>
      </c>
      <c r="L36" s="29">
        <v>14350</v>
      </c>
      <c r="M36" s="29">
        <f t="shared" si="3"/>
        <v>717500</v>
      </c>
      <c r="N36" s="93" t="s">
        <v>262</v>
      </c>
      <c r="O36" s="93"/>
      <c r="P36" s="40"/>
      <c r="Q36" s="89" t="s">
        <v>327</v>
      </c>
    </row>
    <row r="37" spans="2:17" ht="19">
      <c r="B37" s="288"/>
      <c r="C37" s="42" t="s">
        <v>307</v>
      </c>
      <c r="D37" s="89" t="s">
        <v>198</v>
      </c>
      <c r="E37" s="89" t="s">
        <v>205</v>
      </c>
      <c r="F37" s="89"/>
      <c r="G37" s="89"/>
      <c r="H37" s="89"/>
      <c r="I37" s="89">
        <v>1</v>
      </c>
      <c r="J37" s="89">
        <v>55</v>
      </c>
      <c r="K37" s="231">
        <f t="shared" si="4"/>
        <v>55</v>
      </c>
      <c r="L37" s="232">
        <v>17850</v>
      </c>
      <c r="M37" s="232">
        <f t="shared" si="3"/>
        <v>981750</v>
      </c>
      <c r="N37" s="233" t="s">
        <v>262</v>
      </c>
      <c r="O37" s="233"/>
      <c r="P37" s="89"/>
      <c r="Q37" s="234" t="s">
        <v>356</v>
      </c>
    </row>
    <row r="38" spans="2:17" ht="19">
      <c r="B38" s="288"/>
      <c r="C38" s="42" t="s">
        <v>308</v>
      </c>
      <c r="D38" s="40" t="s">
        <v>198</v>
      </c>
      <c r="E38" s="40" t="s">
        <v>203</v>
      </c>
      <c r="F38" s="40"/>
      <c r="G38" s="40"/>
      <c r="H38" s="40"/>
      <c r="I38" s="40">
        <v>31</v>
      </c>
      <c r="J38" s="40">
        <v>50</v>
      </c>
      <c r="K38" s="229">
        <f t="shared" si="4"/>
        <v>1550</v>
      </c>
      <c r="L38" s="29">
        <v>1250</v>
      </c>
      <c r="M38" s="29">
        <f t="shared" si="3"/>
        <v>1937500</v>
      </c>
      <c r="N38" s="93" t="s">
        <v>262</v>
      </c>
      <c r="O38" s="93"/>
      <c r="P38" s="40"/>
      <c r="Q38" s="89" t="s">
        <v>327</v>
      </c>
    </row>
    <row r="39" spans="2:17" ht="19">
      <c r="B39" s="288"/>
      <c r="C39" s="42" t="s">
        <v>309</v>
      </c>
      <c r="D39" s="40" t="s">
        <v>238</v>
      </c>
      <c r="E39" s="40" t="s">
        <v>228</v>
      </c>
      <c r="F39" s="40"/>
      <c r="G39" s="40"/>
      <c r="H39" s="40"/>
      <c r="I39" s="40">
        <v>1</v>
      </c>
      <c r="J39" s="40">
        <v>55</v>
      </c>
      <c r="K39" s="229">
        <f t="shared" si="4"/>
        <v>55</v>
      </c>
      <c r="L39" s="29">
        <v>80</v>
      </c>
      <c r="M39" s="29">
        <f t="shared" si="3"/>
        <v>4400</v>
      </c>
      <c r="N39" s="93" t="s">
        <v>262</v>
      </c>
      <c r="O39" s="93"/>
      <c r="P39" s="40"/>
      <c r="Q39" s="40"/>
    </row>
    <row r="40" spans="2:17" ht="19">
      <c r="B40" s="288"/>
      <c r="C40" s="42" t="s">
        <v>310</v>
      </c>
      <c r="D40" s="40" t="s">
        <v>238</v>
      </c>
      <c r="E40" s="40" t="s">
        <v>232</v>
      </c>
      <c r="F40" s="40"/>
      <c r="G40" s="40"/>
      <c r="H40" s="40"/>
      <c r="I40" s="40">
        <v>1</v>
      </c>
      <c r="J40" s="40">
        <v>55</v>
      </c>
      <c r="K40" s="229">
        <f t="shared" si="4"/>
        <v>55</v>
      </c>
      <c r="L40" s="29">
        <v>200</v>
      </c>
      <c r="M40" s="29">
        <f t="shared" si="3"/>
        <v>11000</v>
      </c>
      <c r="N40" s="93" t="s">
        <v>262</v>
      </c>
      <c r="O40" s="93"/>
      <c r="P40" s="40"/>
      <c r="Q40" s="40"/>
    </row>
    <row r="41" spans="2:17" ht="19">
      <c r="B41" s="288"/>
      <c r="C41" s="42" t="s">
        <v>311</v>
      </c>
      <c r="D41" s="40" t="s">
        <v>233</v>
      </c>
      <c r="E41" s="40" t="s">
        <v>313</v>
      </c>
      <c r="F41" s="40"/>
      <c r="G41" s="40"/>
      <c r="H41" s="40"/>
      <c r="I41" s="40">
        <v>18</v>
      </c>
      <c r="J41" s="40">
        <v>55</v>
      </c>
      <c r="K41" s="229">
        <f t="shared" si="4"/>
        <v>990</v>
      </c>
      <c r="L41" s="29">
        <v>11</v>
      </c>
      <c r="M41" s="29">
        <f t="shared" si="3"/>
        <v>10890</v>
      </c>
      <c r="N41" s="93" t="s">
        <v>262</v>
      </c>
      <c r="O41" s="93"/>
      <c r="P41" s="40"/>
      <c r="Q41" s="40"/>
    </row>
    <row r="42" spans="2:17">
      <c r="M42" s="31">
        <f>SUM(M22:M41)</f>
        <v>19884440</v>
      </c>
    </row>
    <row r="45" spans="2:17">
      <c r="D45" s="32">
        <v>2222</v>
      </c>
    </row>
    <row r="47" spans="2:17">
      <c r="D47" s="32">
        <v>77777777</v>
      </c>
      <c r="N47" s="227">
        <v>513363</v>
      </c>
      <c r="O47" s="227">
        <v>615859</v>
      </c>
      <c r="Q47" s="228">
        <f>N47+O47</f>
        <v>1129222</v>
      </c>
    </row>
    <row r="49" spans="7:7">
      <c r="G49" s="32">
        <v>88888877777</v>
      </c>
    </row>
  </sheetData>
  <mergeCells count="2">
    <mergeCell ref="B21:B41"/>
    <mergeCell ref="B2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BDB-6422-47FA-A0FF-235D935B214F}">
  <dimension ref="B1:Q34"/>
  <sheetViews>
    <sheetView zoomScale="90" zoomScaleNormal="90" workbookViewId="0">
      <pane ySplit="1" topLeftCell="A2" activePane="bottomLeft" state="frozen"/>
      <selection activeCell="B1" sqref="B1"/>
      <selection pane="bottomLeft" activeCell="N46" sqref="N46"/>
    </sheetView>
  </sheetViews>
  <sheetFormatPr baseColWidth="10" defaultColWidth="9.3984375" defaultRowHeight="18"/>
  <cols>
    <col min="1" max="1" width="5" style="32" customWidth="1"/>
    <col min="2" max="2" width="8" style="32" customWidth="1"/>
    <col min="3" max="3" width="7.796875" style="32" bestFit="1" customWidth="1"/>
    <col min="4" max="4" width="52" style="32" bestFit="1" customWidth="1"/>
    <col min="5" max="5" width="33.796875" style="32" bestFit="1" customWidth="1"/>
    <col min="6" max="8" width="12.3984375" style="32" bestFit="1" customWidth="1"/>
    <col min="9" max="9" width="14.796875" style="32" bestFit="1" customWidth="1"/>
    <col min="10" max="10" width="12.3984375" style="32" bestFit="1" customWidth="1"/>
    <col min="11" max="11" width="10.796875" style="32" bestFit="1" customWidth="1"/>
    <col min="12" max="12" width="14.59765625" style="32" bestFit="1" customWidth="1"/>
    <col min="13" max="13" width="18.3984375" style="32" bestFit="1" customWidth="1"/>
    <col min="14" max="14" width="23.3984375" style="32" bestFit="1" customWidth="1"/>
    <col min="15" max="15" width="23.3984375" style="32" customWidth="1"/>
    <col min="16" max="16" width="13.3984375" style="32" bestFit="1" customWidth="1"/>
    <col min="17" max="17" width="45.3984375" style="32" bestFit="1" customWidth="1"/>
    <col min="18" max="18" width="3.3984375" style="32" customWidth="1"/>
    <col min="19" max="16384" width="9.3984375" style="32"/>
  </cols>
  <sheetData>
    <row r="1" spans="2:17" ht="39" thickBot="1">
      <c r="B1" s="85" t="s">
        <v>365</v>
      </c>
      <c r="C1" s="85" t="s">
        <v>15</v>
      </c>
      <c r="D1" s="95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379</v>
      </c>
      <c r="K1" s="85" t="s">
        <v>375</v>
      </c>
      <c r="L1" s="20" t="s">
        <v>40</v>
      </c>
      <c r="M1" s="20" t="s">
        <v>41</v>
      </c>
      <c r="N1" s="20" t="s">
        <v>194</v>
      </c>
      <c r="O1" s="20" t="s">
        <v>364</v>
      </c>
      <c r="P1" s="20" t="s">
        <v>169</v>
      </c>
      <c r="Q1" s="20" t="s">
        <v>0</v>
      </c>
    </row>
    <row r="2" spans="2:17" ht="19">
      <c r="B2" s="102">
        <v>3</v>
      </c>
      <c r="C2" s="33" t="s">
        <v>4</v>
      </c>
      <c r="D2" s="62"/>
      <c r="E2" s="33" t="s">
        <v>3</v>
      </c>
      <c r="F2" s="23"/>
      <c r="G2" s="23"/>
      <c r="H2" s="23"/>
      <c r="I2" s="34"/>
      <c r="J2" s="34"/>
      <c r="K2" s="34"/>
      <c r="L2" s="51"/>
      <c r="M2" s="51"/>
      <c r="N2" s="53"/>
      <c r="O2" s="53"/>
      <c r="P2" s="51"/>
      <c r="Q2" s="54"/>
    </row>
    <row r="3" spans="2:17" ht="19">
      <c r="B3" s="102"/>
      <c r="C3" s="33">
        <v>1</v>
      </c>
      <c r="D3" s="62" t="s">
        <v>19</v>
      </c>
      <c r="E3" s="33" t="s">
        <v>82</v>
      </c>
      <c r="F3" s="84"/>
      <c r="G3" s="84"/>
      <c r="H3" s="84"/>
      <c r="I3" s="33">
        <v>1</v>
      </c>
      <c r="J3" s="33">
        <v>51</v>
      </c>
      <c r="K3" s="230">
        <f>I3*J3</f>
        <v>51</v>
      </c>
      <c r="L3" s="27">
        <v>304800</v>
      </c>
      <c r="M3" s="26">
        <f>I3*J3*L3</f>
        <v>15544800</v>
      </c>
      <c r="N3" s="135" t="s">
        <v>181</v>
      </c>
      <c r="O3" s="135" t="s">
        <v>181</v>
      </c>
      <c r="P3" s="55"/>
      <c r="Q3" s="54"/>
    </row>
    <row r="4" spans="2:17" ht="19">
      <c r="B4" s="102"/>
      <c r="C4" s="33">
        <v>2</v>
      </c>
      <c r="D4" s="62" t="s">
        <v>23</v>
      </c>
      <c r="E4" s="33" t="s">
        <v>83</v>
      </c>
      <c r="F4" s="84"/>
      <c r="G4" s="84"/>
      <c r="H4" s="84"/>
      <c r="I4" s="33">
        <v>1</v>
      </c>
      <c r="J4" s="33">
        <v>51</v>
      </c>
      <c r="K4" s="230">
        <f t="shared" ref="K4:K19" si="0">I4*J4</f>
        <v>51</v>
      </c>
      <c r="L4" s="27" t="s">
        <v>317</v>
      </c>
      <c r="M4" s="27" t="s">
        <v>317</v>
      </c>
      <c r="N4" s="135" t="s">
        <v>181</v>
      </c>
      <c r="O4" s="135" t="s">
        <v>181</v>
      </c>
      <c r="P4" s="55"/>
      <c r="Q4" s="54"/>
    </row>
    <row r="5" spans="2:17" ht="19">
      <c r="B5" s="102"/>
      <c r="C5" s="33">
        <v>3</v>
      </c>
      <c r="D5" s="62" t="s">
        <v>24</v>
      </c>
      <c r="E5" s="33" t="s">
        <v>84</v>
      </c>
      <c r="F5" s="84"/>
      <c r="G5" s="84"/>
      <c r="H5" s="84"/>
      <c r="I5" s="33">
        <v>1</v>
      </c>
      <c r="J5" s="33">
        <v>51</v>
      </c>
      <c r="K5" s="230">
        <f t="shared" si="0"/>
        <v>51</v>
      </c>
      <c r="L5" s="27" t="s">
        <v>317</v>
      </c>
      <c r="M5" s="27" t="s">
        <v>317</v>
      </c>
      <c r="N5" s="135" t="s">
        <v>181</v>
      </c>
      <c r="O5" s="135" t="s">
        <v>181</v>
      </c>
      <c r="P5" s="55"/>
      <c r="Q5" s="54"/>
    </row>
    <row r="6" spans="2:17" ht="19">
      <c r="B6" s="102"/>
      <c r="C6" s="33">
        <v>4</v>
      </c>
      <c r="D6" s="62" t="s">
        <v>85</v>
      </c>
      <c r="E6" s="33" t="s">
        <v>86</v>
      </c>
      <c r="F6" s="84"/>
      <c r="G6" s="84"/>
      <c r="H6" s="84"/>
      <c r="I6" s="33">
        <v>1</v>
      </c>
      <c r="J6" s="33">
        <v>60</v>
      </c>
      <c r="K6" s="230">
        <f t="shared" si="0"/>
        <v>60</v>
      </c>
      <c r="L6" s="27">
        <v>185000</v>
      </c>
      <c r="M6" s="26">
        <f t="shared" ref="M6:M8" si="1">I6*J6*L6</f>
        <v>11100000</v>
      </c>
      <c r="N6" s="153" t="s">
        <v>261</v>
      </c>
      <c r="O6" s="153" t="s">
        <v>265</v>
      </c>
      <c r="P6" s="55"/>
      <c r="Q6" s="64" t="s">
        <v>206</v>
      </c>
    </row>
    <row r="7" spans="2:17" ht="19">
      <c r="B7" s="102"/>
      <c r="C7" s="33">
        <v>5</v>
      </c>
      <c r="D7" s="62" t="s">
        <v>87</v>
      </c>
      <c r="E7" s="33" t="s">
        <v>88</v>
      </c>
      <c r="F7" s="84"/>
      <c r="G7" s="84"/>
      <c r="H7" s="84"/>
      <c r="I7" s="33">
        <v>1</v>
      </c>
      <c r="J7" s="33">
        <v>51</v>
      </c>
      <c r="K7" s="230">
        <f t="shared" si="0"/>
        <v>51</v>
      </c>
      <c r="L7" s="27" t="s">
        <v>317</v>
      </c>
      <c r="M7" s="27" t="s">
        <v>317</v>
      </c>
      <c r="N7" s="135" t="s">
        <v>181</v>
      </c>
      <c r="O7" s="135" t="s">
        <v>181</v>
      </c>
      <c r="P7" s="55"/>
      <c r="Q7" s="54"/>
    </row>
    <row r="8" spans="2:17" ht="19">
      <c r="B8" s="102"/>
      <c r="C8" s="33">
        <v>6</v>
      </c>
      <c r="D8" s="74" t="s">
        <v>89</v>
      </c>
      <c r="E8" s="35" t="s">
        <v>174</v>
      </c>
      <c r="F8" s="84"/>
      <c r="G8" s="84"/>
      <c r="H8" s="84"/>
      <c r="I8" s="33">
        <v>1</v>
      </c>
      <c r="J8" s="33">
        <v>51</v>
      </c>
      <c r="K8" s="230">
        <f t="shared" si="0"/>
        <v>51</v>
      </c>
      <c r="L8" s="27">
        <v>923923</v>
      </c>
      <c r="M8" s="26">
        <f t="shared" si="1"/>
        <v>47120073</v>
      </c>
      <c r="N8" s="140" t="s">
        <v>362</v>
      </c>
      <c r="O8" s="140" t="s">
        <v>362</v>
      </c>
      <c r="P8" s="55"/>
      <c r="Q8" s="54"/>
    </row>
    <row r="9" spans="2:17" ht="19">
      <c r="B9" s="102"/>
      <c r="C9" s="33"/>
      <c r="D9" s="75" t="s">
        <v>322</v>
      </c>
      <c r="E9" s="35" t="s">
        <v>317</v>
      </c>
      <c r="F9" s="84"/>
      <c r="G9" s="84"/>
      <c r="H9" s="84"/>
      <c r="I9" s="33">
        <v>1</v>
      </c>
      <c r="J9" s="33">
        <v>70</v>
      </c>
      <c r="K9" s="230">
        <f t="shared" si="0"/>
        <v>70</v>
      </c>
      <c r="L9" s="99">
        <v>327</v>
      </c>
      <c r="M9" s="99">
        <f>L9*(J9*I9)</f>
        <v>22890</v>
      </c>
      <c r="N9" s="153" t="s">
        <v>187</v>
      </c>
      <c r="O9" s="153" t="s">
        <v>295</v>
      </c>
      <c r="P9" s="55"/>
      <c r="Q9" s="65" t="s">
        <v>321</v>
      </c>
    </row>
    <row r="10" spans="2:17" ht="19">
      <c r="B10" s="102"/>
      <c r="C10" s="33"/>
      <c r="D10" s="76" t="s">
        <v>323</v>
      </c>
      <c r="E10" s="35" t="s">
        <v>317</v>
      </c>
      <c r="F10" s="84"/>
      <c r="G10" s="84"/>
      <c r="H10" s="84"/>
      <c r="I10" s="33">
        <v>1</v>
      </c>
      <c r="J10" s="33">
        <v>70</v>
      </c>
      <c r="K10" s="230">
        <f t="shared" si="0"/>
        <v>70</v>
      </c>
      <c r="L10" s="99">
        <v>40.6</v>
      </c>
      <c r="M10" s="99">
        <f>L10*(J10*I10)</f>
        <v>2842</v>
      </c>
      <c r="N10" s="153" t="s">
        <v>187</v>
      </c>
      <c r="O10" s="153" t="s">
        <v>295</v>
      </c>
      <c r="P10" s="55"/>
      <c r="Q10" s="65" t="s">
        <v>321</v>
      </c>
    </row>
    <row r="11" spans="2:17" ht="19">
      <c r="B11" s="102"/>
      <c r="C11" s="33"/>
      <c r="D11" s="77" t="s">
        <v>320</v>
      </c>
      <c r="E11" s="36" t="s">
        <v>317</v>
      </c>
      <c r="F11" s="103"/>
      <c r="G11" s="103"/>
      <c r="H11" s="103"/>
      <c r="I11" s="43">
        <v>1</v>
      </c>
      <c r="J11" s="43">
        <v>70</v>
      </c>
      <c r="K11" s="230">
        <f t="shared" si="0"/>
        <v>70</v>
      </c>
      <c r="L11" s="101">
        <v>36000</v>
      </c>
      <c r="M11" s="101">
        <f>L11*(J11*I11)</f>
        <v>2520000</v>
      </c>
      <c r="N11" s="38" t="s">
        <v>318</v>
      </c>
      <c r="O11" s="38" t="s">
        <v>318</v>
      </c>
      <c r="P11" s="43"/>
      <c r="Q11" s="61"/>
    </row>
    <row r="12" spans="2:17" ht="19">
      <c r="B12" s="102"/>
      <c r="C12" s="33">
        <v>7</v>
      </c>
      <c r="D12" s="62" t="s">
        <v>31</v>
      </c>
      <c r="E12" s="33" t="s">
        <v>90</v>
      </c>
      <c r="F12" s="84"/>
      <c r="G12" s="84"/>
      <c r="H12" s="84"/>
      <c r="I12" s="33">
        <v>1</v>
      </c>
      <c r="J12" s="33">
        <v>60</v>
      </c>
      <c r="K12" s="230">
        <f t="shared" si="0"/>
        <v>60</v>
      </c>
      <c r="L12" s="27">
        <v>112000</v>
      </c>
      <c r="M12" s="26">
        <f t="shared" ref="M12:M18" si="2">I12*J12*L12</f>
        <v>6720000</v>
      </c>
      <c r="N12" s="135" t="s">
        <v>182</v>
      </c>
      <c r="O12" s="135" t="s">
        <v>182</v>
      </c>
      <c r="P12" s="55"/>
      <c r="Q12" s="54"/>
    </row>
    <row r="13" spans="2:17" ht="19">
      <c r="B13" s="102"/>
      <c r="C13" s="33">
        <v>8</v>
      </c>
      <c r="D13" s="62" t="s">
        <v>91</v>
      </c>
      <c r="E13" s="33" t="s">
        <v>53</v>
      </c>
      <c r="F13" s="84"/>
      <c r="G13" s="84"/>
      <c r="H13" s="84"/>
      <c r="I13" s="33">
        <v>1</v>
      </c>
      <c r="J13" s="33">
        <v>55</v>
      </c>
      <c r="K13" s="230">
        <f t="shared" si="0"/>
        <v>55</v>
      </c>
      <c r="L13" s="27">
        <v>2800</v>
      </c>
      <c r="M13" s="26">
        <f t="shared" si="2"/>
        <v>154000</v>
      </c>
      <c r="N13" s="138" t="s">
        <v>262</v>
      </c>
      <c r="O13" s="138" t="s">
        <v>263</v>
      </c>
      <c r="P13" s="55"/>
      <c r="Q13" s="54"/>
    </row>
    <row r="14" spans="2:17" ht="19">
      <c r="B14" s="102"/>
      <c r="C14" s="33">
        <v>9</v>
      </c>
      <c r="D14" s="62" t="s">
        <v>34</v>
      </c>
      <c r="E14" s="33" t="s">
        <v>55</v>
      </c>
      <c r="F14" s="84"/>
      <c r="G14" s="84"/>
      <c r="H14" s="84"/>
      <c r="I14" s="33">
        <v>1</v>
      </c>
      <c r="J14" s="33">
        <v>55</v>
      </c>
      <c r="K14" s="230">
        <f t="shared" si="0"/>
        <v>55</v>
      </c>
      <c r="L14" s="27">
        <v>350</v>
      </c>
      <c r="M14" s="26">
        <f t="shared" si="2"/>
        <v>19250</v>
      </c>
      <c r="N14" s="138" t="s">
        <v>262</v>
      </c>
      <c r="O14" s="138" t="s">
        <v>263</v>
      </c>
      <c r="P14" s="55"/>
      <c r="Q14" s="54"/>
    </row>
    <row r="15" spans="2:17" ht="19">
      <c r="B15" s="102"/>
      <c r="C15" s="33">
        <v>10</v>
      </c>
      <c r="D15" s="62" t="s">
        <v>35</v>
      </c>
      <c r="E15" s="33" t="s">
        <v>56</v>
      </c>
      <c r="F15" s="84"/>
      <c r="G15" s="84"/>
      <c r="H15" s="84"/>
      <c r="I15" s="33">
        <v>4</v>
      </c>
      <c r="J15" s="33">
        <v>51</v>
      </c>
      <c r="K15" s="230">
        <f t="shared" si="0"/>
        <v>204</v>
      </c>
      <c r="L15" s="27">
        <v>32300</v>
      </c>
      <c r="M15" s="26">
        <f t="shared" si="2"/>
        <v>6589200</v>
      </c>
      <c r="N15" s="138" t="s">
        <v>262</v>
      </c>
      <c r="O15" s="138" t="s">
        <v>264</v>
      </c>
      <c r="P15" s="55"/>
      <c r="Q15" s="54" t="s">
        <v>368</v>
      </c>
    </row>
    <row r="16" spans="2:17" ht="19">
      <c r="B16" s="102"/>
      <c r="C16" s="33">
        <v>11</v>
      </c>
      <c r="D16" s="62" t="s">
        <v>36</v>
      </c>
      <c r="E16" s="33" t="s">
        <v>57</v>
      </c>
      <c r="F16" s="84"/>
      <c r="G16" s="84"/>
      <c r="H16" s="84"/>
      <c r="I16" s="33">
        <v>16</v>
      </c>
      <c r="J16" s="33">
        <v>51</v>
      </c>
      <c r="K16" s="230">
        <f t="shared" si="0"/>
        <v>816</v>
      </c>
      <c r="L16" s="27">
        <v>1300</v>
      </c>
      <c r="M16" s="26">
        <f t="shared" si="2"/>
        <v>1060800</v>
      </c>
      <c r="N16" s="138" t="s">
        <v>262</v>
      </c>
      <c r="O16" s="138" t="s">
        <v>264</v>
      </c>
      <c r="P16" s="55"/>
      <c r="Q16" s="54"/>
    </row>
    <row r="17" spans="2:17" ht="19">
      <c r="B17" s="102"/>
      <c r="C17" s="33">
        <v>12</v>
      </c>
      <c r="D17" s="62" t="s">
        <v>92</v>
      </c>
      <c r="E17" s="33" t="s">
        <v>93</v>
      </c>
      <c r="F17" s="84"/>
      <c r="G17" s="84"/>
      <c r="H17" s="84"/>
      <c r="I17" s="33">
        <v>2</v>
      </c>
      <c r="J17" s="33">
        <v>55</v>
      </c>
      <c r="K17" s="230">
        <f t="shared" si="0"/>
        <v>110</v>
      </c>
      <c r="L17" s="27">
        <v>1000</v>
      </c>
      <c r="M17" s="26">
        <f t="shared" si="2"/>
        <v>110000</v>
      </c>
      <c r="N17" s="138" t="s">
        <v>262</v>
      </c>
      <c r="O17" s="138" t="s">
        <v>274</v>
      </c>
      <c r="P17" s="55"/>
      <c r="Q17" s="54"/>
    </row>
    <row r="18" spans="2:17" ht="19">
      <c r="B18" s="102"/>
      <c r="C18" s="33">
        <v>13</v>
      </c>
      <c r="D18" s="62" t="s">
        <v>94</v>
      </c>
      <c r="E18" s="33" t="s">
        <v>380</v>
      </c>
      <c r="F18" s="84"/>
      <c r="G18" s="84"/>
      <c r="H18" s="84"/>
      <c r="I18" s="33">
        <v>1</v>
      </c>
      <c r="J18" s="33">
        <v>55</v>
      </c>
      <c r="K18" s="230">
        <f t="shared" si="0"/>
        <v>55</v>
      </c>
      <c r="L18" s="27">
        <v>28900</v>
      </c>
      <c r="M18" s="26">
        <f t="shared" si="2"/>
        <v>1589500</v>
      </c>
      <c r="N18" s="143" t="s">
        <v>262</v>
      </c>
      <c r="O18" s="143" t="s">
        <v>275</v>
      </c>
      <c r="P18" s="55"/>
      <c r="Q18" s="54"/>
    </row>
    <row r="19" spans="2:17" ht="19">
      <c r="B19" s="102"/>
      <c r="C19" s="33">
        <v>14</v>
      </c>
      <c r="D19" s="62" t="s">
        <v>95</v>
      </c>
      <c r="E19" s="33" t="s">
        <v>96</v>
      </c>
      <c r="F19" s="84"/>
      <c r="G19" s="84"/>
      <c r="H19" s="84"/>
      <c r="I19" s="33">
        <v>1</v>
      </c>
      <c r="J19" s="33">
        <v>51</v>
      </c>
      <c r="K19" s="230">
        <f t="shared" si="0"/>
        <v>51</v>
      </c>
      <c r="L19" s="27" t="s">
        <v>317</v>
      </c>
      <c r="M19" s="26" t="s">
        <v>317</v>
      </c>
      <c r="N19" s="135" t="s">
        <v>317</v>
      </c>
      <c r="O19" s="135" t="s">
        <v>317</v>
      </c>
      <c r="P19" s="55"/>
      <c r="Q19" s="54"/>
    </row>
    <row r="23" spans="2:17">
      <c r="B23" s="292" t="s">
        <v>304</v>
      </c>
      <c r="C23" s="40">
        <v>1</v>
      </c>
      <c r="D23" s="40" t="s">
        <v>242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193"/>
    </row>
    <row r="24" spans="2:17">
      <c r="B24" s="293"/>
      <c r="C24" s="40">
        <v>3</v>
      </c>
      <c r="D24" s="40" t="s">
        <v>213</v>
      </c>
      <c r="E24" s="40" t="s">
        <v>243</v>
      </c>
      <c r="F24" s="40"/>
      <c r="G24" s="40"/>
      <c r="H24" s="40"/>
      <c r="I24" s="40">
        <v>4</v>
      </c>
      <c r="J24" s="40">
        <v>55</v>
      </c>
      <c r="K24" s="229">
        <f>I24*J24</f>
        <v>220</v>
      </c>
      <c r="L24" s="27">
        <v>60</v>
      </c>
      <c r="M24" s="29">
        <f t="shared" ref="M24:M33" si="3">I24*J24*L24</f>
        <v>13200</v>
      </c>
      <c r="N24" s="28" t="s">
        <v>262</v>
      </c>
      <c r="O24" s="28"/>
      <c r="P24" s="40"/>
      <c r="Q24" s="193"/>
    </row>
    <row r="25" spans="2:17" ht="19">
      <c r="B25" s="293"/>
      <c r="C25" s="40">
        <v>4</v>
      </c>
      <c r="D25" s="63" t="s">
        <v>245</v>
      </c>
      <c r="E25" s="63" t="s">
        <v>254</v>
      </c>
      <c r="F25" s="63"/>
      <c r="G25" s="63"/>
      <c r="H25" s="63"/>
      <c r="I25" s="63">
        <v>32</v>
      </c>
      <c r="J25" s="63">
        <v>55</v>
      </c>
      <c r="K25" s="229">
        <f t="shared" ref="K25:K33" si="4">I25*J25</f>
        <v>1760</v>
      </c>
      <c r="L25" s="27"/>
      <c r="M25" s="39">
        <f t="shared" si="3"/>
        <v>0</v>
      </c>
      <c r="N25" s="63" t="s">
        <v>262</v>
      </c>
      <c r="O25" s="63"/>
      <c r="P25" s="63"/>
      <c r="Q25" s="194" t="s">
        <v>356</v>
      </c>
    </row>
    <row r="26" spans="2:17">
      <c r="B26" s="293"/>
      <c r="C26" s="40">
        <v>5</v>
      </c>
      <c r="D26" s="40" t="s">
        <v>246</v>
      </c>
      <c r="E26" s="40" t="s">
        <v>247</v>
      </c>
      <c r="F26" s="40"/>
      <c r="G26" s="40"/>
      <c r="H26" s="40"/>
      <c r="I26" s="40">
        <v>1</v>
      </c>
      <c r="J26" s="40">
        <v>55</v>
      </c>
      <c r="K26" s="229">
        <f t="shared" si="4"/>
        <v>55</v>
      </c>
      <c r="L26" s="27">
        <v>80</v>
      </c>
      <c r="M26" s="29">
        <f t="shared" si="3"/>
        <v>4400</v>
      </c>
      <c r="N26" s="28" t="s">
        <v>262</v>
      </c>
      <c r="O26" s="28"/>
      <c r="P26" s="40"/>
      <c r="Q26" s="193"/>
    </row>
    <row r="27" spans="2:17">
      <c r="B27" s="293"/>
      <c r="C27" s="40">
        <v>6</v>
      </c>
      <c r="D27" s="40" t="s">
        <v>245</v>
      </c>
      <c r="E27" s="40" t="s">
        <v>248</v>
      </c>
      <c r="F27" s="40"/>
      <c r="G27" s="40"/>
      <c r="H27" s="40"/>
      <c r="I27" s="40">
        <v>2</v>
      </c>
      <c r="J27" s="40">
        <v>55</v>
      </c>
      <c r="K27" s="229">
        <f t="shared" si="4"/>
        <v>110</v>
      </c>
      <c r="L27" s="27">
        <v>25</v>
      </c>
      <c r="M27" s="29">
        <f t="shared" si="3"/>
        <v>2750</v>
      </c>
      <c r="N27" s="28" t="s">
        <v>262</v>
      </c>
      <c r="O27" s="28"/>
      <c r="P27" s="40"/>
      <c r="Q27" s="193"/>
    </row>
    <row r="28" spans="2:17">
      <c r="B28" s="293"/>
      <c r="C28" s="40">
        <v>7</v>
      </c>
      <c r="D28" s="40" t="s">
        <v>246</v>
      </c>
      <c r="E28" s="40" t="s">
        <v>249</v>
      </c>
      <c r="F28" s="40"/>
      <c r="G28" s="40"/>
      <c r="H28" s="40"/>
      <c r="I28" s="40">
        <v>1</v>
      </c>
      <c r="J28" s="40">
        <v>55</v>
      </c>
      <c r="K28" s="229">
        <f t="shared" si="4"/>
        <v>55</v>
      </c>
      <c r="L28" s="27">
        <v>60</v>
      </c>
      <c r="M28" s="29">
        <f t="shared" si="3"/>
        <v>3300</v>
      </c>
      <c r="N28" s="28" t="s">
        <v>262</v>
      </c>
      <c r="O28" s="28"/>
      <c r="P28" s="40"/>
      <c r="Q28" s="193"/>
    </row>
    <row r="29" spans="2:17">
      <c r="B29" s="293"/>
      <c r="C29" s="40">
        <v>8</v>
      </c>
      <c r="D29" s="40" t="s">
        <v>245</v>
      </c>
      <c r="E29" s="40" t="s">
        <v>250</v>
      </c>
      <c r="F29" s="40"/>
      <c r="G29" s="40"/>
      <c r="H29" s="40"/>
      <c r="I29" s="40">
        <v>13</v>
      </c>
      <c r="J29" s="40">
        <v>55</v>
      </c>
      <c r="K29" s="229">
        <f t="shared" si="4"/>
        <v>715</v>
      </c>
      <c r="L29" s="27">
        <v>25</v>
      </c>
      <c r="M29" s="29">
        <f t="shared" si="3"/>
        <v>17875</v>
      </c>
      <c r="N29" s="28" t="s">
        <v>262</v>
      </c>
      <c r="O29" s="28"/>
      <c r="P29" s="40"/>
      <c r="Q29" s="193"/>
    </row>
    <row r="30" spans="2:17">
      <c r="B30" s="293"/>
      <c r="C30" s="40">
        <v>9</v>
      </c>
      <c r="D30" s="40" t="s">
        <v>246</v>
      </c>
      <c r="E30" s="40" t="s">
        <v>251</v>
      </c>
      <c r="F30" s="40"/>
      <c r="G30" s="40"/>
      <c r="H30" s="40"/>
      <c r="I30" s="40">
        <v>1</v>
      </c>
      <c r="J30" s="40">
        <v>55</v>
      </c>
      <c r="K30" s="229">
        <f t="shared" si="4"/>
        <v>55</v>
      </c>
      <c r="L30" s="27">
        <v>45</v>
      </c>
      <c r="M30" s="29">
        <f t="shared" si="3"/>
        <v>2475</v>
      </c>
      <c r="N30" s="28" t="s">
        <v>262</v>
      </c>
      <c r="O30" s="28"/>
      <c r="P30" s="40"/>
      <c r="Q30" s="193"/>
    </row>
    <row r="31" spans="2:17" ht="19">
      <c r="B31" s="293"/>
      <c r="C31" s="40">
        <v>10</v>
      </c>
      <c r="D31" s="63" t="s">
        <v>246</v>
      </c>
      <c r="E31" s="63" t="s">
        <v>252</v>
      </c>
      <c r="F31" s="63"/>
      <c r="G31" s="63"/>
      <c r="H31" s="63"/>
      <c r="I31" s="63">
        <v>1</v>
      </c>
      <c r="J31" s="63">
        <v>55</v>
      </c>
      <c r="K31" s="229">
        <f t="shared" si="4"/>
        <v>55</v>
      </c>
      <c r="L31" s="27">
        <v>40</v>
      </c>
      <c r="M31" s="39">
        <f t="shared" si="3"/>
        <v>2200</v>
      </c>
      <c r="N31" s="63" t="s">
        <v>262</v>
      </c>
      <c r="O31" s="63"/>
      <c r="P31" s="63"/>
      <c r="Q31" s="194" t="s">
        <v>356</v>
      </c>
    </row>
    <row r="32" spans="2:17" ht="19">
      <c r="B32" s="293"/>
      <c r="C32" s="40">
        <v>11</v>
      </c>
      <c r="D32" s="63" t="s">
        <v>245</v>
      </c>
      <c r="E32" s="63" t="s">
        <v>253</v>
      </c>
      <c r="F32" s="63"/>
      <c r="G32" s="63"/>
      <c r="H32" s="63"/>
      <c r="I32" s="63">
        <v>2</v>
      </c>
      <c r="J32" s="63">
        <v>55</v>
      </c>
      <c r="K32" s="229">
        <f t="shared" si="4"/>
        <v>110</v>
      </c>
      <c r="L32" s="27"/>
      <c r="M32" s="39">
        <f t="shared" si="3"/>
        <v>0</v>
      </c>
      <c r="N32" s="63" t="s">
        <v>262</v>
      </c>
      <c r="O32" s="63"/>
      <c r="P32" s="63"/>
      <c r="Q32" s="194" t="s">
        <v>356</v>
      </c>
    </row>
    <row r="33" spans="2:17" ht="19">
      <c r="B33" s="293"/>
      <c r="C33" s="40">
        <v>12</v>
      </c>
      <c r="D33" s="63" t="s">
        <v>314</v>
      </c>
      <c r="E33" s="63" t="s">
        <v>381</v>
      </c>
      <c r="F33" s="63"/>
      <c r="G33" s="63"/>
      <c r="H33" s="63"/>
      <c r="I33" s="63">
        <v>1</v>
      </c>
      <c r="J33" s="63">
        <v>55</v>
      </c>
      <c r="K33" s="229">
        <f t="shared" si="4"/>
        <v>55</v>
      </c>
      <c r="L33" s="27">
        <v>4800</v>
      </c>
      <c r="M33" s="39">
        <f t="shared" si="3"/>
        <v>264000</v>
      </c>
      <c r="N33" s="63" t="s">
        <v>262</v>
      </c>
      <c r="O33" s="63"/>
      <c r="P33" s="63"/>
      <c r="Q33" s="194" t="s">
        <v>356</v>
      </c>
    </row>
    <row r="34" spans="2:17">
      <c r="M34" s="31">
        <f>SUM(M24:M33)</f>
        <v>310200</v>
      </c>
    </row>
  </sheetData>
  <mergeCells count="1">
    <mergeCell ref="B23:B33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9AB7-356A-44EC-8925-7FBB98D6D2A0}">
  <dimension ref="B1:P32"/>
  <sheetViews>
    <sheetView workbookViewId="0">
      <pane ySplit="1" topLeftCell="A2" activePane="bottomLeft" state="frozen"/>
      <selection pane="bottomLeft" activeCell="E47" sqref="E47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6.796875" style="32" bestFit="1" customWidth="1"/>
    <col min="4" max="4" width="34.796875" style="32" bestFit="1" customWidth="1"/>
    <col min="5" max="5" width="22.5976562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9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4</v>
      </c>
      <c r="C2" s="33" t="s">
        <v>6</v>
      </c>
      <c r="D2" s="55"/>
      <c r="E2" s="33" t="s">
        <v>5</v>
      </c>
      <c r="F2" s="23"/>
      <c r="G2" s="23"/>
      <c r="H2" s="23"/>
      <c r="I2" s="34"/>
      <c r="J2" s="34"/>
      <c r="K2" s="51"/>
      <c r="L2" s="51"/>
      <c r="M2" s="68"/>
      <c r="N2" s="68"/>
      <c r="O2" s="69"/>
      <c r="P2" s="54"/>
    </row>
    <row r="3" spans="2:16" ht="19">
      <c r="B3" s="102"/>
      <c r="C3" s="33">
        <v>1</v>
      </c>
      <c r="D3" s="55" t="s">
        <v>97</v>
      </c>
      <c r="E3" s="33" t="s">
        <v>98</v>
      </c>
      <c r="F3" s="84">
        <v>240401</v>
      </c>
      <c r="G3" s="84"/>
      <c r="H3" s="84"/>
      <c r="I3" s="33">
        <v>1</v>
      </c>
      <c r="J3" s="33">
        <v>51</v>
      </c>
      <c r="K3" s="27">
        <v>260000</v>
      </c>
      <c r="L3" s="27">
        <f>J3*(K3*I3)</f>
        <v>13260000</v>
      </c>
      <c r="M3" s="138" t="s">
        <v>181</v>
      </c>
      <c r="N3" s="138" t="s">
        <v>181</v>
      </c>
      <c r="O3" s="104" t="s">
        <v>170</v>
      </c>
      <c r="P3" s="195"/>
    </row>
    <row r="4" spans="2:16" ht="19">
      <c r="B4" s="102"/>
      <c r="C4" s="33">
        <v>2</v>
      </c>
      <c r="D4" s="55" t="s">
        <v>99</v>
      </c>
      <c r="E4" s="33" t="s">
        <v>100</v>
      </c>
      <c r="F4" s="84"/>
      <c r="G4" s="84"/>
      <c r="H4" s="84"/>
      <c r="I4" s="33">
        <v>1</v>
      </c>
      <c r="J4" s="33">
        <v>51</v>
      </c>
      <c r="K4" s="27" t="s">
        <v>317</v>
      </c>
      <c r="L4" s="27" t="s">
        <v>317</v>
      </c>
      <c r="M4" s="138" t="s">
        <v>181</v>
      </c>
      <c r="N4" s="138" t="s">
        <v>181</v>
      </c>
      <c r="O4" s="58"/>
      <c r="P4" s="195"/>
    </row>
    <row r="5" spans="2:16" ht="19">
      <c r="B5" s="102"/>
      <c r="C5" s="33">
        <v>3</v>
      </c>
      <c r="D5" s="55" t="s">
        <v>101</v>
      </c>
      <c r="E5" s="33" t="s">
        <v>102</v>
      </c>
      <c r="F5" s="84"/>
      <c r="G5" s="84"/>
      <c r="H5" s="84"/>
      <c r="I5" s="33">
        <v>1</v>
      </c>
      <c r="J5" s="33">
        <v>51</v>
      </c>
      <c r="K5" s="27" t="s">
        <v>317</v>
      </c>
      <c r="L5" s="27" t="s">
        <v>317</v>
      </c>
      <c r="M5" s="138" t="s">
        <v>181</v>
      </c>
      <c r="N5" s="138" t="s">
        <v>181</v>
      </c>
      <c r="O5" s="58"/>
      <c r="P5" s="195"/>
    </row>
    <row r="6" spans="2:16" ht="19">
      <c r="B6" s="102"/>
      <c r="C6" s="33">
        <v>4</v>
      </c>
      <c r="D6" s="55" t="s">
        <v>103</v>
      </c>
      <c r="E6" s="33" t="s">
        <v>104</v>
      </c>
      <c r="F6" s="84"/>
      <c r="G6" s="84"/>
      <c r="H6" s="84"/>
      <c r="I6" s="33">
        <v>1</v>
      </c>
      <c r="J6" s="33">
        <v>51</v>
      </c>
      <c r="K6" s="27" t="s">
        <v>317</v>
      </c>
      <c r="L6" s="27" t="s">
        <v>317</v>
      </c>
      <c r="M6" s="138" t="s">
        <v>181</v>
      </c>
      <c r="N6" s="138" t="s">
        <v>181</v>
      </c>
      <c r="O6" s="58"/>
      <c r="P6" s="195"/>
    </row>
    <row r="7" spans="2:16" ht="19">
      <c r="B7" s="102"/>
      <c r="C7" s="33">
        <v>5</v>
      </c>
      <c r="D7" s="55" t="s">
        <v>31</v>
      </c>
      <c r="E7" s="33" t="s">
        <v>105</v>
      </c>
      <c r="F7" s="84">
        <v>240401</v>
      </c>
      <c r="G7" s="84"/>
      <c r="H7" s="84"/>
      <c r="I7" s="33">
        <v>1</v>
      </c>
      <c r="J7" s="33">
        <v>55</v>
      </c>
      <c r="K7" s="27">
        <v>89000</v>
      </c>
      <c r="L7" s="27">
        <f t="shared" ref="L7:L17" si="0">J7*(K7*I7)</f>
        <v>4895000</v>
      </c>
      <c r="M7" s="135" t="s">
        <v>182</v>
      </c>
      <c r="N7" s="135" t="s">
        <v>182</v>
      </c>
      <c r="O7" s="104"/>
      <c r="P7" s="195"/>
    </row>
    <row r="8" spans="2:16" ht="19">
      <c r="B8" s="102"/>
      <c r="C8" s="33">
        <v>6</v>
      </c>
      <c r="D8" s="55" t="s">
        <v>89</v>
      </c>
      <c r="E8" s="33" t="s">
        <v>106</v>
      </c>
      <c r="F8" s="84"/>
      <c r="G8" s="84"/>
      <c r="H8" s="84"/>
      <c r="I8" s="33">
        <v>1</v>
      </c>
      <c r="J8" s="33">
        <v>55</v>
      </c>
      <c r="K8" s="27">
        <v>330000</v>
      </c>
      <c r="L8" s="27">
        <f t="shared" si="0"/>
        <v>18150000</v>
      </c>
      <c r="M8" s="135" t="s">
        <v>363</v>
      </c>
      <c r="N8" s="135" t="s">
        <v>266</v>
      </c>
      <c r="O8" s="58"/>
      <c r="P8" s="195"/>
    </row>
    <row r="9" spans="2:16" ht="19">
      <c r="B9" s="102"/>
      <c r="C9" s="33">
        <v>7</v>
      </c>
      <c r="D9" s="55" t="s">
        <v>107</v>
      </c>
      <c r="E9" s="33" t="s">
        <v>53</v>
      </c>
      <c r="F9" s="84"/>
      <c r="G9" s="84"/>
      <c r="H9" s="84"/>
      <c r="I9" s="33">
        <v>4</v>
      </c>
      <c r="J9" s="33">
        <v>55</v>
      </c>
      <c r="K9" s="27">
        <v>2800</v>
      </c>
      <c r="L9" s="27">
        <f t="shared" si="0"/>
        <v>616000</v>
      </c>
      <c r="M9" s="138" t="s">
        <v>262</v>
      </c>
      <c r="N9" s="138" t="s">
        <v>263</v>
      </c>
      <c r="O9" s="58"/>
      <c r="P9" s="195"/>
    </row>
    <row r="10" spans="2:16" ht="19">
      <c r="B10" s="102"/>
      <c r="C10" s="33">
        <v>8</v>
      </c>
      <c r="D10" s="55" t="s">
        <v>35</v>
      </c>
      <c r="E10" s="33" t="s">
        <v>108</v>
      </c>
      <c r="F10" s="84"/>
      <c r="G10" s="84"/>
      <c r="H10" s="84"/>
      <c r="I10" s="33">
        <v>1</v>
      </c>
      <c r="J10" s="33">
        <v>55</v>
      </c>
      <c r="K10" s="27">
        <v>4600</v>
      </c>
      <c r="L10" s="27">
        <f t="shared" si="0"/>
        <v>253000</v>
      </c>
      <c r="M10" s="138" t="s">
        <v>262</v>
      </c>
      <c r="N10" s="138" t="s">
        <v>263</v>
      </c>
      <c r="O10" s="58"/>
      <c r="P10" s="195"/>
    </row>
    <row r="11" spans="2:16" ht="19">
      <c r="B11" s="102"/>
      <c r="C11" s="33">
        <v>9</v>
      </c>
      <c r="D11" s="55" t="s">
        <v>34</v>
      </c>
      <c r="E11" s="33" t="s">
        <v>55</v>
      </c>
      <c r="F11" s="84"/>
      <c r="G11" s="84"/>
      <c r="H11" s="84"/>
      <c r="I11" s="33">
        <v>5</v>
      </c>
      <c r="J11" s="33">
        <v>55</v>
      </c>
      <c r="K11" s="27">
        <v>350</v>
      </c>
      <c r="L11" s="27">
        <f t="shared" si="0"/>
        <v>96250</v>
      </c>
      <c r="M11" s="138" t="s">
        <v>262</v>
      </c>
      <c r="N11" s="138" t="s">
        <v>263</v>
      </c>
      <c r="O11" s="58"/>
      <c r="P11" s="195"/>
    </row>
    <row r="12" spans="2:16" ht="19">
      <c r="B12" s="102"/>
      <c r="C12" s="33">
        <v>10</v>
      </c>
      <c r="D12" s="55" t="s">
        <v>35</v>
      </c>
      <c r="E12" s="33" t="s">
        <v>56</v>
      </c>
      <c r="F12" s="84"/>
      <c r="G12" s="84"/>
      <c r="H12" s="84"/>
      <c r="I12" s="33">
        <v>1</v>
      </c>
      <c r="J12" s="33">
        <v>55</v>
      </c>
      <c r="K12" s="27">
        <v>32300</v>
      </c>
      <c r="L12" s="27">
        <f t="shared" si="0"/>
        <v>1776500</v>
      </c>
      <c r="M12" s="138" t="s">
        <v>262</v>
      </c>
      <c r="N12" s="138" t="s">
        <v>264</v>
      </c>
      <c r="O12" s="58"/>
      <c r="P12" s="195"/>
    </row>
    <row r="13" spans="2:16" ht="19">
      <c r="B13" s="102"/>
      <c r="C13" s="33">
        <v>11</v>
      </c>
      <c r="D13" s="55" t="s">
        <v>36</v>
      </c>
      <c r="E13" s="33" t="s">
        <v>57</v>
      </c>
      <c r="F13" s="84"/>
      <c r="G13" s="84"/>
      <c r="H13" s="84"/>
      <c r="I13" s="33">
        <v>4</v>
      </c>
      <c r="J13" s="33">
        <v>55</v>
      </c>
      <c r="K13" s="27">
        <v>1300</v>
      </c>
      <c r="L13" s="27">
        <f t="shared" si="0"/>
        <v>286000</v>
      </c>
      <c r="M13" s="138" t="s">
        <v>262</v>
      </c>
      <c r="N13" s="138" t="s">
        <v>264</v>
      </c>
      <c r="O13" s="58"/>
      <c r="P13" s="195"/>
    </row>
    <row r="14" spans="2:16" ht="19">
      <c r="B14" s="102"/>
      <c r="C14" s="33">
        <v>12</v>
      </c>
      <c r="D14" s="55" t="s">
        <v>109</v>
      </c>
      <c r="E14" s="33" t="s">
        <v>110</v>
      </c>
      <c r="F14" s="84"/>
      <c r="G14" s="84"/>
      <c r="H14" s="84"/>
      <c r="I14" s="33">
        <v>1</v>
      </c>
      <c r="J14" s="33">
        <v>55</v>
      </c>
      <c r="K14" s="27">
        <v>14350</v>
      </c>
      <c r="L14" s="27">
        <f t="shared" si="0"/>
        <v>789250</v>
      </c>
      <c r="M14" s="138" t="s">
        <v>262</v>
      </c>
      <c r="N14" s="138" t="s">
        <v>269</v>
      </c>
      <c r="O14" s="58"/>
      <c r="P14" s="195"/>
    </row>
    <row r="15" spans="2:16" ht="19">
      <c r="B15" s="102"/>
      <c r="C15" s="33">
        <v>13</v>
      </c>
      <c r="D15" s="55" t="s">
        <v>36</v>
      </c>
      <c r="E15" s="33" t="s">
        <v>59</v>
      </c>
      <c r="F15" s="84"/>
      <c r="G15" s="84"/>
      <c r="H15" s="84"/>
      <c r="I15" s="47">
        <v>8</v>
      </c>
      <c r="J15" s="33">
        <v>55</v>
      </c>
      <c r="K15" s="27">
        <v>1250</v>
      </c>
      <c r="L15" s="27">
        <f t="shared" si="0"/>
        <v>550000</v>
      </c>
      <c r="M15" s="138" t="s">
        <v>262</v>
      </c>
      <c r="N15" s="138" t="s">
        <v>269</v>
      </c>
      <c r="O15" s="58"/>
      <c r="P15" s="195"/>
    </row>
    <row r="16" spans="2:16" ht="19">
      <c r="B16" s="102"/>
      <c r="C16" s="33">
        <v>14</v>
      </c>
      <c r="D16" s="55" t="s">
        <v>92</v>
      </c>
      <c r="E16" s="33" t="s">
        <v>93</v>
      </c>
      <c r="F16" s="84"/>
      <c r="G16" s="84"/>
      <c r="H16" s="84"/>
      <c r="I16" s="45">
        <v>1</v>
      </c>
      <c r="J16" s="33">
        <v>55</v>
      </c>
      <c r="K16" s="27">
        <v>1000</v>
      </c>
      <c r="L16" s="27">
        <f t="shared" si="0"/>
        <v>55000</v>
      </c>
      <c r="M16" s="138" t="s">
        <v>262</v>
      </c>
      <c r="N16" s="138" t="s">
        <v>274</v>
      </c>
      <c r="O16" s="58"/>
      <c r="P16" s="195"/>
    </row>
    <row r="17" spans="2:16" ht="38">
      <c r="B17" s="105"/>
      <c r="C17" s="44">
        <v>15</v>
      </c>
      <c r="D17" s="106" t="s">
        <v>111</v>
      </c>
      <c r="E17" s="33" t="s">
        <v>369</v>
      </c>
      <c r="F17" s="92"/>
      <c r="G17" s="92"/>
      <c r="H17" s="92"/>
      <c r="I17" s="107">
        <v>1</v>
      </c>
      <c r="J17" s="56">
        <v>55</v>
      </c>
      <c r="K17" s="27">
        <v>98000</v>
      </c>
      <c r="L17" s="27">
        <f t="shared" si="0"/>
        <v>5390000</v>
      </c>
      <c r="M17" s="135" t="s">
        <v>267</v>
      </c>
      <c r="N17" s="135" t="s">
        <v>268</v>
      </c>
      <c r="O17" s="28"/>
      <c r="P17" s="196"/>
    </row>
    <row r="18" spans="2:16" ht="19">
      <c r="B18" s="108"/>
      <c r="C18" s="45">
        <v>16</v>
      </c>
      <c r="D18" s="58" t="s">
        <v>39</v>
      </c>
      <c r="E18" s="45" t="s">
        <v>112</v>
      </c>
      <c r="F18" s="58"/>
      <c r="G18" s="58"/>
      <c r="H18" s="58"/>
      <c r="I18" s="28">
        <v>1</v>
      </c>
      <c r="J18" s="28">
        <v>51</v>
      </c>
      <c r="K18" s="27" t="s">
        <v>317</v>
      </c>
      <c r="L18" s="27" t="s">
        <v>317</v>
      </c>
      <c r="M18" s="28" t="s">
        <v>317</v>
      </c>
      <c r="N18" s="28" t="s">
        <v>317</v>
      </c>
      <c r="O18" s="28"/>
      <c r="P18" s="197"/>
    </row>
    <row r="19" spans="2:16">
      <c r="I19" s="109"/>
    </row>
    <row r="21" spans="2:16">
      <c r="B21" s="294" t="s">
        <v>202</v>
      </c>
      <c r="C21" s="28">
        <v>1</v>
      </c>
      <c r="D21" s="40" t="s">
        <v>207</v>
      </c>
      <c r="E21" s="40" t="s">
        <v>208</v>
      </c>
      <c r="F21" s="40"/>
      <c r="G21" s="40"/>
      <c r="H21" s="40"/>
      <c r="I21" s="40">
        <v>4</v>
      </c>
      <c r="J21" s="40">
        <v>75</v>
      </c>
      <c r="K21" s="27">
        <v>220</v>
      </c>
      <c r="L21" s="27">
        <f>J21*(K21*I21)</f>
        <v>66000</v>
      </c>
      <c r="M21" s="28" t="s">
        <v>262</v>
      </c>
      <c r="N21" s="28"/>
      <c r="O21" s="40"/>
      <c r="P21" s="40" t="s">
        <v>328</v>
      </c>
    </row>
    <row r="22" spans="2:16">
      <c r="B22" s="295"/>
      <c r="C22" s="28">
        <v>3</v>
      </c>
      <c r="D22" s="40" t="s">
        <v>233</v>
      </c>
      <c r="E22" s="40" t="s">
        <v>234</v>
      </c>
      <c r="F22" s="40"/>
      <c r="G22" s="40"/>
      <c r="H22" s="40"/>
      <c r="I22" s="40">
        <v>18</v>
      </c>
      <c r="J22" s="40">
        <v>55</v>
      </c>
      <c r="K22" s="27">
        <v>11</v>
      </c>
      <c r="L22" s="27">
        <f t="shared" ref="L22:L31" si="1">J22*(K22*I22)</f>
        <v>10890</v>
      </c>
      <c r="M22" s="28" t="s">
        <v>262</v>
      </c>
      <c r="N22" s="28"/>
      <c r="O22" s="40"/>
      <c r="P22" s="40" t="s">
        <v>255</v>
      </c>
    </row>
    <row r="23" spans="2:16">
      <c r="B23" s="295"/>
      <c r="C23" s="28">
        <v>4</v>
      </c>
      <c r="D23" s="40" t="s">
        <v>213</v>
      </c>
      <c r="E23" s="40" t="s">
        <v>227</v>
      </c>
      <c r="F23" s="40"/>
      <c r="G23" s="40"/>
      <c r="H23" s="40"/>
      <c r="I23" s="40">
        <v>1</v>
      </c>
      <c r="J23" s="40">
        <v>55</v>
      </c>
      <c r="K23" s="27">
        <v>70</v>
      </c>
      <c r="L23" s="27">
        <f t="shared" si="1"/>
        <v>3850</v>
      </c>
      <c r="M23" s="28" t="s">
        <v>262</v>
      </c>
      <c r="N23" s="28"/>
      <c r="O23" s="40"/>
      <c r="P23" s="40" t="s">
        <v>255</v>
      </c>
    </row>
    <row r="24" spans="2:16">
      <c r="B24" s="295"/>
      <c r="C24" s="28">
        <v>5</v>
      </c>
      <c r="D24" s="40" t="s">
        <v>213</v>
      </c>
      <c r="E24" s="40" t="s">
        <v>256</v>
      </c>
      <c r="F24" s="40"/>
      <c r="G24" s="40"/>
      <c r="H24" s="40"/>
      <c r="I24" s="40">
        <v>1</v>
      </c>
      <c r="J24" s="40">
        <v>55</v>
      </c>
      <c r="K24" s="27">
        <v>40</v>
      </c>
      <c r="L24" s="27">
        <f t="shared" si="1"/>
        <v>2200</v>
      </c>
      <c r="M24" s="28" t="s">
        <v>262</v>
      </c>
      <c r="N24" s="28"/>
      <c r="O24" s="40"/>
      <c r="P24" s="40" t="s">
        <v>255</v>
      </c>
    </row>
    <row r="25" spans="2:16">
      <c r="B25" s="295"/>
      <c r="C25" s="28">
        <v>6</v>
      </c>
      <c r="D25" s="40" t="s">
        <v>213</v>
      </c>
      <c r="E25" s="40" t="s">
        <v>226</v>
      </c>
      <c r="F25" s="40"/>
      <c r="G25" s="40"/>
      <c r="H25" s="40"/>
      <c r="I25" s="40">
        <v>1</v>
      </c>
      <c r="J25" s="40">
        <v>55</v>
      </c>
      <c r="K25" s="27">
        <v>50</v>
      </c>
      <c r="L25" s="27">
        <f t="shared" si="1"/>
        <v>2750</v>
      </c>
      <c r="M25" s="28" t="s">
        <v>262</v>
      </c>
      <c r="N25" s="28"/>
      <c r="O25" s="40"/>
      <c r="P25" s="40" t="s">
        <v>255</v>
      </c>
    </row>
    <row r="26" spans="2:16">
      <c r="B26" s="295"/>
      <c r="C26" s="28">
        <v>7</v>
      </c>
      <c r="D26" s="40" t="s">
        <v>213</v>
      </c>
      <c r="E26" s="40" t="s">
        <v>232</v>
      </c>
      <c r="F26" s="40"/>
      <c r="G26" s="40"/>
      <c r="H26" s="40"/>
      <c r="I26" s="40">
        <v>1</v>
      </c>
      <c r="J26" s="40">
        <v>55</v>
      </c>
      <c r="K26" s="27">
        <v>200</v>
      </c>
      <c r="L26" s="27">
        <f t="shared" si="1"/>
        <v>11000</v>
      </c>
      <c r="M26" s="28" t="s">
        <v>262</v>
      </c>
      <c r="N26" s="28"/>
      <c r="O26" s="40"/>
      <c r="P26" s="40" t="s">
        <v>255</v>
      </c>
    </row>
    <row r="27" spans="2:16">
      <c r="B27" s="295"/>
      <c r="C27" s="28">
        <v>8</v>
      </c>
      <c r="D27" s="40" t="s">
        <v>213</v>
      </c>
      <c r="E27" s="40" t="s">
        <v>228</v>
      </c>
      <c r="F27" s="40"/>
      <c r="G27" s="40"/>
      <c r="H27" s="40"/>
      <c r="I27" s="40">
        <v>1</v>
      </c>
      <c r="J27" s="40">
        <v>55</v>
      </c>
      <c r="K27" s="27">
        <v>80</v>
      </c>
      <c r="L27" s="27">
        <f t="shared" si="1"/>
        <v>4400</v>
      </c>
      <c r="M27" s="28" t="s">
        <v>262</v>
      </c>
      <c r="N27" s="28"/>
      <c r="O27" s="40"/>
      <c r="P27" s="40" t="s">
        <v>255</v>
      </c>
    </row>
    <row r="28" spans="2:16">
      <c r="B28" s="295"/>
      <c r="C28" s="28">
        <v>9</v>
      </c>
      <c r="D28" s="40" t="s">
        <v>213</v>
      </c>
      <c r="E28" s="40">
        <v>22011052</v>
      </c>
      <c r="F28" s="40"/>
      <c r="G28" s="40"/>
      <c r="H28" s="40"/>
      <c r="I28" s="40">
        <v>1</v>
      </c>
      <c r="J28" s="40">
        <v>55</v>
      </c>
      <c r="K28" s="27">
        <v>60</v>
      </c>
      <c r="L28" s="27">
        <f t="shared" si="1"/>
        <v>3300</v>
      </c>
      <c r="M28" s="28" t="s">
        <v>262</v>
      </c>
      <c r="N28" s="28"/>
      <c r="O28" s="40"/>
      <c r="P28" s="40" t="s">
        <v>255</v>
      </c>
    </row>
    <row r="29" spans="2:16">
      <c r="B29" s="295"/>
      <c r="C29" s="28">
        <v>10</v>
      </c>
      <c r="D29" s="40" t="s">
        <v>233</v>
      </c>
      <c r="E29" s="40" t="s">
        <v>239</v>
      </c>
      <c r="F29" s="40"/>
      <c r="G29" s="40"/>
      <c r="H29" s="40"/>
      <c r="I29" s="40">
        <v>5</v>
      </c>
      <c r="J29" s="40">
        <v>55</v>
      </c>
      <c r="K29" s="27">
        <v>25</v>
      </c>
      <c r="L29" s="27">
        <f t="shared" si="1"/>
        <v>6875</v>
      </c>
      <c r="M29" s="28" t="s">
        <v>262</v>
      </c>
      <c r="N29" s="28"/>
      <c r="O29" s="40"/>
      <c r="P29" s="40" t="s">
        <v>255</v>
      </c>
    </row>
    <row r="30" spans="2:16">
      <c r="B30" s="295"/>
      <c r="C30" s="28">
        <v>11</v>
      </c>
      <c r="D30" s="40" t="s">
        <v>213</v>
      </c>
      <c r="E30" s="40" t="s">
        <v>235</v>
      </c>
      <c r="F30" s="40"/>
      <c r="G30" s="40"/>
      <c r="H30" s="40"/>
      <c r="I30" s="40">
        <v>1</v>
      </c>
      <c r="J30" s="40">
        <v>55</v>
      </c>
      <c r="K30" s="27">
        <v>45</v>
      </c>
      <c r="L30" s="27">
        <f t="shared" si="1"/>
        <v>2475</v>
      </c>
      <c r="M30" s="28" t="s">
        <v>262</v>
      </c>
      <c r="N30" s="28"/>
      <c r="O30" s="40"/>
      <c r="P30" s="40" t="s">
        <v>257</v>
      </c>
    </row>
    <row r="31" spans="2:16">
      <c r="B31" s="295"/>
      <c r="C31" s="28">
        <v>12</v>
      </c>
      <c r="D31" s="40" t="s">
        <v>233</v>
      </c>
      <c r="E31" s="40" t="s">
        <v>236</v>
      </c>
      <c r="F31" s="40"/>
      <c r="G31" s="40"/>
      <c r="H31" s="40"/>
      <c r="I31" s="40">
        <v>2</v>
      </c>
      <c r="J31" s="40">
        <v>55</v>
      </c>
      <c r="K31" s="27">
        <v>25</v>
      </c>
      <c r="L31" s="27">
        <f t="shared" si="1"/>
        <v>2750</v>
      </c>
      <c r="M31" s="28" t="s">
        <v>262</v>
      </c>
      <c r="N31" s="28"/>
      <c r="O31" s="40"/>
      <c r="P31" s="40" t="s">
        <v>257</v>
      </c>
    </row>
    <row r="32" spans="2:16">
      <c r="L32" s="31">
        <f>SUM(L21:L31)</f>
        <v>116490</v>
      </c>
    </row>
  </sheetData>
  <mergeCells count="1">
    <mergeCell ref="B21:B3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ED3C-AE7C-44FE-8DB2-8DA5533D9196}">
  <dimension ref="B1:P38"/>
  <sheetViews>
    <sheetView workbookViewId="0">
      <pane ySplit="1" topLeftCell="A13" activePane="bottomLeft" state="frozen"/>
      <selection pane="bottomLeft" activeCell="M45" sqref="M45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6.796875" style="32" bestFit="1" customWidth="1"/>
    <col min="4" max="4" width="33.19921875" style="32" bestFit="1" customWidth="1"/>
    <col min="5" max="5" width="22.5976562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59765625" style="32" customWidth="1"/>
    <col min="16" max="16" width="33.5976562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5</v>
      </c>
      <c r="C2" s="33" t="s">
        <v>8</v>
      </c>
      <c r="D2" s="55"/>
      <c r="E2" s="33" t="s">
        <v>7</v>
      </c>
      <c r="F2" s="23"/>
      <c r="G2" s="23"/>
      <c r="H2" s="23"/>
      <c r="I2" s="34"/>
      <c r="J2" s="34"/>
      <c r="K2" s="51"/>
      <c r="L2" s="51"/>
      <c r="M2" s="53"/>
      <c r="N2" s="53"/>
      <c r="O2" s="51"/>
      <c r="P2" s="54"/>
    </row>
    <row r="3" spans="2:16" ht="19">
      <c r="B3" s="102"/>
      <c r="C3" s="33">
        <v>1</v>
      </c>
      <c r="D3" s="55" t="s">
        <v>113</v>
      </c>
      <c r="E3" s="33" t="s">
        <v>114</v>
      </c>
      <c r="F3" s="84">
        <v>240401</v>
      </c>
      <c r="G3" s="84"/>
      <c r="H3" s="84"/>
      <c r="I3" s="111">
        <v>1</v>
      </c>
      <c r="J3" s="112">
        <v>41</v>
      </c>
      <c r="K3" s="27">
        <v>677500</v>
      </c>
      <c r="L3" s="27">
        <f>J3*(K3*I3)</f>
        <v>27777500</v>
      </c>
      <c r="M3" s="138" t="s">
        <v>181</v>
      </c>
      <c r="N3" s="138" t="s">
        <v>181</v>
      </c>
      <c r="O3" s="104" t="s">
        <v>170</v>
      </c>
      <c r="P3" s="54"/>
    </row>
    <row r="4" spans="2:16" ht="19">
      <c r="B4" s="102"/>
      <c r="C4" s="33">
        <v>2</v>
      </c>
      <c r="D4" s="55" t="s">
        <v>115</v>
      </c>
      <c r="E4" s="33" t="s">
        <v>116</v>
      </c>
      <c r="F4" s="84"/>
      <c r="G4" s="84"/>
      <c r="H4" s="84"/>
      <c r="I4" s="33">
        <v>1</v>
      </c>
      <c r="J4" s="112">
        <v>41</v>
      </c>
      <c r="K4" s="27" t="s">
        <v>317</v>
      </c>
      <c r="L4" s="27" t="s">
        <v>317</v>
      </c>
      <c r="M4" s="138" t="s">
        <v>181</v>
      </c>
      <c r="N4" s="138" t="s">
        <v>181</v>
      </c>
      <c r="O4" s="55"/>
      <c r="P4" s="54"/>
    </row>
    <row r="5" spans="2:16" ht="19">
      <c r="B5" s="102"/>
      <c r="C5" s="33">
        <v>3</v>
      </c>
      <c r="D5" s="55" t="s">
        <v>117</v>
      </c>
      <c r="E5" s="33" t="s">
        <v>118</v>
      </c>
      <c r="F5" s="84"/>
      <c r="G5" s="84"/>
      <c r="H5" s="84"/>
      <c r="I5" s="33">
        <v>1</v>
      </c>
      <c r="J5" s="112">
        <v>41</v>
      </c>
      <c r="K5" s="27" t="s">
        <v>317</v>
      </c>
      <c r="L5" s="27" t="s">
        <v>317</v>
      </c>
      <c r="M5" s="138" t="s">
        <v>181</v>
      </c>
      <c r="N5" s="138" t="s">
        <v>181</v>
      </c>
      <c r="O5" s="55"/>
      <c r="P5" s="54"/>
    </row>
    <row r="6" spans="2:16" ht="19">
      <c r="B6" s="102"/>
      <c r="C6" s="33">
        <v>4</v>
      </c>
      <c r="D6" s="55" t="s">
        <v>119</v>
      </c>
      <c r="E6" s="33" t="s">
        <v>120</v>
      </c>
      <c r="F6" s="84"/>
      <c r="G6" s="84"/>
      <c r="H6" s="84"/>
      <c r="I6" s="33">
        <v>1</v>
      </c>
      <c r="J6" s="33">
        <v>60</v>
      </c>
      <c r="K6" s="27">
        <v>202000</v>
      </c>
      <c r="L6" s="27">
        <f t="shared" ref="L6:L19" si="0">J6*(K6*I6)</f>
        <v>12120000</v>
      </c>
      <c r="M6" s="138" t="s">
        <v>262</v>
      </c>
      <c r="N6" s="138" t="s">
        <v>277</v>
      </c>
      <c r="O6" s="55"/>
      <c r="P6" s="66" t="s">
        <v>209</v>
      </c>
    </row>
    <row r="7" spans="2:16" ht="19">
      <c r="B7" s="102"/>
      <c r="C7" s="33">
        <v>5</v>
      </c>
      <c r="D7" s="55" t="s">
        <v>121</v>
      </c>
      <c r="E7" s="33" t="s">
        <v>122</v>
      </c>
      <c r="F7" s="84"/>
      <c r="G7" s="84"/>
      <c r="H7" s="84"/>
      <c r="I7" s="33">
        <v>1</v>
      </c>
      <c r="J7" s="112">
        <v>41</v>
      </c>
      <c r="K7" s="27" t="s">
        <v>317</v>
      </c>
      <c r="L7" s="27" t="s">
        <v>317</v>
      </c>
      <c r="M7" s="138" t="s">
        <v>181</v>
      </c>
      <c r="N7" s="138" t="s">
        <v>181</v>
      </c>
      <c r="O7" s="55"/>
      <c r="P7" s="54"/>
    </row>
    <row r="8" spans="2:16" ht="19">
      <c r="B8" s="102"/>
      <c r="C8" s="33">
        <v>6</v>
      </c>
      <c r="D8" s="55" t="s">
        <v>24</v>
      </c>
      <c r="E8" s="33" t="s">
        <v>123</v>
      </c>
      <c r="F8" s="84"/>
      <c r="G8" s="84"/>
      <c r="H8" s="84"/>
      <c r="I8" s="33">
        <v>1</v>
      </c>
      <c r="J8" s="112">
        <v>41</v>
      </c>
      <c r="K8" s="27" t="s">
        <v>317</v>
      </c>
      <c r="L8" s="27" t="s">
        <v>317</v>
      </c>
      <c r="M8" s="138" t="s">
        <v>181</v>
      </c>
      <c r="N8" s="138" t="s">
        <v>181</v>
      </c>
      <c r="O8" s="55"/>
      <c r="P8" s="54"/>
    </row>
    <row r="9" spans="2:16" ht="19">
      <c r="B9" s="102"/>
      <c r="C9" s="33">
        <v>7</v>
      </c>
      <c r="D9" s="55" t="s">
        <v>89</v>
      </c>
      <c r="E9" s="33" t="s">
        <v>124</v>
      </c>
      <c r="F9" s="84"/>
      <c r="G9" s="84"/>
      <c r="H9" s="84"/>
      <c r="I9" s="33">
        <v>1</v>
      </c>
      <c r="J9" s="112">
        <v>41</v>
      </c>
      <c r="K9" s="27">
        <v>550000</v>
      </c>
      <c r="L9" s="27">
        <f t="shared" si="0"/>
        <v>22550000</v>
      </c>
      <c r="M9" s="140" t="s">
        <v>362</v>
      </c>
      <c r="N9" s="140" t="s">
        <v>362</v>
      </c>
      <c r="O9" s="55"/>
      <c r="P9" s="54"/>
    </row>
    <row r="10" spans="2:16" ht="19">
      <c r="B10" s="102"/>
      <c r="C10" s="33">
        <v>8</v>
      </c>
      <c r="D10" s="55" t="s">
        <v>31</v>
      </c>
      <c r="E10" s="33" t="s">
        <v>105</v>
      </c>
      <c r="F10" s="84">
        <v>240401</v>
      </c>
      <c r="G10" s="84"/>
      <c r="H10" s="84"/>
      <c r="I10" s="33">
        <v>1</v>
      </c>
      <c r="J10" s="33">
        <v>45</v>
      </c>
      <c r="K10" s="27">
        <v>89000</v>
      </c>
      <c r="L10" s="27">
        <f t="shared" si="0"/>
        <v>4005000</v>
      </c>
      <c r="M10" s="135" t="s">
        <v>182</v>
      </c>
      <c r="N10" s="135" t="s">
        <v>182</v>
      </c>
      <c r="O10" s="111" t="s">
        <v>172</v>
      </c>
      <c r="P10" s="54"/>
    </row>
    <row r="11" spans="2:16" ht="19">
      <c r="B11" s="102"/>
      <c r="C11" s="33">
        <v>9</v>
      </c>
      <c r="D11" s="55" t="s">
        <v>33</v>
      </c>
      <c r="E11" s="33" t="s">
        <v>53</v>
      </c>
      <c r="F11" s="84"/>
      <c r="G11" s="84"/>
      <c r="H11" s="84"/>
      <c r="I11" s="33">
        <v>1</v>
      </c>
      <c r="J11" s="33">
        <v>45</v>
      </c>
      <c r="K11" s="113">
        <v>2800</v>
      </c>
      <c r="L11" s="27">
        <f t="shared" si="0"/>
        <v>126000</v>
      </c>
      <c r="M11" s="138" t="s">
        <v>262</v>
      </c>
      <c r="N11" s="138" t="s">
        <v>263</v>
      </c>
      <c r="O11" s="55"/>
      <c r="P11" s="54"/>
    </row>
    <row r="12" spans="2:16" ht="19">
      <c r="B12" s="102"/>
      <c r="C12" s="33">
        <v>10</v>
      </c>
      <c r="D12" s="55" t="s">
        <v>34</v>
      </c>
      <c r="E12" s="33" t="s">
        <v>55</v>
      </c>
      <c r="F12" s="84"/>
      <c r="G12" s="84"/>
      <c r="H12" s="84"/>
      <c r="I12" s="33">
        <v>1</v>
      </c>
      <c r="J12" s="33">
        <v>45</v>
      </c>
      <c r="K12" s="114">
        <v>350</v>
      </c>
      <c r="L12" s="27">
        <f t="shared" si="0"/>
        <v>15750</v>
      </c>
      <c r="M12" s="138" t="s">
        <v>262</v>
      </c>
      <c r="N12" s="138" t="s">
        <v>263</v>
      </c>
      <c r="O12" s="55"/>
      <c r="P12" s="54"/>
    </row>
    <row r="13" spans="2:16" ht="19">
      <c r="B13" s="102"/>
      <c r="C13" s="33">
        <v>11</v>
      </c>
      <c r="D13" s="55" t="s">
        <v>125</v>
      </c>
      <c r="E13" s="33" t="s">
        <v>56</v>
      </c>
      <c r="F13" s="84"/>
      <c r="G13" s="84"/>
      <c r="H13" s="84"/>
      <c r="I13" s="33">
        <v>1</v>
      </c>
      <c r="J13" s="33">
        <v>45</v>
      </c>
      <c r="K13" s="114">
        <v>32300</v>
      </c>
      <c r="L13" s="27">
        <f t="shared" si="0"/>
        <v>1453500</v>
      </c>
      <c r="M13" s="138" t="s">
        <v>262</v>
      </c>
      <c r="N13" s="138" t="s">
        <v>264</v>
      </c>
      <c r="O13" s="55"/>
      <c r="P13" s="54"/>
    </row>
    <row r="14" spans="2:16" ht="19">
      <c r="B14" s="102"/>
      <c r="C14" s="33">
        <v>12</v>
      </c>
      <c r="D14" s="55" t="s">
        <v>36</v>
      </c>
      <c r="E14" s="33" t="s">
        <v>57</v>
      </c>
      <c r="F14" s="84"/>
      <c r="G14" s="84"/>
      <c r="H14" s="84"/>
      <c r="I14" s="33">
        <v>4</v>
      </c>
      <c r="J14" s="33">
        <v>45</v>
      </c>
      <c r="K14" s="114">
        <v>1300</v>
      </c>
      <c r="L14" s="27">
        <f t="shared" si="0"/>
        <v>234000</v>
      </c>
      <c r="M14" s="138" t="s">
        <v>262</v>
      </c>
      <c r="N14" s="138" t="s">
        <v>264</v>
      </c>
      <c r="O14" s="55"/>
      <c r="P14" s="54"/>
    </row>
    <row r="15" spans="2:16" ht="19">
      <c r="B15" s="102"/>
      <c r="C15" s="33">
        <v>13</v>
      </c>
      <c r="D15" s="55" t="s">
        <v>92</v>
      </c>
      <c r="E15" s="33" t="s">
        <v>93</v>
      </c>
      <c r="F15" s="84"/>
      <c r="G15" s="84"/>
      <c r="H15" s="84"/>
      <c r="I15" s="33">
        <v>1</v>
      </c>
      <c r="J15" s="33">
        <v>45</v>
      </c>
      <c r="K15" s="27">
        <v>1000</v>
      </c>
      <c r="L15" s="27">
        <f t="shared" si="0"/>
        <v>45000</v>
      </c>
      <c r="M15" s="138" t="s">
        <v>262</v>
      </c>
      <c r="N15" s="138" t="s">
        <v>274</v>
      </c>
      <c r="O15" s="55"/>
      <c r="P15" s="54"/>
    </row>
    <row r="16" spans="2:16" ht="19">
      <c r="B16" s="102"/>
      <c r="C16" s="33">
        <v>14</v>
      </c>
      <c r="D16" s="55" t="s">
        <v>126</v>
      </c>
      <c r="E16" s="33" t="s">
        <v>127</v>
      </c>
      <c r="F16" s="84"/>
      <c r="G16" s="84"/>
      <c r="H16" s="84"/>
      <c r="I16" s="33">
        <v>1</v>
      </c>
      <c r="J16" s="33">
        <v>45</v>
      </c>
      <c r="K16" s="27">
        <v>50000</v>
      </c>
      <c r="L16" s="27">
        <f t="shared" si="0"/>
        <v>2250000</v>
      </c>
      <c r="M16" s="153" t="s">
        <v>273</v>
      </c>
      <c r="N16" s="153" t="s">
        <v>273</v>
      </c>
      <c r="O16" s="55"/>
      <c r="P16" s="54"/>
    </row>
    <row r="17" spans="2:16" ht="19">
      <c r="B17" s="102"/>
      <c r="C17" s="33">
        <v>15</v>
      </c>
      <c r="D17" s="55" t="s">
        <v>128</v>
      </c>
      <c r="E17" s="33" t="s">
        <v>129</v>
      </c>
      <c r="F17" s="84"/>
      <c r="G17" s="84"/>
      <c r="H17" s="84"/>
      <c r="I17" s="62">
        <v>1</v>
      </c>
      <c r="J17" s="33">
        <v>60</v>
      </c>
      <c r="K17" s="62" t="s">
        <v>317</v>
      </c>
      <c r="L17" s="27" t="s">
        <v>317</v>
      </c>
      <c r="M17" s="138" t="s">
        <v>262</v>
      </c>
      <c r="N17" s="138" t="s">
        <v>262</v>
      </c>
      <c r="O17" s="62"/>
      <c r="P17" s="66" t="s">
        <v>212</v>
      </c>
    </row>
    <row r="18" spans="2:16" ht="19">
      <c r="B18" s="105"/>
      <c r="C18" s="33">
        <v>16</v>
      </c>
      <c r="D18" s="52" t="s">
        <v>39</v>
      </c>
      <c r="E18" s="47" t="s">
        <v>130</v>
      </c>
      <c r="F18" s="92"/>
      <c r="G18" s="92"/>
      <c r="H18" s="92"/>
      <c r="I18" s="56">
        <v>1</v>
      </c>
      <c r="J18" s="33">
        <v>45</v>
      </c>
      <c r="K18" s="56" t="s">
        <v>317</v>
      </c>
      <c r="L18" s="27" t="s">
        <v>317</v>
      </c>
      <c r="M18" s="135" t="s">
        <v>317</v>
      </c>
      <c r="N18" s="135" t="s">
        <v>317</v>
      </c>
      <c r="O18" s="56"/>
      <c r="P18" s="57"/>
    </row>
    <row r="19" spans="2:16" ht="19">
      <c r="B19" s="108"/>
      <c r="C19" s="48">
        <v>17</v>
      </c>
      <c r="D19" s="67" t="s">
        <v>210</v>
      </c>
      <c r="E19" s="67" t="s">
        <v>211</v>
      </c>
      <c r="F19" s="93"/>
      <c r="G19" s="93"/>
      <c r="H19" s="93"/>
      <c r="I19" s="67">
        <v>1</v>
      </c>
      <c r="J19" s="48">
        <v>50</v>
      </c>
      <c r="K19" s="115">
        <v>45500</v>
      </c>
      <c r="L19" s="115">
        <f t="shared" si="0"/>
        <v>2275000</v>
      </c>
      <c r="M19" s="149" t="s">
        <v>358</v>
      </c>
      <c r="N19" s="149" t="s">
        <v>358</v>
      </c>
      <c r="O19" s="67" t="s">
        <v>331</v>
      </c>
      <c r="P19" s="89" t="s">
        <v>333</v>
      </c>
    </row>
    <row r="20" spans="2:16">
      <c r="G20" s="116"/>
      <c r="L20" s="117">
        <f>SUM(L3:L19)</f>
        <v>72851750</v>
      </c>
    </row>
    <row r="26" spans="2:16">
      <c r="B26" s="296" t="s">
        <v>214</v>
      </c>
      <c r="C26" s="40">
        <v>1</v>
      </c>
      <c r="D26" s="40" t="s">
        <v>330</v>
      </c>
      <c r="E26" s="40"/>
      <c r="F26" s="40"/>
      <c r="G26" s="40"/>
      <c r="H26" s="40"/>
      <c r="I26" s="40">
        <v>1</v>
      </c>
      <c r="J26" s="40">
        <v>1</v>
      </c>
      <c r="K26" s="40"/>
      <c r="L26" s="27">
        <v>1825000</v>
      </c>
      <c r="M26" s="40" t="s">
        <v>289</v>
      </c>
      <c r="N26" s="40"/>
      <c r="O26" s="40"/>
      <c r="P26" s="89" t="s">
        <v>333</v>
      </c>
    </row>
    <row r="27" spans="2:16">
      <c r="B27" s="297"/>
      <c r="C27" s="40">
        <v>2</v>
      </c>
      <c r="D27" s="40" t="s">
        <v>260</v>
      </c>
      <c r="E27" s="40" t="s">
        <v>359</v>
      </c>
      <c r="F27" s="40"/>
      <c r="G27" s="40"/>
      <c r="H27" s="40"/>
      <c r="I27" s="40">
        <v>1</v>
      </c>
      <c r="J27" s="40">
        <v>60</v>
      </c>
      <c r="K27" s="114">
        <v>5000</v>
      </c>
      <c r="L27" s="27">
        <f t="shared" ref="L27:L37" si="1">J27*(K27*I27)</f>
        <v>300000</v>
      </c>
      <c r="M27" s="28" t="s">
        <v>357</v>
      </c>
      <c r="N27" s="28"/>
      <c r="O27" s="40"/>
      <c r="P27" s="89" t="s">
        <v>333</v>
      </c>
    </row>
    <row r="28" spans="2:16">
      <c r="B28" s="297"/>
      <c r="C28" s="40">
        <v>3</v>
      </c>
      <c r="D28" s="40" t="s">
        <v>233</v>
      </c>
      <c r="E28" s="40" t="s">
        <v>244</v>
      </c>
      <c r="F28" s="40"/>
      <c r="G28" s="40"/>
      <c r="H28" s="40"/>
      <c r="I28" s="40">
        <v>4</v>
      </c>
      <c r="J28" s="40">
        <v>45</v>
      </c>
      <c r="K28" s="114">
        <v>25</v>
      </c>
      <c r="L28" s="27">
        <f t="shared" si="1"/>
        <v>4500</v>
      </c>
      <c r="M28" s="28" t="s">
        <v>262</v>
      </c>
      <c r="N28" s="28"/>
      <c r="O28" s="40"/>
      <c r="P28" s="40"/>
    </row>
    <row r="29" spans="2:16">
      <c r="B29" s="297"/>
      <c r="C29" s="40">
        <v>4</v>
      </c>
      <c r="D29" s="40" t="s">
        <v>213</v>
      </c>
      <c r="E29" s="40" t="s">
        <v>258</v>
      </c>
      <c r="F29" s="40"/>
      <c r="G29" s="40"/>
      <c r="H29" s="40"/>
      <c r="I29" s="40">
        <v>1</v>
      </c>
      <c r="J29" s="40">
        <v>45</v>
      </c>
      <c r="K29" s="114">
        <v>90</v>
      </c>
      <c r="L29" s="27">
        <f t="shared" si="1"/>
        <v>4050</v>
      </c>
      <c r="M29" s="28" t="s">
        <v>262</v>
      </c>
      <c r="N29" s="28"/>
      <c r="O29" s="40"/>
      <c r="P29" s="40"/>
    </row>
    <row r="30" spans="2:16">
      <c r="B30" s="297"/>
      <c r="C30" s="40">
        <v>5</v>
      </c>
      <c r="D30" s="40" t="s">
        <v>233</v>
      </c>
      <c r="E30" s="40" t="s">
        <v>313</v>
      </c>
      <c r="F30" s="40"/>
      <c r="G30" s="40"/>
      <c r="H30" s="40"/>
      <c r="I30" s="40">
        <v>20</v>
      </c>
      <c r="J30" s="40">
        <v>45</v>
      </c>
      <c r="K30" s="114">
        <v>11</v>
      </c>
      <c r="L30" s="27">
        <f t="shared" si="1"/>
        <v>9900</v>
      </c>
      <c r="M30" s="28" t="s">
        <v>262</v>
      </c>
      <c r="N30" s="28"/>
      <c r="O30" s="40"/>
      <c r="P30" s="40"/>
    </row>
    <row r="31" spans="2:16">
      <c r="B31" s="297"/>
      <c r="C31" s="40">
        <v>6</v>
      </c>
      <c r="D31" s="40" t="s">
        <v>213</v>
      </c>
      <c r="E31" s="40" t="s">
        <v>226</v>
      </c>
      <c r="F31" s="40"/>
      <c r="G31" s="40"/>
      <c r="H31" s="40"/>
      <c r="I31" s="40">
        <v>1</v>
      </c>
      <c r="J31" s="40">
        <v>45</v>
      </c>
      <c r="K31" s="114">
        <v>50</v>
      </c>
      <c r="L31" s="27">
        <f t="shared" si="1"/>
        <v>2250</v>
      </c>
      <c r="M31" s="28" t="s">
        <v>262</v>
      </c>
      <c r="N31" s="28"/>
      <c r="O31" s="40"/>
      <c r="P31" s="40"/>
    </row>
    <row r="32" spans="2:16">
      <c r="B32" s="297"/>
      <c r="C32" s="40">
        <v>7</v>
      </c>
      <c r="D32" s="40" t="s">
        <v>233</v>
      </c>
      <c r="E32" s="40" t="s">
        <v>239</v>
      </c>
      <c r="F32" s="40"/>
      <c r="G32" s="40"/>
      <c r="H32" s="40"/>
      <c r="I32" s="40">
        <v>4</v>
      </c>
      <c r="J32" s="40">
        <v>45</v>
      </c>
      <c r="K32" s="114">
        <v>60</v>
      </c>
      <c r="L32" s="27">
        <f t="shared" si="1"/>
        <v>10800</v>
      </c>
      <c r="M32" s="28" t="s">
        <v>262</v>
      </c>
      <c r="N32" s="28"/>
      <c r="O32" s="40"/>
      <c r="P32" s="40"/>
    </row>
    <row r="33" spans="2:16">
      <c r="B33" s="297"/>
      <c r="C33" s="40">
        <v>8</v>
      </c>
      <c r="D33" s="40" t="s">
        <v>213</v>
      </c>
      <c r="E33" s="40" t="s">
        <v>259</v>
      </c>
      <c r="F33" s="40"/>
      <c r="G33" s="40"/>
      <c r="H33" s="40"/>
      <c r="I33" s="40">
        <v>1</v>
      </c>
      <c r="J33" s="40">
        <v>45</v>
      </c>
      <c r="K33" s="114">
        <v>60</v>
      </c>
      <c r="L33" s="27">
        <f t="shared" si="1"/>
        <v>2700</v>
      </c>
      <c r="M33" s="28" t="s">
        <v>262</v>
      </c>
      <c r="N33" s="28"/>
      <c r="O33" s="40"/>
      <c r="P33" s="40"/>
    </row>
    <row r="34" spans="2:16">
      <c r="B34" s="297"/>
      <c r="C34" s="40">
        <v>9</v>
      </c>
      <c r="D34" s="40" t="s">
        <v>233</v>
      </c>
      <c r="E34" s="40" t="s">
        <v>236</v>
      </c>
      <c r="F34" s="40"/>
      <c r="G34" s="40"/>
      <c r="H34" s="40"/>
      <c r="I34" s="40">
        <v>5</v>
      </c>
      <c r="J34" s="40">
        <v>45</v>
      </c>
      <c r="K34" s="114">
        <v>25</v>
      </c>
      <c r="L34" s="27">
        <f t="shared" si="1"/>
        <v>5625</v>
      </c>
      <c r="M34" s="28" t="s">
        <v>262</v>
      </c>
      <c r="N34" s="28"/>
      <c r="O34" s="40"/>
      <c r="P34" s="40"/>
    </row>
    <row r="35" spans="2:16">
      <c r="B35" s="297"/>
      <c r="C35" s="40">
        <v>10</v>
      </c>
      <c r="D35" s="40" t="s">
        <v>213</v>
      </c>
      <c r="E35" s="40" t="s">
        <v>235</v>
      </c>
      <c r="F35" s="40"/>
      <c r="G35" s="40"/>
      <c r="H35" s="40"/>
      <c r="I35" s="40">
        <v>1</v>
      </c>
      <c r="J35" s="40">
        <v>45</v>
      </c>
      <c r="K35" s="114">
        <v>45</v>
      </c>
      <c r="L35" s="27">
        <f t="shared" si="1"/>
        <v>2025</v>
      </c>
      <c r="M35" s="28" t="s">
        <v>262</v>
      </c>
      <c r="N35" s="28"/>
      <c r="O35" s="40"/>
      <c r="P35" s="40"/>
    </row>
    <row r="36" spans="2:16">
      <c r="B36" s="297"/>
      <c r="C36" s="40">
        <v>11</v>
      </c>
      <c r="D36" s="40" t="s">
        <v>238</v>
      </c>
      <c r="E36" s="40" t="s">
        <v>227</v>
      </c>
      <c r="F36" s="40"/>
      <c r="G36" s="40"/>
      <c r="H36" s="40"/>
      <c r="I36" s="40">
        <v>2</v>
      </c>
      <c r="J36" s="40">
        <v>45</v>
      </c>
      <c r="K36" s="114">
        <v>70</v>
      </c>
      <c r="L36" s="27">
        <f t="shared" si="1"/>
        <v>6300</v>
      </c>
      <c r="M36" s="28" t="s">
        <v>262</v>
      </c>
      <c r="N36" s="28"/>
      <c r="O36" s="40"/>
      <c r="P36" s="40"/>
    </row>
    <row r="37" spans="2:16">
      <c r="B37" s="298"/>
      <c r="C37" s="40">
        <v>12</v>
      </c>
      <c r="D37" s="40" t="s">
        <v>238</v>
      </c>
      <c r="E37" s="40" t="s">
        <v>228</v>
      </c>
      <c r="F37" s="40"/>
      <c r="G37" s="40"/>
      <c r="H37" s="40"/>
      <c r="I37" s="40">
        <v>1</v>
      </c>
      <c r="J37" s="40">
        <v>45</v>
      </c>
      <c r="K37" s="114">
        <v>80</v>
      </c>
      <c r="L37" s="27">
        <f t="shared" si="1"/>
        <v>3600</v>
      </c>
      <c r="M37" s="28" t="s">
        <v>262</v>
      </c>
      <c r="N37" s="28"/>
      <c r="O37" s="40"/>
      <c r="P37" s="40"/>
    </row>
    <row r="38" spans="2:16">
      <c r="L38" s="31">
        <f>SUM(L28:L37)</f>
        <v>51750</v>
      </c>
    </row>
  </sheetData>
  <mergeCells count="1">
    <mergeCell ref="B26:B3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F836-35D8-44DF-AC66-748419E6038C}">
  <dimension ref="B1:P36"/>
  <sheetViews>
    <sheetView workbookViewId="0">
      <pane ySplit="1" topLeftCell="A2" activePane="bottomLeft" state="frozen"/>
      <selection pane="bottomLeft" activeCell="V16" sqref="V16"/>
    </sheetView>
  </sheetViews>
  <sheetFormatPr baseColWidth="10" defaultColWidth="9.3984375" defaultRowHeight="18"/>
  <cols>
    <col min="1" max="1" width="5" style="21" customWidth="1"/>
    <col min="2" max="2" width="7.59765625" style="21" bestFit="1" customWidth="1"/>
    <col min="3" max="3" width="6.796875" style="21" bestFit="1" customWidth="1"/>
    <col min="4" max="4" width="24.3984375" style="21" bestFit="1" customWidth="1"/>
    <col min="5" max="5" width="29.796875" style="21" bestFit="1" customWidth="1"/>
    <col min="6" max="8" width="12" style="21" bestFit="1" customWidth="1"/>
    <col min="9" max="9" width="14.59765625" style="21" bestFit="1" customWidth="1"/>
    <col min="10" max="10" width="12" style="21" bestFit="1" customWidth="1"/>
    <col min="11" max="11" width="12.59765625" style="21" bestFit="1" customWidth="1"/>
    <col min="12" max="12" width="17" style="21" bestFit="1" customWidth="1"/>
    <col min="13" max="13" width="12.19921875" style="21" bestFit="1" customWidth="1"/>
    <col min="14" max="14" width="12.19921875" style="21" customWidth="1"/>
    <col min="15" max="15" width="14.3984375" style="21" bestFit="1" customWidth="1"/>
    <col min="16" max="16" width="15.3984375" style="21" bestFit="1" customWidth="1"/>
    <col min="17" max="17" width="3.3984375" style="21" customWidth="1"/>
    <col min="18" max="16384" width="9.3984375" style="21"/>
  </cols>
  <sheetData>
    <row r="1" spans="2:16" ht="39" thickBot="1">
      <c r="B1" s="85" t="s">
        <v>365</v>
      </c>
      <c r="C1" s="94" t="s">
        <v>15</v>
      </c>
      <c r="D1" s="118" t="s">
        <v>18</v>
      </c>
      <c r="E1" s="94" t="s">
        <v>16</v>
      </c>
      <c r="F1" s="94" t="s">
        <v>167</v>
      </c>
      <c r="G1" s="94" t="s">
        <v>176</v>
      </c>
      <c r="H1" s="94" t="s">
        <v>168</v>
      </c>
      <c r="I1" s="94" t="s">
        <v>165</v>
      </c>
      <c r="J1" s="94" t="s">
        <v>166</v>
      </c>
      <c r="K1" s="118" t="s">
        <v>40</v>
      </c>
      <c r="L1" s="118" t="s">
        <v>41</v>
      </c>
      <c r="M1" s="20" t="s">
        <v>194</v>
      </c>
      <c r="N1" s="20" t="s">
        <v>364</v>
      </c>
      <c r="O1" s="118" t="s">
        <v>169</v>
      </c>
      <c r="P1" s="118" t="s">
        <v>0</v>
      </c>
    </row>
    <row r="2" spans="2:16" ht="19">
      <c r="B2" s="119">
        <v>6</v>
      </c>
      <c r="C2" s="45" t="s">
        <v>10</v>
      </c>
      <c r="D2" s="58"/>
      <c r="E2" s="45" t="s">
        <v>9</v>
      </c>
      <c r="F2" s="45"/>
      <c r="G2" s="45"/>
      <c r="H2" s="45"/>
      <c r="I2" s="45"/>
      <c r="J2" s="45"/>
      <c r="K2" s="46"/>
      <c r="L2" s="46"/>
      <c r="M2" s="46"/>
      <c r="N2" s="46"/>
      <c r="O2" s="46"/>
      <c r="P2" s="46"/>
    </row>
    <row r="3" spans="2:16" ht="19">
      <c r="B3" s="119"/>
      <c r="C3" s="45">
        <v>1</v>
      </c>
      <c r="D3" s="58" t="s">
        <v>66</v>
      </c>
      <c r="E3" s="45" t="s">
        <v>131</v>
      </c>
      <c r="F3" s="58"/>
      <c r="G3" s="58"/>
      <c r="H3" s="58"/>
      <c r="I3" s="45">
        <v>2</v>
      </c>
      <c r="J3" s="45">
        <v>41</v>
      </c>
      <c r="K3" s="27">
        <v>430000</v>
      </c>
      <c r="L3" s="27">
        <f>J3*(K3*I3)</f>
        <v>35260000</v>
      </c>
      <c r="M3" s="140" t="s">
        <v>362</v>
      </c>
      <c r="N3" s="140" t="s">
        <v>362</v>
      </c>
      <c r="O3" s="46"/>
      <c r="P3" s="46"/>
    </row>
    <row r="4" spans="2:16" ht="19">
      <c r="B4" s="119"/>
      <c r="C4" s="45">
        <v>2</v>
      </c>
      <c r="D4" s="58" t="s">
        <v>132</v>
      </c>
      <c r="E4" s="45" t="s">
        <v>133</v>
      </c>
      <c r="F4" s="58"/>
      <c r="G4" s="58"/>
      <c r="H4" s="58"/>
      <c r="I4" s="45">
        <v>2</v>
      </c>
      <c r="J4" s="45">
        <v>41</v>
      </c>
      <c r="K4" s="27">
        <v>330000</v>
      </c>
      <c r="L4" s="27">
        <f t="shared" ref="L4:L11" si="0">J4*(K4*I4)</f>
        <v>27060000</v>
      </c>
      <c r="M4" s="140" t="s">
        <v>362</v>
      </c>
      <c r="N4" s="140" t="s">
        <v>362</v>
      </c>
      <c r="O4" s="46"/>
      <c r="P4" s="46"/>
    </row>
    <row r="5" spans="2:16" ht="19">
      <c r="B5" s="119"/>
      <c r="C5" s="45">
        <v>3</v>
      </c>
      <c r="D5" s="58" t="s">
        <v>134</v>
      </c>
      <c r="E5" s="45" t="s">
        <v>135</v>
      </c>
      <c r="F5" s="58"/>
      <c r="G5" s="58"/>
      <c r="H5" s="58"/>
      <c r="I5" s="45">
        <v>2</v>
      </c>
      <c r="J5" s="45">
        <v>41</v>
      </c>
      <c r="K5" s="27">
        <v>330000</v>
      </c>
      <c r="L5" s="27">
        <f>J5*(K5*I5)</f>
        <v>27060000</v>
      </c>
      <c r="M5" s="140" t="s">
        <v>362</v>
      </c>
      <c r="N5" s="140" t="s">
        <v>362</v>
      </c>
      <c r="O5" s="46"/>
      <c r="P5" s="46"/>
    </row>
    <row r="6" spans="2:16" ht="19">
      <c r="B6" s="119"/>
      <c r="C6" s="45">
        <v>4</v>
      </c>
      <c r="D6" s="58" t="s">
        <v>136</v>
      </c>
      <c r="E6" s="45" t="s">
        <v>137</v>
      </c>
      <c r="F6" s="58">
        <v>240401</v>
      </c>
      <c r="G6" s="58"/>
      <c r="H6" s="58"/>
      <c r="I6" s="111">
        <v>2</v>
      </c>
      <c r="J6" s="120">
        <v>50</v>
      </c>
      <c r="K6" s="27">
        <v>158000</v>
      </c>
      <c r="L6" s="27">
        <f t="shared" si="0"/>
        <v>15800000</v>
      </c>
      <c r="M6" s="135" t="s">
        <v>182</v>
      </c>
      <c r="N6" s="135" t="s">
        <v>182</v>
      </c>
      <c r="O6" s="111" t="s">
        <v>172</v>
      </c>
      <c r="P6" s="46"/>
    </row>
    <row r="7" spans="2:16" ht="19">
      <c r="B7" s="119"/>
      <c r="C7" s="45">
        <v>5</v>
      </c>
      <c r="D7" s="58" t="s">
        <v>138</v>
      </c>
      <c r="E7" s="45" t="s">
        <v>139</v>
      </c>
      <c r="F7" s="58"/>
      <c r="G7" s="58"/>
      <c r="H7" s="58"/>
      <c r="I7" s="45">
        <v>2</v>
      </c>
      <c r="J7" s="45">
        <v>41</v>
      </c>
      <c r="K7" s="27">
        <v>190000</v>
      </c>
      <c r="L7" s="27">
        <f t="shared" si="0"/>
        <v>15580000</v>
      </c>
      <c r="M7" s="140" t="s">
        <v>362</v>
      </c>
      <c r="N7" s="140" t="s">
        <v>362</v>
      </c>
      <c r="O7" s="46"/>
      <c r="P7" s="46"/>
    </row>
    <row r="8" spans="2:16" ht="19">
      <c r="B8" s="119"/>
      <c r="C8" s="45">
        <v>6</v>
      </c>
      <c r="D8" s="58" t="s">
        <v>140</v>
      </c>
      <c r="E8" s="45" t="s">
        <v>141</v>
      </c>
      <c r="F8" s="58"/>
      <c r="G8" s="58"/>
      <c r="H8" s="58"/>
      <c r="I8" s="45">
        <v>2</v>
      </c>
      <c r="J8" s="45">
        <v>41</v>
      </c>
      <c r="K8" s="27" t="s">
        <v>317</v>
      </c>
      <c r="L8" s="27" t="s">
        <v>317</v>
      </c>
      <c r="M8" s="153" t="s">
        <v>179</v>
      </c>
      <c r="N8" s="153" t="s">
        <v>179</v>
      </c>
      <c r="O8" s="46"/>
      <c r="P8" s="46"/>
    </row>
    <row r="9" spans="2:16" ht="19">
      <c r="B9" s="119"/>
      <c r="C9" s="45">
        <v>7</v>
      </c>
      <c r="D9" s="58" t="s">
        <v>142</v>
      </c>
      <c r="E9" s="45" t="s">
        <v>143</v>
      </c>
      <c r="F9" s="58">
        <v>240401</v>
      </c>
      <c r="G9" s="58"/>
      <c r="H9" s="58"/>
      <c r="I9" s="111">
        <v>2</v>
      </c>
      <c r="J9" s="120">
        <v>50</v>
      </c>
      <c r="K9" s="27">
        <v>133000</v>
      </c>
      <c r="L9" s="27">
        <f t="shared" si="0"/>
        <v>13300000</v>
      </c>
      <c r="M9" s="135" t="s">
        <v>182</v>
      </c>
      <c r="N9" s="135" t="s">
        <v>182</v>
      </c>
      <c r="O9" s="111" t="s">
        <v>172</v>
      </c>
      <c r="P9" s="46"/>
    </row>
    <row r="10" spans="2:16" ht="19">
      <c r="B10" s="119"/>
      <c r="C10" s="45">
        <v>8</v>
      </c>
      <c r="D10" s="58" t="s">
        <v>144</v>
      </c>
      <c r="E10" s="45" t="s">
        <v>145</v>
      </c>
      <c r="F10" s="58"/>
      <c r="G10" s="58"/>
      <c r="H10" s="58"/>
      <c r="I10" s="45">
        <v>1</v>
      </c>
      <c r="J10" s="45">
        <v>45</v>
      </c>
      <c r="K10" s="27">
        <v>330000</v>
      </c>
      <c r="L10" s="27">
        <f t="shared" si="0"/>
        <v>14850000</v>
      </c>
      <c r="M10" s="153" t="s">
        <v>273</v>
      </c>
      <c r="N10" s="153" t="s">
        <v>273</v>
      </c>
      <c r="O10" s="46"/>
      <c r="P10" s="46"/>
    </row>
    <row r="11" spans="2:16" ht="19">
      <c r="B11" s="119"/>
      <c r="C11" s="45">
        <v>9</v>
      </c>
      <c r="D11" s="58" t="s">
        <v>79</v>
      </c>
      <c r="E11" s="45" t="s">
        <v>80</v>
      </c>
      <c r="F11" s="58">
        <v>240401</v>
      </c>
      <c r="G11" s="58"/>
      <c r="H11" s="58"/>
      <c r="I11" s="111">
        <v>1</v>
      </c>
      <c r="J11" s="120">
        <v>41</v>
      </c>
      <c r="K11" s="121">
        <v>620000</v>
      </c>
      <c r="L11" s="27">
        <f t="shared" si="0"/>
        <v>25420000</v>
      </c>
      <c r="M11" s="153" t="s">
        <v>179</v>
      </c>
      <c r="N11" s="153" t="s">
        <v>179</v>
      </c>
      <c r="O11" s="111" t="s">
        <v>171</v>
      </c>
      <c r="P11" s="46"/>
    </row>
    <row r="12" spans="2:16" ht="19">
      <c r="B12" s="119"/>
      <c r="C12" s="45">
        <v>10</v>
      </c>
      <c r="D12" s="58" t="s">
        <v>39</v>
      </c>
      <c r="E12" s="45" t="s">
        <v>146</v>
      </c>
      <c r="F12" s="58"/>
      <c r="G12" s="58"/>
      <c r="H12" s="58"/>
      <c r="I12" s="45">
        <v>1</v>
      </c>
      <c r="J12" s="45" t="s">
        <v>317</v>
      </c>
      <c r="K12" s="46" t="s">
        <v>317</v>
      </c>
      <c r="L12" s="27" t="s">
        <v>317</v>
      </c>
      <c r="M12" s="135" t="s">
        <v>317</v>
      </c>
      <c r="N12" s="135" t="s">
        <v>317</v>
      </c>
      <c r="O12" s="46"/>
      <c r="P12" s="46"/>
    </row>
    <row r="13" spans="2:16">
      <c r="G13" s="116"/>
      <c r="L13" s="117">
        <f>SUM(L2:L12)</f>
        <v>174330000</v>
      </c>
    </row>
    <row r="18" spans="2:16">
      <c r="B18" s="299" t="s">
        <v>339</v>
      </c>
      <c r="C18" s="28">
        <v>1</v>
      </c>
      <c r="D18" s="70" t="s">
        <v>66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 t="s">
        <v>240</v>
      </c>
    </row>
    <row r="19" spans="2:16">
      <c r="B19" s="300"/>
      <c r="C19" s="110" t="s">
        <v>201</v>
      </c>
      <c r="D19" s="40" t="s">
        <v>334</v>
      </c>
      <c r="E19" s="40" t="s">
        <v>200</v>
      </c>
      <c r="F19" s="40"/>
      <c r="G19" s="40"/>
      <c r="H19" s="40"/>
      <c r="I19" s="40">
        <v>6</v>
      </c>
      <c r="J19" s="40">
        <v>43</v>
      </c>
      <c r="K19" s="27">
        <v>21500</v>
      </c>
      <c r="L19" s="27">
        <f t="shared" ref="L19:L35" si="1">J19*(K19*I19)</f>
        <v>5547000</v>
      </c>
      <c r="M19" s="28" t="s">
        <v>262</v>
      </c>
      <c r="N19" s="28"/>
      <c r="O19" s="40"/>
      <c r="P19" s="40"/>
    </row>
    <row r="20" spans="2:16">
      <c r="B20" s="300"/>
      <c r="C20" s="110" t="s">
        <v>296</v>
      </c>
      <c r="D20" s="40" t="s">
        <v>334</v>
      </c>
      <c r="E20" s="40" t="s">
        <v>241</v>
      </c>
      <c r="F20" s="40"/>
      <c r="G20" s="40"/>
      <c r="H20" s="40"/>
      <c r="I20" s="40">
        <v>6</v>
      </c>
      <c r="J20" s="40">
        <v>45</v>
      </c>
      <c r="K20" s="27">
        <v>50</v>
      </c>
      <c r="L20" s="27">
        <f t="shared" si="1"/>
        <v>13500</v>
      </c>
      <c r="M20" s="28" t="s">
        <v>262</v>
      </c>
      <c r="N20" s="28"/>
      <c r="O20" s="40"/>
      <c r="P20" s="40"/>
    </row>
    <row r="21" spans="2:16">
      <c r="B21" s="300"/>
      <c r="C21" s="110" t="s">
        <v>298</v>
      </c>
      <c r="D21" s="40" t="s">
        <v>335</v>
      </c>
      <c r="E21" s="40" t="s">
        <v>382</v>
      </c>
      <c r="F21" s="40"/>
      <c r="G21" s="40"/>
      <c r="H21" s="40"/>
      <c r="I21" s="40">
        <v>24</v>
      </c>
      <c r="J21" s="40">
        <v>45</v>
      </c>
      <c r="K21" s="27">
        <v>11</v>
      </c>
      <c r="L21" s="27">
        <f t="shared" si="1"/>
        <v>11880</v>
      </c>
      <c r="M21" s="28" t="s">
        <v>262</v>
      </c>
      <c r="N21" s="28"/>
      <c r="O21" s="40"/>
      <c r="P21" s="40"/>
    </row>
    <row r="22" spans="2:16">
      <c r="B22" s="300"/>
      <c r="C22" s="28">
        <v>2</v>
      </c>
      <c r="D22" s="70" t="s">
        <v>136</v>
      </c>
      <c r="E22" s="40"/>
      <c r="F22" s="40"/>
      <c r="G22" s="40"/>
      <c r="H22" s="40"/>
      <c r="I22" s="40"/>
      <c r="J22" s="40"/>
      <c r="K22" s="27"/>
      <c r="L22" s="27"/>
      <c r="M22" s="40"/>
      <c r="N22" s="40"/>
      <c r="O22" s="40"/>
      <c r="P22" s="40"/>
    </row>
    <row r="23" spans="2:16">
      <c r="B23" s="300"/>
      <c r="C23" s="110" t="s">
        <v>291</v>
      </c>
      <c r="D23" s="40" t="s">
        <v>334</v>
      </c>
      <c r="E23" s="40" t="s">
        <v>199</v>
      </c>
      <c r="F23" s="40"/>
      <c r="G23" s="40"/>
      <c r="H23" s="40"/>
      <c r="I23" s="40">
        <v>2</v>
      </c>
      <c r="J23" s="40">
        <v>45</v>
      </c>
      <c r="K23" s="27">
        <v>3350</v>
      </c>
      <c r="L23" s="27">
        <f t="shared" si="1"/>
        <v>301500</v>
      </c>
      <c r="M23" s="28" t="s">
        <v>262</v>
      </c>
      <c r="N23" s="28"/>
      <c r="O23" s="40"/>
      <c r="P23" s="40"/>
    </row>
    <row r="24" spans="2:16">
      <c r="B24" s="300"/>
      <c r="C24" s="110" t="s">
        <v>301</v>
      </c>
      <c r="D24" s="40" t="s">
        <v>334</v>
      </c>
      <c r="E24" s="40" t="s">
        <v>336</v>
      </c>
      <c r="F24" s="40"/>
      <c r="G24" s="40"/>
      <c r="H24" s="40"/>
      <c r="I24" s="40">
        <v>2</v>
      </c>
      <c r="J24" s="40">
        <v>45</v>
      </c>
      <c r="K24" s="27">
        <v>45</v>
      </c>
      <c r="L24" s="27">
        <f t="shared" si="1"/>
        <v>4050</v>
      </c>
      <c r="M24" s="28" t="s">
        <v>262</v>
      </c>
      <c r="N24" s="28"/>
      <c r="O24" s="40"/>
      <c r="P24" s="40"/>
    </row>
    <row r="25" spans="2:16">
      <c r="B25" s="300"/>
      <c r="C25" s="110" t="s">
        <v>302</v>
      </c>
      <c r="D25" s="40" t="s">
        <v>335</v>
      </c>
      <c r="E25" s="40" t="s">
        <v>337</v>
      </c>
      <c r="F25" s="40"/>
      <c r="G25" s="40"/>
      <c r="H25" s="40"/>
      <c r="I25" s="40">
        <v>5</v>
      </c>
      <c r="J25" s="40">
        <v>45</v>
      </c>
      <c r="K25" s="27">
        <v>25</v>
      </c>
      <c r="L25" s="27">
        <f t="shared" si="1"/>
        <v>5625</v>
      </c>
      <c r="M25" s="28" t="s">
        <v>262</v>
      </c>
      <c r="N25" s="28"/>
      <c r="O25" s="40"/>
      <c r="P25" s="40"/>
    </row>
    <row r="26" spans="2:16">
      <c r="B26" s="300"/>
      <c r="C26" s="28">
        <v>4</v>
      </c>
      <c r="D26" s="70" t="s">
        <v>138</v>
      </c>
      <c r="E26" s="40"/>
      <c r="F26" s="40"/>
      <c r="G26" s="40"/>
      <c r="H26" s="40"/>
      <c r="I26" s="40"/>
      <c r="J26" s="40"/>
      <c r="K26" s="27"/>
      <c r="L26" s="27"/>
      <c r="M26" s="40"/>
      <c r="N26" s="40"/>
      <c r="O26" s="40"/>
      <c r="P26" s="40"/>
    </row>
    <row r="27" spans="2:16">
      <c r="B27" s="300"/>
      <c r="C27" s="110" t="s">
        <v>202</v>
      </c>
      <c r="D27" s="40" t="s">
        <v>216</v>
      </c>
      <c r="E27" s="40" t="s">
        <v>59</v>
      </c>
      <c r="F27" s="40"/>
      <c r="G27" s="40"/>
      <c r="H27" s="40"/>
      <c r="I27" s="40">
        <v>24</v>
      </c>
      <c r="J27" s="40">
        <v>50</v>
      </c>
      <c r="K27" s="27">
        <v>1250</v>
      </c>
      <c r="L27" s="27">
        <f t="shared" si="1"/>
        <v>1500000</v>
      </c>
      <c r="M27" s="28" t="s">
        <v>262</v>
      </c>
      <c r="N27" s="28"/>
      <c r="O27" s="40"/>
      <c r="P27" s="40"/>
    </row>
    <row r="28" spans="2:16">
      <c r="B28" s="300"/>
      <c r="C28" s="110" t="s">
        <v>307</v>
      </c>
      <c r="D28" s="40" t="s">
        <v>334</v>
      </c>
      <c r="E28" s="40" t="s">
        <v>204</v>
      </c>
      <c r="F28" s="40"/>
      <c r="G28" s="40"/>
      <c r="H28" s="40"/>
      <c r="I28" s="40">
        <v>2</v>
      </c>
      <c r="J28" s="40">
        <v>50</v>
      </c>
      <c r="K28" s="27">
        <v>14350</v>
      </c>
      <c r="L28" s="27">
        <f t="shared" si="1"/>
        <v>1435000</v>
      </c>
      <c r="M28" s="28" t="s">
        <v>262</v>
      </c>
      <c r="N28" s="28"/>
      <c r="O28" s="40"/>
      <c r="P28" s="40"/>
    </row>
    <row r="29" spans="2:16">
      <c r="B29" s="300"/>
      <c r="C29" s="110" t="s">
        <v>308</v>
      </c>
      <c r="D29" s="40" t="s">
        <v>334</v>
      </c>
      <c r="E29" s="40" t="s">
        <v>378</v>
      </c>
      <c r="F29" s="40"/>
      <c r="G29" s="40"/>
      <c r="H29" s="40"/>
      <c r="I29" s="40">
        <v>2</v>
      </c>
      <c r="J29" s="40">
        <v>45</v>
      </c>
      <c r="K29" s="27">
        <v>90</v>
      </c>
      <c r="L29" s="27">
        <f t="shared" si="1"/>
        <v>8100</v>
      </c>
      <c r="M29" s="28" t="s">
        <v>262</v>
      </c>
      <c r="N29" s="28"/>
      <c r="O29" s="40"/>
      <c r="P29" s="40"/>
    </row>
    <row r="30" spans="2:16">
      <c r="B30" s="300"/>
      <c r="C30" s="110" t="s">
        <v>309</v>
      </c>
      <c r="D30" s="40" t="s">
        <v>334</v>
      </c>
      <c r="E30" s="40" t="s">
        <v>377</v>
      </c>
      <c r="F30" s="40"/>
      <c r="G30" s="40"/>
      <c r="H30" s="40"/>
      <c r="I30" s="40">
        <v>2</v>
      </c>
      <c r="J30" s="40">
        <v>45</v>
      </c>
      <c r="K30" s="27">
        <v>200</v>
      </c>
      <c r="L30" s="27">
        <f t="shared" si="1"/>
        <v>18000</v>
      </c>
      <c r="M30" s="28" t="s">
        <v>262</v>
      </c>
      <c r="N30" s="28"/>
      <c r="O30" s="40"/>
      <c r="P30" s="40"/>
    </row>
    <row r="31" spans="2:16">
      <c r="B31" s="300"/>
      <c r="C31" s="110" t="s">
        <v>310</v>
      </c>
      <c r="D31" s="40" t="s">
        <v>335</v>
      </c>
      <c r="E31" s="40" t="s">
        <v>338</v>
      </c>
      <c r="F31" s="40"/>
      <c r="G31" s="40"/>
      <c r="H31" s="40"/>
      <c r="I31" s="40">
        <v>32</v>
      </c>
      <c r="J31" s="40">
        <v>45</v>
      </c>
      <c r="K31" s="27">
        <v>25</v>
      </c>
      <c r="L31" s="27">
        <f t="shared" si="1"/>
        <v>36000</v>
      </c>
      <c r="M31" s="28" t="s">
        <v>262</v>
      </c>
      <c r="N31" s="28"/>
      <c r="O31" s="40"/>
      <c r="P31" s="40"/>
    </row>
    <row r="32" spans="2:16">
      <c r="B32" s="300"/>
      <c r="C32" s="28">
        <v>5</v>
      </c>
      <c r="D32" s="70" t="s">
        <v>142</v>
      </c>
      <c r="E32" s="40"/>
      <c r="F32" s="40"/>
      <c r="G32" s="40"/>
      <c r="H32" s="40"/>
      <c r="I32" s="40"/>
      <c r="J32" s="40"/>
      <c r="K32" s="27"/>
      <c r="L32" s="27"/>
      <c r="M32" s="40"/>
      <c r="N32" s="40"/>
      <c r="O32" s="40"/>
      <c r="P32" s="40"/>
    </row>
    <row r="33" spans="2:16" ht="15" customHeight="1">
      <c r="B33" s="300"/>
      <c r="C33" s="110" t="s">
        <v>214</v>
      </c>
      <c r="D33" s="40" t="s">
        <v>334</v>
      </c>
      <c r="E33" s="40" t="s">
        <v>199</v>
      </c>
      <c r="F33" s="40"/>
      <c r="G33" s="40"/>
      <c r="H33" s="40"/>
      <c r="I33" s="40">
        <v>2</v>
      </c>
      <c r="J33" s="40">
        <v>45</v>
      </c>
      <c r="K33" s="27">
        <v>3350</v>
      </c>
      <c r="L33" s="27">
        <f t="shared" si="1"/>
        <v>301500</v>
      </c>
      <c r="M33" s="28" t="s">
        <v>262</v>
      </c>
      <c r="N33" s="28"/>
      <c r="O33" s="40"/>
      <c r="P33" s="40"/>
    </row>
    <row r="34" spans="2:16">
      <c r="B34" s="300"/>
      <c r="C34" s="110" t="s">
        <v>340</v>
      </c>
      <c r="D34" s="40" t="s">
        <v>334</v>
      </c>
      <c r="E34" s="40" t="s">
        <v>336</v>
      </c>
      <c r="F34" s="40"/>
      <c r="G34" s="40"/>
      <c r="H34" s="40"/>
      <c r="I34" s="40">
        <v>2</v>
      </c>
      <c r="J34" s="40">
        <v>45</v>
      </c>
      <c r="K34" s="27">
        <v>45</v>
      </c>
      <c r="L34" s="27">
        <f t="shared" si="1"/>
        <v>4050</v>
      </c>
      <c r="M34" s="28" t="s">
        <v>262</v>
      </c>
      <c r="N34" s="28"/>
      <c r="O34" s="40"/>
      <c r="P34" s="40"/>
    </row>
    <row r="35" spans="2:16">
      <c r="B35" s="301"/>
      <c r="C35" s="110" t="s">
        <v>341</v>
      </c>
      <c r="D35" s="40" t="s">
        <v>335</v>
      </c>
      <c r="E35" s="40" t="s">
        <v>337</v>
      </c>
      <c r="F35" s="40"/>
      <c r="G35" s="40"/>
      <c r="H35" s="40"/>
      <c r="I35" s="40">
        <v>5</v>
      </c>
      <c r="J35" s="40">
        <v>45</v>
      </c>
      <c r="K35" s="27">
        <v>25</v>
      </c>
      <c r="L35" s="27">
        <f t="shared" si="1"/>
        <v>5625</v>
      </c>
      <c r="M35" s="28" t="s">
        <v>262</v>
      </c>
      <c r="N35" s="28"/>
      <c r="O35" s="40"/>
      <c r="P35" s="40"/>
    </row>
    <row r="36" spans="2:16">
      <c r="L36" s="30">
        <f>SUM(L19:L35)</f>
        <v>9191830</v>
      </c>
    </row>
  </sheetData>
  <mergeCells count="1">
    <mergeCell ref="B18:B35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8D07-A94E-47F0-9F35-EA3CD26418EB}">
  <dimension ref="B1:P31"/>
  <sheetViews>
    <sheetView workbookViewId="0">
      <pane ySplit="1" topLeftCell="A2" activePane="bottomLeft" state="frozen"/>
      <selection pane="bottomLeft" activeCell="E30" sqref="E30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8.3984375" style="32" bestFit="1" customWidth="1"/>
    <col min="4" max="4" width="27.796875" style="32" bestFit="1" customWidth="1"/>
    <col min="5" max="5" width="27.398437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2.1992187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7</v>
      </c>
      <c r="C2" s="33" t="s">
        <v>14</v>
      </c>
      <c r="D2" s="55"/>
      <c r="E2" s="47" t="s">
        <v>11</v>
      </c>
      <c r="F2" s="49"/>
      <c r="G2" s="49"/>
      <c r="H2" s="49"/>
      <c r="I2" s="122"/>
      <c r="J2" s="122"/>
      <c r="K2" s="69"/>
      <c r="L2" s="69"/>
      <c r="M2" s="68"/>
      <c r="N2" s="68"/>
      <c r="O2" s="69"/>
      <c r="P2" s="57"/>
    </row>
    <row r="3" spans="2:16" ht="19">
      <c r="B3" s="105"/>
      <c r="C3" s="47"/>
      <c r="D3" s="69" t="s">
        <v>147</v>
      </c>
      <c r="E3" s="45" t="s">
        <v>148</v>
      </c>
      <c r="F3" s="58">
        <v>240401</v>
      </c>
      <c r="G3" s="58"/>
      <c r="H3" s="58"/>
      <c r="I3" s="111">
        <v>1</v>
      </c>
      <c r="J3" s="120">
        <v>21</v>
      </c>
      <c r="K3" s="123">
        <v>265000</v>
      </c>
      <c r="L3" s="123">
        <f>J3*(K3*I3)</f>
        <v>5565000</v>
      </c>
      <c r="M3" s="138" t="s">
        <v>181</v>
      </c>
      <c r="N3" s="138" t="s">
        <v>181</v>
      </c>
      <c r="O3" s="104" t="s">
        <v>170</v>
      </c>
      <c r="P3" s="58"/>
    </row>
    <row r="4" spans="2:16" ht="19">
      <c r="B4" s="105"/>
      <c r="C4" s="47"/>
      <c r="D4" s="69" t="s">
        <v>24</v>
      </c>
      <c r="E4" s="45" t="s">
        <v>149</v>
      </c>
      <c r="F4" s="58"/>
      <c r="G4" s="58"/>
      <c r="H4" s="58"/>
      <c r="I4" s="45">
        <v>1</v>
      </c>
      <c r="J4" s="45">
        <v>21</v>
      </c>
      <c r="K4" s="123" t="s">
        <v>317</v>
      </c>
      <c r="L4" s="123" t="s">
        <v>317</v>
      </c>
      <c r="M4" s="166" t="s">
        <v>181</v>
      </c>
      <c r="N4" s="166" t="s">
        <v>181</v>
      </c>
      <c r="O4" s="58"/>
      <c r="P4" s="58"/>
    </row>
    <row r="5" spans="2:16" ht="19">
      <c r="B5" s="105"/>
      <c r="C5" s="47"/>
      <c r="D5" s="69" t="s">
        <v>150</v>
      </c>
      <c r="E5" s="45" t="s">
        <v>151</v>
      </c>
      <c r="F5" s="58"/>
      <c r="G5" s="58"/>
      <c r="H5" s="58"/>
      <c r="I5" s="45">
        <v>1</v>
      </c>
      <c r="J5" s="45">
        <v>21</v>
      </c>
      <c r="K5" s="123" t="s">
        <v>317</v>
      </c>
      <c r="L5" s="123" t="s">
        <v>317</v>
      </c>
      <c r="M5" s="166" t="s">
        <v>181</v>
      </c>
      <c r="N5" s="166" t="s">
        <v>181</v>
      </c>
      <c r="O5" s="58"/>
      <c r="P5" s="58"/>
    </row>
    <row r="6" spans="2:16" ht="19">
      <c r="B6" s="105"/>
      <c r="C6" s="47"/>
      <c r="D6" s="69" t="s">
        <v>152</v>
      </c>
      <c r="E6" s="45" t="s">
        <v>153</v>
      </c>
      <c r="F6" s="58"/>
      <c r="G6" s="58"/>
      <c r="H6" s="58"/>
      <c r="I6" s="45">
        <v>4</v>
      </c>
      <c r="J6" s="45">
        <v>62</v>
      </c>
      <c r="K6" s="123">
        <v>50000</v>
      </c>
      <c r="L6" s="123">
        <f t="shared" ref="L6:L14" si="0">J6*(K6*I6)</f>
        <v>12400000</v>
      </c>
      <c r="M6" s="167" t="s">
        <v>188</v>
      </c>
      <c r="N6" s="167" t="s">
        <v>188</v>
      </c>
      <c r="O6" s="58"/>
      <c r="P6" s="58" t="s">
        <v>328</v>
      </c>
    </row>
    <row r="7" spans="2:16" ht="19">
      <c r="B7" s="105"/>
      <c r="C7" s="47"/>
      <c r="D7" s="69" t="s">
        <v>154</v>
      </c>
      <c r="E7" s="45" t="s">
        <v>155</v>
      </c>
      <c r="F7" s="58"/>
      <c r="G7" s="58"/>
      <c r="H7" s="58"/>
      <c r="I7" s="45">
        <v>1</v>
      </c>
      <c r="J7" s="45">
        <v>21</v>
      </c>
      <c r="K7" s="123" t="s">
        <v>317</v>
      </c>
      <c r="L7" s="123" t="s">
        <v>317</v>
      </c>
      <c r="M7" s="169" t="s">
        <v>181</v>
      </c>
      <c r="N7" s="169" t="s">
        <v>181</v>
      </c>
      <c r="O7" s="58"/>
      <c r="P7" s="58"/>
    </row>
    <row r="8" spans="2:16" ht="19">
      <c r="B8" s="105"/>
      <c r="C8" s="47"/>
      <c r="D8" s="69" t="s">
        <v>31</v>
      </c>
      <c r="E8" s="45" t="s">
        <v>156</v>
      </c>
      <c r="F8" s="58"/>
      <c r="G8" s="58"/>
      <c r="H8" s="58"/>
      <c r="I8" s="45">
        <v>1</v>
      </c>
      <c r="J8" s="45">
        <v>25</v>
      </c>
      <c r="K8" s="123">
        <v>112000</v>
      </c>
      <c r="L8" s="123">
        <f t="shared" si="0"/>
        <v>2800000</v>
      </c>
      <c r="M8" s="170" t="s">
        <v>182</v>
      </c>
      <c r="N8" s="170" t="s">
        <v>182</v>
      </c>
      <c r="O8" s="58"/>
      <c r="P8" s="58"/>
    </row>
    <row r="9" spans="2:16" ht="19">
      <c r="B9" s="105"/>
      <c r="C9" s="47"/>
      <c r="D9" s="69" t="s">
        <v>87</v>
      </c>
      <c r="E9" s="45" t="s">
        <v>157</v>
      </c>
      <c r="F9" s="58"/>
      <c r="G9" s="58"/>
      <c r="H9" s="58"/>
      <c r="I9" s="45">
        <v>1</v>
      </c>
      <c r="J9" s="45">
        <v>21</v>
      </c>
      <c r="K9" s="123" t="s">
        <v>317</v>
      </c>
      <c r="L9" s="123" t="s">
        <v>317</v>
      </c>
      <c r="M9" s="169" t="s">
        <v>181</v>
      </c>
      <c r="N9" s="169" t="s">
        <v>181</v>
      </c>
      <c r="O9" s="58"/>
      <c r="P9" s="58"/>
    </row>
    <row r="10" spans="2:16" ht="19">
      <c r="B10" s="105"/>
      <c r="C10" s="47"/>
      <c r="D10" s="69" t="s">
        <v>89</v>
      </c>
      <c r="E10" s="45" t="s">
        <v>158</v>
      </c>
      <c r="F10" s="58"/>
      <c r="G10" s="58"/>
      <c r="H10" s="58"/>
      <c r="I10" s="45">
        <v>1</v>
      </c>
      <c r="J10" s="45">
        <v>25</v>
      </c>
      <c r="K10" s="123">
        <v>580000</v>
      </c>
      <c r="L10" s="123">
        <f t="shared" si="0"/>
        <v>14500000</v>
      </c>
      <c r="M10" s="172" t="s">
        <v>273</v>
      </c>
      <c r="N10" s="172" t="s">
        <v>273</v>
      </c>
      <c r="O10" s="58"/>
      <c r="P10" s="58"/>
    </row>
    <row r="11" spans="2:16" ht="19">
      <c r="B11" s="105"/>
      <c r="C11" s="47"/>
      <c r="D11" s="69" t="s">
        <v>33</v>
      </c>
      <c r="E11" s="45" t="s">
        <v>53</v>
      </c>
      <c r="F11" s="58"/>
      <c r="G11" s="58"/>
      <c r="H11" s="58"/>
      <c r="I11" s="45">
        <v>1</v>
      </c>
      <c r="J11" s="45">
        <v>25</v>
      </c>
      <c r="K11" s="123">
        <v>2800</v>
      </c>
      <c r="L11" s="123">
        <f t="shared" si="0"/>
        <v>70000</v>
      </c>
      <c r="M11" s="166" t="s">
        <v>262</v>
      </c>
      <c r="N11" s="166" t="s">
        <v>263</v>
      </c>
      <c r="O11" s="58"/>
      <c r="P11" s="58"/>
    </row>
    <row r="12" spans="2:16" ht="19">
      <c r="B12" s="105"/>
      <c r="C12" s="47"/>
      <c r="D12" s="69" t="s">
        <v>34</v>
      </c>
      <c r="E12" s="45" t="s">
        <v>55</v>
      </c>
      <c r="F12" s="58"/>
      <c r="G12" s="58"/>
      <c r="H12" s="58"/>
      <c r="I12" s="45">
        <v>1</v>
      </c>
      <c r="J12" s="45">
        <v>25</v>
      </c>
      <c r="K12" s="123">
        <v>350</v>
      </c>
      <c r="L12" s="123">
        <f t="shared" si="0"/>
        <v>8750</v>
      </c>
      <c r="M12" s="166" t="s">
        <v>262</v>
      </c>
      <c r="N12" s="166" t="s">
        <v>263</v>
      </c>
      <c r="O12" s="58"/>
      <c r="P12" s="58"/>
    </row>
    <row r="13" spans="2:16" ht="19">
      <c r="B13" s="105"/>
      <c r="C13" s="47"/>
      <c r="D13" s="69" t="s">
        <v>125</v>
      </c>
      <c r="E13" s="45" t="s">
        <v>56</v>
      </c>
      <c r="F13" s="58"/>
      <c r="G13" s="58"/>
      <c r="H13" s="58"/>
      <c r="I13" s="45">
        <v>1</v>
      </c>
      <c r="J13" s="45">
        <v>25</v>
      </c>
      <c r="K13" s="123">
        <v>32300</v>
      </c>
      <c r="L13" s="123">
        <f t="shared" si="0"/>
        <v>807500</v>
      </c>
      <c r="M13" s="166" t="s">
        <v>262</v>
      </c>
      <c r="N13" s="166" t="s">
        <v>264</v>
      </c>
      <c r="O13" s="58"/>
      <c r="P13" s="58"/>
    </row>
    <row r="14" spans="2:16" ht="19">
      <c r="B14" s="105"/>
      <c r="C14" s="47"/>
      <c r="D14" s="69" t="s">
        <v>36</v>
      </c>
      <c r="E14" s="45" t="s">
        <v>57</v>
      </c>
      <c r="F14" s="58"/>
      <c r="G14" s="58"/>
      <c r="H14" s="58"/>
      <c r="I14" s="45">
        <v>4</v>
      </c>
      <c r="J14" s="45">
        <v>25</v>
      </c>
      <c r="K14" s="123">
        <v>1300</v>
      </c>
      <c r="L14" s="123">
        <f t="shared" si="0"/>
        <v>130000</v>
      </c>
      <c r="M14" s="166" t="s">
        <v>262</v>
      </c>
      <c r="N14" s="166" t="s">
        <v>264</v>
      </c>
      <c r="O14" s="58"/>
      <c r="P14" s="58"/>
    </row>
    <row r="15" spans="2:16" ht="19">
      <c r="B15" s="105"/>
      <c r="C15" s="47"/>
      <c r="D15" s="69" t="s">
        <v>115</v>
      </c>
      <c r="E15" s="45" t="s">
        <v>317</v>
      </c>
      <c r="F15" s="58"/>
      <c r="G15" s="58"/>
      <c r="H15" s="58"/>
      <c r="I15" s="45">
        <v>1</v>
      </c>
      <c r="J15" s="45">
        <v>25</v>
      </c>
      <c r="K15" s="58" t="s">
        <v>317</v>
      </c>
      <c r="L15" s="123" t="s">
        <v>317</v>
      </c>
      <c r="M15" s="166" t="s">
        <v>181</v>
      </c>
      <c r="N15" s="166" t="s">
        <v>276</v>
      </c>
      <c r="O15" s="58"/>
      <c r="P15" s="58"/>
    </row>
    <row r="16" spans="2:16" ht="20" thickBot="1">
      <c r="B16" s="124"/>
      <c r="C16" s="50"/>
      <c r="D16" s="125" t="s">
        <v>39</v>
      </c>
      <c r="E16" s="45" t="s">
        <v>159</v>
      </c>
      <c r="F16" s="58"/>
      <c r="G16" s="58"/>
      <c r="H16" s="58"/>
      <c r="I16" s="45">
        <v>1</v>
      </c>
      <c r="J16" s="45">
        <v>25</v>
      </c>
      <c r="K16" s="58" t="s">
        <v>317</v>
      </c>
      <c r="L16" s="123" t="s">
        <v>317</v>
      </c>
      <c r="M16" s="173" t="s">
        <v>317</v>
      </c>
      <c r="N16" s="173" t="s">
        <v>317</v>
      </c>
      <c r="O16" s="58"/>
      <c r="P16" s="58"/>
    </row>
    <row r="17" spans="2:16">
      <c r="G17" s="116"/>
      <c r="L17" s="117">
        <f>SUM(L2:L16)</f>
        <v>36281250</v>
      </c>
    </row>
    <row r="21" spans="2:16">
      <c r="B21" s="299" t="s">
        <v>215</v>
      </c>
      <c r="C21" s="28">
        <v>1</v>
      </c>
      <c r="D21" s="40" t="s">
        <v>334</v>
      </c>
      <c r="E21" s="40" t="s">
        <v>342</v>
      </c>
      <c r="F21" s="40"/>
      <c r="G21" s="40"/>
      <c r="H21" s="40"/>
      <c r="I21" s="40">
        <v>1</v>
      </c>
      <c r="J21" s="40">
        <v>25</v>
      </c>
      <c r="K21" s="123">
        <v>80</v>
      </c>
      <c r="L21" s="123">
        <f>J21*(K21*I21)</f>
        <v>2000</v>
      </c>
      <c r="M21" s="28" t="s">
        <v>262</v>
      </c>
      <c r="N21" s="28"/>
      <c r="O21" s="40"/>
      <c r="P21" s="40"/>
    </row>
    <row r="22" spans="2:16">
      <c r="B22" s="300"/>
      <c r="C22" s="28">
        <v>2</v>
      </c>
      <c r="D22" s="40" t="s">
        <v>335</v>
      </c>
      <c r="E22" s="40" t="s">
        <v>338</v>
      </c>
      <c r="F22" s="40"/>
      <c r="G22" s="40"/>
      <c r="H22" s="40"/>
      <c r="I22" s="40">
        <v>2</v>
      </c>
      <c r="J22" s="40">
        <v>25</v>
      </c>
      <c r="K22" s="123">
        <v>25</v>
      </c>
      <c r="L22" s="123">
        <f t="shared" ref="L22:L30" si="1">J22*(K22*I22)</f>
        <v>1250</v>
      </c>
      <c r="M22" s="28" t="s">
        <v>262</v>
      </c>
      <c r="N22" s="28"/>
      <c r="O22" s="40"/>
      <c r="P22" s="40"/>
    </row>
    <row r="23" spans="2:16">
      <c r="B23" s="300"/>
      <c r="C23" s="28">
        <v>3</v>
      </c>
      <c r="D23" s="40" t="s">
        <v>334</v>
      </c>
      <c r="E23" s="40" t="s">
        <v>343</v>
      </c>
      <c r="F23" s="40"/>
      <c r="G23" s="40"/>
      <c r="H23" s="40"/>
      <c r="I23" s="40">
        <v>1</v>
      </c>
      <c r="J23" s="40">
        <v>25</v>
      </c>
      <c r="K23" s="123">
        <v>60</v>
      </c>
      <c r="L23" s="123">
        <f t="shared" si="1"/>
        <v>1500</v>
      </c>
      <c r="M23" s="28" t="s">
        <v>262</v>
      </c>
      <c r="N23" s="28"/>
      <c r="O23" s="40"/>
      <c r="P23" s="40"/>
    </row>
    <row r="24" spans="2:16">
      <c r="B24" s="300"/>
      <c r="C24" s="28">
        <v>4</v>
      </c>
      <c r="D24" s="40" t="s">
        <v>334</v>
      </c>
      <c r="E24" s="40" t="s">
        <v>336</v>
      </c>
      <c r="F24" s="40"/>
      <c r="G24" s="40"/>
      <c r="H24" s="40"/>
      <c r="I24" s="40">
        <v>1</v>
      </c>
      <c r="J24" s="40">
        <v>25</v>
      </c>
      <c r="K24" s="123">
        <v>45</v>
      </c>
      <c r="L24" s="123">
        <f t="shared" si="1"/>
        <v>1125</v>
      </c>
      <c r="M24" s="28" t="s">
        <v>262</v>
      </c>
      <c r="N24" s="28"/>
      <c r="O24" s="40"/>
      <c r="P24" s="40"/>
    </row>
    <row r="25" spans="2:16">
      <c r="B25" s="300"/>
      <c r="C25" s="28">
        <v>5</v>
      </c>
      <c r="D25" s="40" t="s">
        <v>335</v>
      </c>
      <c r="E25" s="40" t="s">
        <v>337</v>
      </c>
      <c r="F25" s="40"/>
      <c r="G25" s="40"/>
      <c r="H25" s="40"/>
      <c r="I25" s="40">
        <v>13</v>
      </c>
      <c r="J25" s="40">
        <v>25</v>
      </c>
      <c r="K25" s="123">
        <v>25</v>
      </c>
      <c r="L25" s="123">
        <f t="shared" si="1"/>
        <v>8125</v>
      </c>
      <c r="M25" s="28" t="s">
        <v>262</v>
      </c>
      <c r="N25" s="28"/>
      <c r="O25" s="40"/>
      <c r="P25" s="40"/>
    </row>
    <row r="26" spans="2:16">
      <c r="B26" s="300"/>
      <c r="C26" s="28">
        <v>6</v>
      </c>
      <c r="D26" s="40" t="s">
        <v>334</v>
      </c>
      <c r="E26" s="40" t="s">
        <v>344</v>
      </c>
      <c r="F26" s="40"/>
      <c r="G26" s="40"/>
      <c r="H26" s="40"/>
      <c r="I26" s="40">
        <v>1</v>
      </c>
      <c r="J26" s="40">
        <v>25</v>
      </c>
      <c r="K26" s="123">
        <v>40</v>
      </c>
      <c r="L26" s="123">
        <f t="shared" si="1"/>
        <v>1000</v>
      </c>
      <c r="M26" s="28" t="s">
        <v>262</v>
      </c>
      <c r="N26" s="28"/>
      <c r="O26" s="40"/>
      <c r="P26" s="40"/>
    </row>
    <row r="27" spans="2:16">
      <c r="B27" s="300"/>
      <c r="C27" s="28">
        <v>7</v>
      </c>
      <c r="D27" s="40" t="s">
        <v>334</v>
      </c>
      <c r="E27" s="40" t="s">
        <v>241</v>
      </c>
      <c r="F27" s="40"/>
      <c r="G27" s="40"/>
      <c r="H27" s="40"/>
      <c r="I27" s="40">
        <v>1</v>
      </c>
      <c r="J27" s="40">
        <v>25</v>
      </c>
      <c r="K27" s="123">
        <v>50</v>
      </c>
      <c r="L27" s="123">
        <f t="shared" si="1"/>
        <v>1250</v>
      </c>
      <c r="M27" s="28" t="s">
        <v>262</v>
      </c>
      <c r="N27" s="28"/>
      <c r="O27" s="40"/>
      <c r="P27" s="40"/>
    </row>
    <row r="28" spans="2:16">
      <c r="B28" s="300"/>
      <c r="C28" s="28">
        <v>8</v>
      </c>
      <c r="D28" s="40" t="s">
        <v>335</v>
      </c>
      <c r="E28" s="40" t="s">
        <v>313</v>
      </c>
      <c r="F28" s="40"/>
      <c r="G28" s="40"/>
      <c r="H28" s="40"/>
      <c r="I28" s="40">
        <v>6</v>
      </c>
      <c r="J28" s="40">
        <v>25</v>
      </c>
      <c r="K28" s="123">
        <v>11</v>
      </c>
      <c r="L28" s="123">
        <f t="shared" si="1"/>
        <v>1650</v>
      </c>
      <c r="M28" s="28" t="s">
        <v>262</v>
      </c>
      <c r="N28" s="28"/>
      <c r="O28" s="40"/>
      <c r="P28" s="40"/>
    </row>
    <row r="29" spans="2:16">
      <c r="B29" s="300"/>
      <c r="C29" s="28">
        <v>9</v>
      </c>
      <c r="D29" s="40" t="s">
        <v>334</v>
      </c>
      <c r="E29" s="40" t="s">
        <v>347</v>
      </c>
      <c r="F29" s="40"/>
      <c r="G29" s="40"/>
      <c r="H29" s="40"/>
      <c r="I29" s="40">
        <v>1</v>
      </c>
      <c r="J29" s="40">
        <v>25</v>
      </c>
      <c r="K29" s="123">
        <v>30</v>
      </c>
      <c r="L29" s="123">
        <f t="shared" si="1"/>
        <v>750</v>
      </c>
      <c r="M29" s="28" t="s">
        <v>262</v>
      </c>
      <c r="N29" s="28"/>
      <c r="O29" s="40"/>
      <c r="P29" s="40"/>
    </row>
    <row r="30" spans="2:16">
      <c r="B30" s="301"/>
      <c r="C30" s="28">
        <v>10</v>
      </c>
      <c r="D30" s="40" t="s">
        <v>335</v>
      </c>
      <c r="E30" s="40" t="s">
        <v>348</v>
      </c>
      <c r="F30" s="40"/>
      <c r="G30" s="40"/>
      <c r="H30" s="40"/>
      <c r="I30" s="40">
        <v>2</v>
      </c>
      <c r="J30" s="40">
        <v>25</v>
      </c>
      <c r="K30" s="123">
        <v>25</v>
      </c>
      <c r="L30" s="123">
        <f t="shared" si="1"/>
        <v>1250</v>
      </c>
      <c r="M30" s="28" t="s">
        <v>262</v>
      </c>
      <c r="N30" s="28"/>
      <c r="O30" s="40"/>
      <c r="P30" s="40"/>
    </row>
    <row r="31" spans="2:16">
      <c r="L31" s="31">
        <f>SUM(L21:L30)</f>
        <v>19900</v>
      </c>
    </row>
  </sheetData>
  <mergeCells count="1">
    <mergeCell ref="B21:B3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5225-BA58-4C6A-8B8A-E6718CCDDC99}">
  <dimension ref="B1:P32"/>
  <sheetViews>
    <sheetView workbookViewId="0">
      <pane ySplit="1" topLeftCell="A2" activePane="bottomLeft" state="frozen"/>
      <selection pane="bottomLeft" activeCell="F43" sqref="F43"/>
    </sheetView>
  </sheetViews>
  <sheetFormatPr baseColWidth="10" defaultColWidth="9.3984375" defaultRowHeight="18"/>
  <cols>
    <col min="1" max="1" width="5" style="32" customWidth="1"/>
    <col min="2" max="2" width="7.59765625" style="32" bestFit="1" customWidth="1"/>
    <col min="3" max="3" width="7.19921875" style="32" bestFit="1" customWidth="1"/>
    <col min="4" max="4" width="27.796875" style="32" bestFit="1" customWidth="1"/>
    <col min="5" max="5" width="27.3984375" style="32" bestFit="1" customWidth="1"/>
    <col min="6" max="8" width="12" style="32" bestFit="1" customWidth="1"/>
    <col min="9" max="9" width="14.59765625" style="32" bestFit="1" customWidth="1"/>
    <col min="10" max="10" width="12" style="32" bestFit="1" customWidth="1"/>
    <col min="11" max="11" width="12.59765625" style="32" bestFit="1" customWidth="1"/>
    <col min="12" max="12" width="16.19921875" style="32" bestFit="1" customWidth="1"/>
    <col min="13" max="13" width="20" style="32" bestFit="1" customWidth="1"/>
    <col min="14" max="14" width="20" style="32" customWidth="1"/>
    <col min="15" max="15" width="14.3984375" style="32" bestFit="1" customWidth="1"/>
    <col min="16" max="16" width="12.19921875" style="32" bestFit="1" customWidth="1"/>
    <col min="17" max="17" width="3.3984375" style="32" customWidth="1"/>
    <col min="18" max="16384" width="9.3984375" style="32"/>
  </cols>
  <sheetData>
    <row r="1" spans="2:16" ht="39" thickBot="1">
      <c r="B1" s="85" t="s">
        <v>365</v>
      </c>
      <c r="C1" s="85" t="s">
        <v>15</v>
      </c>
      <c r="D1" s="20" t="s">
        <v>18</v>
      </c>
      <c r="E1" s="85" t="s">
        <v>16</v>
      </c>
      <c r="F1" s="85" t="s">
        <v>167</v>
      </c>
      <c r="G1" s="85" t="s">
        <v>176</v>
      </c>
      <c r="H1" s="85" t="s">
        <v>168</v>
      </c>
      <c r="I1" s="85" t="s">
        <v>165</v>
      </c>
      <c r="J1" s="85" t="s">
        <v>166</v>
      </c>
      <c r="K1" s="20" t="s">
        <v>40</v>
      </c>
      <c r="L1" s="20" t="s">
        <v>41</v>
      </c>
      <c r="M1" s="20" t="s">
        <v>194</v>
      </c>
      <c r="N1" s="20" t="s">
        <v>364</v>
      </c>
      <c r="O1" s="20" t="s">
        <v>169</v>
      </c>
      <c r="P1" s="20" t="s">
        <v>0</v>
      </c>
    </row>
    <row r="2" spans="2:16" ht="19">
      <c r="B2" s="102">
        <v>8</v>
      </c>
      <c r="C2" s="33" t="s">
        <v>13</v>
      </c>
      <c r="D2" s="55"/>
      <c r="E2" s="33" t="s">
        <v>12</v>
      </c>
      <c r="F2" s="23"/>
      <c r="G2" s="23"/>
      <c r="H2" s="23"/>
      <c r="I2" s="34"/>
      <c r="J2" s="34"/>
      <c r="K2" s="51"/>
      <c r="L2" s="51"/>
      <c r="M2" s="53"/>
      <c r="N2" s="53"/>
      <c r="O2" s="51"/>
      <c r="P2" s="54"/>
    </row>
    <row r="3" spans="2:16" ht="19">
      <c r="B3" s="102"/>
      <c r="C3" s="33"/>
      <c r="D3" s="55" t="s">
        <v>147</v>
      </c>
      <c r="E3" s="33" t="s">
        <v>160</v>
      </c>
      <c r="F3" s="84">
        <v>240401</v>
      </c>
      <c r="G3" s="84"/>
      <c r="H3" s="84"/>
      <c r="I3" s="111">
        <v>1</v>
      </c>
      <c r="J3" s="112">
        <v>21</v>
      </c>
      <c r="K3" s="27">
        <v>230000</v>
      </c>
      <c r="L3" s="123">
        <f>J3*(K3*I3)</f>
        <v>4830000</v>
      </c>
      <c r="M3" s="138" t="s">
        <v>181</v>
      </c>
      <c r="N3" s="138" t="s">
        <v>181</v>
      </c>
      <c r="O3" s="104" t="s">
        <v>170</v>
      </c>
      <c r="P3" s="54"/>
    </row>
    <row r="4" spans="2:16" ht="19">
      <c r="B4" s="102"/>
      <c r="C4" s="33"/>
      <c r="D4" s="55" t="s">
        <v>24</v>
      </c>
      <c r="E4" s="33" t="s">
        <v>161</v>
      </c>
      <c r="F4" s="84"/>
      <c r="G4" s="84"/>
      <c r="H4" s="84"/>
      <c r="I4" s="33">
        <v>1</v>
      </c>
      <c r="J4" s="33">
        <v>21</v>
      </c>
      <c r="K4" s="26" t="s">
        <v>317</v>
      </c>
      <c r="L4" s="123" t="s">
        <v>317</v>
      </c>
      <c r="M4" s="160" t="s">
        <v>181</v>
      </c>
      <c r="N4" s="160" t="s">
        <v>181</v>
      </c>
      <c r="O4" s="55"/>
      <c r="P4" s="54"/>
    </row>
    <row r="5" spans="2:16" ht="19">
      <c r="B5" s="102"/>
      <c r="C5" s="33"/>
      <c r="D5" s="55" t="s">
        <v>150</v>
      </c>
      <c r="E5" s="33" t="s">
        <v>162</v>
      </c>
      <c r="F5" s="84"/>
      <c r="G5" s="84"/>
      <c r="H5" s="84"/>
      <c r="I5" s="33">
        <v>1</v>
      </c>
      <c r="J5" s="33">
        <v>21</v>
      </c>
      <c r="K5" s="26" t="s">
        <v>317</v>
      </c>
      <c r="L5" s="123" t="s">
        <v>317</v>
      </c>
      <c r="M5" s="160" t="s">
        <v>181</v>
      </c>
      <c r="N5" s="160" t="s">
        <v>181</v>
      </c>
      <c r="O5" s="55"/>
      <c r="P5" s="54"/>
    </row>
    <row r="6" spans="2:16" ht="19">
      <c r="B6" s="102"/>
      <c r="C6" s="33"/>
      <c r="D6" s="55" t="s">
        <v>152</v>
      </c>
      <c r="E6" s="33" t="s">
        <v>153</v>
      </c>
      <c r="F6" s="84"/>
      <c r="G6" s="84"/>
      <c r="H6" s="84"/>
      <c r="I6" s="33">
        <v>8</v>
      </c>
      <c r="J6" s="33">
        <v>31.5</v>
      </c>
      <c r="K6" s="126">
        <v>50000</v>
      </c>
      <c r="L6" s="123">
        <f t="shared" ref="L6:L14" si="0">J6*(K6*I6)</f>
        <v>12600000</v>
      </c>
      <c r="M6" s="167" t="s">
        <v>188</v>
      </c>
      <c r="N6" s="167" t="s">
        <v>188</v>
      </c>
      <c r="O6" s="55"/>
      <c r="P6" s="54" t="s">
        <v>328</v>
      </c>
    </row>
    <row r="7" spans="2:16" ht="19">
      <c r="B7" s="102"/>
      <c r="C7" s="33"/>
      <c r="D7" s="55" t="s">
        <v>154</v>
      </c>
      <c r="E7" s="33" t="s">
        <v>155</v>
      </c>
      <c r="F7" s="84"/>
      <c r="G7" s="84"/>
      <c r="H7" s="84"/>
      <c r="I7" s="33">
        <v>1</v>
      </c>
      <c r="J7" s="33">
        <v>21</v>
      </c>
      <c r="K7" s="26" t="s">
        <v>317</v>
      </c>
      <c r="L7" s="123" t="s">
        <v>317</v>
      </c>
      <c r="M7" s="160" t="s">
        <v>181</v>
      </c>
      <c r="N7" s="160" t="s">
        <v>181</v>
      </c>
      <c r="O7" s="55"/>
      <c r="P7" s="54"/>
    </row>
    <row r="8" spans="2:16" ht="19">
      <c r="B8" s="102"/>
      <c r="C8" s="33"/>
      <c r="D8" s="55" t="s">
        <v>31</v>
      </c>
      <c r="E8" s="33" t="s">
        <v>163</v>
      </c>
      <c r="F8" s="84">
        <v>240401</v>
      </c>
      <c r="G8" s="84"/>
      <c r="H8" s="84"/>
      <c r="I8" s="111">
        <v>1</v>
      </c>
      <c r="J8" s="112">
        <v>25</v>
      </c>
      <c r="K8" s="126">
        <v>112000</v>
      </c>
      <c r="L8" s="123">
        <f t="shared" si="0"/>
        <v>2800000</v>
      </c>
      <c r="M8" s="167" t="s">
        <v>182</v>
      </c>
      <c r="N8" s="167" t="s">
        <v>182</v>
      </c>
      <c r="O8" s="111" t="s">
        <v>172</v>
      </c>
      <c r="P8" s="54"/>
    </row>
    <row r="9" spans="2:16" ht="19">
      <c r="B9" s="102"/>
      <c r="C9" s="33"/>
      <c r="D9" s="55" t="s">
        <v>87</v>
      </c>
      <c r="E9" s="33" t="s">
        <v>157</v>
      </c>
      <c r="F9" s="84"/>
      <c r="G9" s="84"/>
      <c r="H9" s="84"/>
      <c r="I9" s="33">
        <v>1</v>
      </c>
      <c r="J9" s="33">
        <v>21</v>
      </c>
      <c r="K9" s="26" t="s">
        <v>317</v>
      </c>
      <c r="L9" s="26" t="s">
        <v>317</v>
      </c>
      <c r="M9" s="160" t="s">
        <v>181</v>
      </c>
      <c r="N9" s="160" t="s">
        <v>181</v>
      </c>
      <c r="O9" s="55"/>
      <c r="P9" s="54"/>
    </row>
    <row r="10" spans="2:16" ht="19">
      <c r="B10" s="102"/>
      <c r="C10" s="33"/>
      <c r="D10" s="55" t="s">
        <v>89</v>
      </c>
      <c r="E10" s="33" t="s">
        <v>158</v>
      </c>
      <c r="F10" s="84"/>
      <c r="G10" s="84"/>
      <c r="H10" s="84"/>
      <c r="I10" s="33">
        <v>1</v>
      </c>
      <c r="J10" s="33">
        <v>25</v>
      </c>
      <c r="K10" s="26">
        <v>580000</v>
      </c>
      <c r="L10" s="123">
        <f t="shared" si="0"/>
        <v>14500000</v>
      </c>
      <c r="M10" s="155" t="s">
        <v>273</v>
      </c>
      <c r="N10" s="155" t="s">
        <v>273</v>
      </c>
      <c r="O10" s="55"/>
      <c r="P10" s="54"/>
    </row>
    <row r="11" spans="2:16" ht="19">
      <c r="B11" s="102"/>
      <c r="C11" s="33"/>
      <c r="D11" s="55" t="s">
        <v>33</v>
      </c>
      <c r="E11" s="33" t="s">
        <v>53</v>
      </c>
      <c r="F11" s="84"/>
      <c r="G11" s="84"/>
      <c r="H11" s="84"/>
      <c r="I11" s="33">
        <v>1</v>
      </c>
      <c r="J11" s="33">
        <v>25</v>
      </c>
      <c r="K11" s="26">
        <v>2800</v>
      </c>
      <c r="L11" s="123">
        <f t="shared" si="0"/>
        <v>70000</v>
      </c>
      <c r="M11" s="160" t="s">
        <v>262</v>
      </c>
      <c r="N11" s="160" t="s">
        <v>263</v>
      </c>
      <c r="O11" s="55"/>
      <c r="P11" s="54"/>
    </row>
    <row r="12" spans="2:16" ht="19">
      <c r="B12" s="102"/>
      <c r="C12" s="33"/>
      <c r="D12" s="55" t="s">
        <v>34</v>
      </c>
      <c r="E12" s="33" t="s">
        <v>55</v>
      </c>
      <c r="F12" s="84"/>
      <c r="G12" s="84"/>
      <c r="H12" s="84"/>
      <c r="I12" s="33">
        <v>1</v>
      </c>
      <c r="J12" s="33">
        <v>25</v>
      </c>
      <c r="K12" s="26">
        <v>350</v>
      </c>
      <c r="L12" s="123">
        <f t="shared" si="0"/>
        <v>8750</v>
      </c>
      <c r="M12" s="160" t="s">
        <v>262</v>
      </c>
      <c r="N12" s="160" t="s">
        <v>263</v>
      </c>
      <c r="O12" s="55"/>
      <c r="P12" s="54"/>
    </row>
    <row r="13" spans="2:16" ht="19">
      <c r="B13" s="102"/>
      <c r="C13" s="33"/>
      <c r="D13" s="55" t="s">
        <v>125</v>
      </c>
      <c r="E13" s="33" t="s">
        <v>56</v>
      </c>
      <c r="F13" s="84"/>
      <c r="G13" s="84"/>
      <c r="H13" s="84"/>
      <c r="I13" s="33">
        <v>1</v>
      </c>
      <c r="J13" s="33">
        <v>25</v>
      </c>
      <c r="K13" s="26">
        <v>32300</v>
      </c>
      <c r="L13" s="123">
        <f t="shared" si="0"/>
        <v>807500</v>
      </c>
      <c r="M13" s="160" t="s">
        <v>262</v>
      </c>
      <c r="N13" s="160" t="s">
        <v>264</v>
      </c>
      <c r="O13" s="55"/>
      <c r="P13" s="54"/>
    </row>
    <row r="14" spans="2:16" ht="19">
      <c r="B14" s="102"/>
      <c r="C14" s="33"/>
      <c r="D14" s="55" t="s">
        <v>36</v>
      </c>
      <c r="E14" s="33" t="s">
        <v>57</v>
      </c>
      <c r="F14" s="84"/>
      <c r="G14" s="84"/>
      <c r="H14" s="84"/>
      <c r="I14" s="33">
        <v>4</v>
      </c>
      <c r="J14" s="33">
        <v>25</v>
      </c>
      <c r="K14" s="26">
        <v>1300</v>
      </c>
      <c r="L14" s="123">
        <f t="shared" si="0"/>
        <v>130000</v>
      </c>
      <c r="M14" s="160" t="s">
        <v>262</v>
      </c>
      <c r="N14" s="160" t="s">
        <v>264</v>
      </c>
      <c r="O14" s="55"/>
      <c r="P14" s="54"/>
    </row>
    <row r="15" spans="2:16" ht="19">
      <c r="B15" s="102"/>
      <c r="C15" s="33"/>
      <c r="D15" s="55" t="s">
        <v>115</v>
      </c>
      <c r="E15" s="33" t="s">
        <v>164</v>
      </c>
      <c r="F15" s="84"/>
      <c r="G15" s="84"/>
      <c r="H15" s="84"/>
      <c r="I15" s="33">
        <v>1</v>
      </c>
      <c r="J15" s="33"/>
      <c r="K15" s="55" t="s">
        <v>317</v>
      </c>
      <c r="L15" s="123" t="s">
        <v>317</v>
      </c>
      <c r="M15" s="160" t="s">
        <v>181</v>
      </c>
      <c r="N15" s="160" t="s">
        <v>181</v>
      </c>
      <c r="O15" s="55"/>
      <c r="P15" s="54"/>
    </row>
    <row r="16" spans="2:16" ht="19">
      <c r="B16" s="102"/>
      <c r="C16" s="33"/>
      <c r="D16" s="55" t="s">
        <v>39</v>
      </c>
      <c r="E16" s="33" t="s">
        <v>159</v>
      </c>
      <c r="F16" s="84"/>
      <c r="G16" s="84"/>
      <c r="H16" s="84"/>
      <c r="I16" s="33">
        <v>1</v>
      </c>
      <c r="J16" s="33"/>
      <c r="K16" s="55" t="s">
        <v>317</v>
      </c>
      <c r="L16" s="123" t="s">
        <v>317</v>
      </c>
      <c r="M16" s="62" t="s">
        <v>317</v>
      </c>
      <c r="N16" s="62" t="s">
        <v>317</v>
      </c>
      <c r="O16" s="55"/>
      <c r="P16" s="54"/>
    </row>
    <row r="17" spans="2:16">
      <c r="G17" s="127"/>
      <c r="L17" s="128">
        <f>SUM(L2:L16)</f>
        <v>35746250</v>
      </c>
    </row>
    <row r="18" spans="2:16">
      <c r="L18" s="129"/>
    </row>
    <row r="22" spans="2:16">
      <c r="B22" s="299" t="s">
        <v>350</v>
      </c>
      <c r="C22" s="28">
        <v>1</v>
      </c>
      <c r="D22" s="40" t="s">
        <v>334</v>
      </c>
      <c r="E22" s="40" t="s">
        <v>342</v>
      </c>
      <c r="F22" s="40"/>
      <c r="G22" s="40"/>
      <c r="H22" s="40"/>
      <c r="I22" s="40">
        <v>1</v>
      </c>
      <c r="J22" s="40">
        <v>25</v>
      </c>
      <c r="K22" s="26">
        <v>80</v>
      </c>
      <c r="L22" s="123">
        <f t="shared" ref="L22:L31" si="1">J22*(K22*I22)</f>
        <v>2000</v>
      </c>
      <c r="M22" s="28" t="s">
        <v>262</v>
      </c>
      <c r="N22" s="28"/>
      <c r="O22" s="40"/>
      <c r="P22" s="40"/>
    </row>
    <row r="23" spans="2:16">
      <c r="B23" s="300"/>
      <c r="C23" s="28">
        <v>2</v>
      </c>
      <c r="D23" s="40" t="s">
        <v>335</v>
      </c>
      <c r="E23" s="40" t="s">
        <v>338</v>
      </c>
      <c r="F23" s="40"/>
      <c r="G23" s="40"/>
      <c r="H23" s="40"/>
      <c r="I23" s="40">
        <v>2</v>
      </c>
      <c r="J23" s="40">
        <v>25</v>
      </c>
      <c r="K23" s="26">
        <v>25</v>
      </c>
      <c r="L23" s="123">
        <f t="shared" si="1"/>
        <v>1250</v>
      </c>
      <c r="M23" s="28" t="s">
        <v>262</v>
      </c>
      <c r="N23" s="28"/>
      <c r="O23" s="40"/>
      <c r="P23" s="40"/>
    </row>
    <row r="24" spans="2:16">
      <c r="B24" s="300"/>
      <c r="C24" s="28">
        <v>3</v>
      </c>
      <c r="D24" s="40" t="s">
        <v>334</v>
      </c>
      <c r="E24" s="40" t="s">
        <v>343</v>
      </c>
      <c r="F24" s="40"/>
      <c r="G24" s="40"/>
      <c r="H24" s="40"/>
      <c r="I24" s="40">
        <v>1</v>
      </c>
      <c r="J24" s="40">
        <v>25</v>
      </c>
      <c r="K24" s="26">
        <v>60</v>
      </c>
      <c r="L24" s="123">
        <f t="shared" si="1"/>
        <v>1500</v>
      </c>
      <c r="M24" s="28" t="s">
        <v>262</v>
      </c>
      <c r="N24" s="28"/>
      <c r="O24" s="40"/>
      <c r="P24" s="40"/>
    </row>
    <row r="25" spans="2:16">
      <c r="B25" s="300"/>
      <c r="C25" s="28">
        <v>4</v>
      </c>
      <c r="D25" s="40" t="s">
        <v>334</v>
      </c>
      <c r="E25" s="40" t="s">
        <v>336</v>
      </c>
      <c r="F25" s="40"/>
      <c r="G25" s="40"/>
      <c r="H25" s="40"/>
      <c r="I25" s="40">
        <v>1</v>
      </c>
      <c r="J25" s="40">
        <v>25</v>
      </c>
      <c r="K25" s="26">
        <v>45</v>
      </c>
      <c r="L25" s="123">
        <f t="shared" si="1"/>
        <v>1125</v>
      </c>
      <c r="M25" s="28" t="s">
        <v>262</v>
      </c>
      <c r="N25" s="28"/>
      <c r="O25" s="40"/>
      <c r="P25" s="40"/>
    </row>
    <row r="26" spans="2:16">
      <c r="B26" s="300"/>
      <c r="C26" s="28">
        <v>5</v>
      </c>
      <c r="D26" s="40" t="s">
        <v>335</v>
      </c>
      <c r="E26" s="40" t="s">
        <v>337</v>
      </c>
      <c r="F26" s="40"/>
      <c r="G26" s="40"/>
      <c r="H26" s="40"/>
      <c r="I26" s="40">
        <v>13</v>
      </c>
      <c r="J26" s="40">
        <v>25</v>
      </c>
      <c r="K26" s="26">
        <v>25</v>
      </c>
      <c r="L26" s="123">
        <f t="shared" si="1"/>
        <v>8125</v>
      </c>
      <c r="M26" s="28" t="s">
        <v>262</v>
      </c>
      <c r="N26" s="28"/>
      <c r="O26" s="40"/>
      <c r="P26" s="40"/>
    </row>
    <row r="27" spans="2:16">
      <c r="B27" s="300"/>
      <c r="C27" s="28">
        <v>6</v>
      </c>
      <c r="D27" s="40" t="s">
        <v>334</v>
      </c>
      <c r="E27" s="40" t="s">
        <v>344</v>
      </c>
      <c r="F27" s="40"/>
      <c r="G27" s="40"/>
      <c r="H27" s="40"/>
      <c r="I27" s="40">
        <v>1</v>
      </c>
      <c r="J27" s="40">
        <v>25</v>
      </c>
      <c r="K27" s="26">
        <v>40</v>
      </c>
      <c r="L27" s="123">
        <f t="shared" si="1"/>
        <v>1000</v>
      </c>
      <c r="M27" s="28" t="s">
        <v>262</v>
      </c>
      <c r="N27" s="28"/>
      <c r="O27" s="40"/>
      <c r="P27" s="40"/>
    </row>
    <row r="28" spans="2:16">
      <c r="B28" s="300"/>
      <c r="C28" s="28">
        <v>7</v>
      </c>
      <c r="D28" s="40" t="s">
        <v>334</v>
      </c>
      <c r="E28" s="40" t="s">
        <v>241</v>
      </c>
      <c r="F28" s="40"/>
      <c r="G28" s="40"/>
      <c r="H28" s="40"/>
      <c r="I28" s="40">
        <v>1</v>
      </c>
      <c r="J28" s="40">
        <v>25</v>
      </c>
      <c r="K28" s="26">
        <v>50</v>
      </c>
      <c r="L28" s="123">
        <f t="shared" si="1"/>
        <v>1250</v>
      </c>
      <c r="M28" s="28" t="s">
        <v>262</v>
      </c>
      <c r="N28" s="28"/>
      <c r="O28" s="40"/>
      <c r="P28" s="40"/>
    </row>
    <row r="29" spans="2:16">
      <c r="B29" s="300"/>
      <c r="C29" s="28">
        <v>8</v>
      </c>
      <c r="D29" s="40" t="s">
        <v>335</v>
      </c>
      <c r="E29" s="40" t="s">
        <v>313</v>
      </c>
      <c r="F29" s="40"/>
      <c r="G29" s="40"/>
      <c r="H29" s="40"/>
      <c r="I29" s="40">
        <v>6</v>
      </c>
      <c r="J29" s="40">
        <v>25</v>
      </c>
      <c r="K29" s="26">
        <v>11</v>
      </c>
      <c r="L29" s="123">
        <f t="shared" si="1"/>
        <v>1650</v>
      </c>
      <c r="M29" s="28" t="s">
        <v>262</v>
      </c>
      <c r="N29" s="28"/>
      <c r="O29" s="40"/>
      <c r="P29" s="40"/>
    </row>
    <row r="30" spans="2:16">
      <c r="B30" s="300"/>
      <c r="C30" s="28">
        <v>9</v>
      </c>
      <c r="D30" s="40" t="s">
        <v>334</v>
      </c>
      <c r="E30" s="40" t="s">
        <v>347</v>
      </c>
      <c r="F30" s="40"/>
      <c r="G30" s="40"/>
      <c r="H30" s="40"/>
      <c r="I30" s="40">
        <v>1</v>
      </c>
      <c r="J30" s="40">
        <v>25</v>
      </c>
      <c r="K30" s="26">
        <v>30</v>
      </c>
      <c r="L30" s="123">
        <f t="shared" si="1"/>
        <v>750</v>
      </c>
      <c r="M30" s="28" t="s">
        <v>262</v>
      </c>
      <c r="N30" s="28"/>
      <c r="O30" s="40"/>
      <c r="P30" s="40"/>
    </row>
    <row r="31" spans="2:16">
      <c r="B31" s="301"/>
      <c r="C31" s="28">
        <v>10</v>
      </c>
      <c r="D31" s="40" t="s">
        <v>335</v>
      </c>
      <c r="E31" s="40" t="s">
        <v>348</v>
      </c>
      <c r="F31" s="40"/>
      <c r="G31" s="40"/>
      <c r="H31" s="40"/>
      <c r="I31" s="40">
        <v>2</v>
      </c>
      <c r="J31" s="40">
        <v>25</v>
      </c>
      <c r="K31" s="26">
        <v>25</v>
      </c>
      <c r="L31" s="123">
        <f t="shared" si="1"/>
        <v>1250</v>
      </c>
      <c r="M31" s="28" t="s">
        <v>262</v>
      </c>
      <c r="N31" s="28"/>
      <c r="O31" s="40"/>
      <c r="P31" s="40"/>
    </row>
    <row r="32" spans="2:16">
      <c r="L32" s="31">
        <f>SUM(L22:L31)</f>
        <v>19900</v>
      </c>
    </row>
  </sheetData>
  <mergeCells count="1">
    <mergeCell ref="B22:B31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E1CF-49C9-4034-AEBD-EC37DD3DAF56}">
  <dimension ref="A1"/>
  <sheetViews>
    <sheetView workbookViewId="0">
      <selection activeCell="B3" sqref="B3"/>
    </sheetView>
  </sheetViews>
  <sheetFormatPr baseColWidth="10" defaultColWidth="9" defaultRowHeight="1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BOM list</vt:lpstr>
      <vt:lpstr>MOP</vt:lpstr>
      <vt:lpstr>MSR</vt:lpstr>
      <vt:lpstr>CTM</vt:lpstr>
      <vt:lpstr>PAB</vt:lpstr>
      <vt:lpstr>EID</vt:lpstr>
      <vt:lpstr>PSR</vt:lpstr>
      <vt:lpstr>ETND</vt:lpstr>
      <vt:lpstr>EDD</vt:lpstr>
      <vt:lpstr>부자재list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SSChoi-3F</dc:creator>
  <cp:lastModifiedBy>MM2120</cp:lastModifiedBy>
  <dcterms:created xsi:type="dcterms:W3CDTF">2024-02-07T18:56:14Z</dcterms:created>
  <dcterms:modified xsi:type="dcterms:W3CDTF">2025-12-28T02:37:48Z</dcterms:modified>
</cp:coreProperties>
</file>
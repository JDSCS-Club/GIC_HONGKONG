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0D8EB534-AE96-4F45-B1FD-E94C0E34B4CA}" xr6:coauthVersionLast="47" xr6:coauthVersionMax="47" xr10:uidLastSave="{00000000-0000-0000-0000-000000000000}"/>
  <bookViews>
    <workbookView xWindow="7220" yWindow="900" windowWidth="33900" windowHeight="24360" xr2:uid="{00000000-000D-0000-FFFF-FFFF00000000}"/>
  </bookViews>
  <sheets>
    <sheet name="BOM list" sheetId="1" r:id="rId1"/>
    <sheet name="MOP" sheetId="3" r:id="rId2"/>
    <sheet name="MSR" sheetId="4" r:id="rId3"/>
    <sheet name="CTM" sheetId="5" r:id="rId4"/>
    <sheet name="부자재list" sheetId="2" r:id="rId5"/>
  </sheets>
  <definedNames>
    <definedName name="_xlnm._FilterDatabase" localSheetId="0" hidden="1">'BOM list'!$B$2:$M$162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3" l="1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M15" i="3"/>
  <c r="M16" i="3"/>
  <c r="M6" i="5"/>
  <c r="M8" i="5"/>
  <c r="M13" i="4"/>
  <c r="Q47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161" i="1"/>
  <c r="G161" i="1"/>
  <c r="F161" i="1"/>
  <c r="E161" i="1"/>
  <c r="D161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159" i="1"/>
  <c r="H162" i="1"/>
  <c r="I15" i="1"/>
  <c r="I66" i="1"/>
  <c r="H66" i="1"/>
  <c r="I162" i="1"/>
  <c r="H41" i="1" l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157" i="1"/>
  <c r="I156" i="1"/>
  <c r="I155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65" i="1" l="1"/>
  <c r="I14" i="1"/>
  <c r="I161" i="1"/>
</calcChain>
</file>

<file path=xl/sharedStrings.xml><?xml version="1.0" encoding="utf-8"?>
<sst xmlns="http://schemas.openxmlformats.org/spreadsheetml/2006/main" count="586" uniqueCount="248">
  <si>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</si>
  <si>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</si>
  <si>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</si>
  <si>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</si>
  <si>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</si>
  <si>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</si>
  <si>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</si>
  <si>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</si>
  <si>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</si>
  <si>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</si>
  <si>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</si>
  <si>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</si>
  <si>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</si>
  <si>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</si>
  <si>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</si>
  <si>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</si>
  <si>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</si>
  <si>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</si>
  <si>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</si>
  <si>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</si>
  <si>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</si>
  <si>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</si>
  <si>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</si>
  <si>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</si>
  <si>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</si>
  <si>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</si>
  <si>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</si>
  <si>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</si>
  <si>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</si>
  <si>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</si>
  <si>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</si>
  <si>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</si>
  <si>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</si>
  <si>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</si>
  <si>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</si>
  <si>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</si>
  <si>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</si>
  <si>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</si>
  <si>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</si>
  <si>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</si>
  <si>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</si>
  <si>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</si>
  <si>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</si>
  <si>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</si>
  <si>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</si>
  <si>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</si>
  <si>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</si>
  <si>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</si>
  <si>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</si>
  <si>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</si>
  <si>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</si>
  <si>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</si>
  <si>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</si>
  <si>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</si>
  <si>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</si>
  <si>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</si>
  <si>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</si>
  <si>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</si>
  <si>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</si>
  <si>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</si>
  <si>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</si>
  <si>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</si>
  <si>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</si>
  <si>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</si>
  <si>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</si>
  <si>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</si>
  <si>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</si>
  <si>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</si>
  <si>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</si>
  <si>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</si>
  <si>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</si>
  <si>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</si>
  <si>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</si>
  <si>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</si>
  <si>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</si>
  <si>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</si>
  <si>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</si>
  <si>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</si>
  <si>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</si>
  <si>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</si>
  <si>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</si>
  <si>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</si>
  <si>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</si>
  <si>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</si>
  <si>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</si>
  <si>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</si>
  <si>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</si>
  <si>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대당소요량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</si>
  <si>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</si>
  <si>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</si>
  <si>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</si>
  <si>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</si>
  <si>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</si>
  <si>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</si>
  <si>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</si>
  <si>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</si>
  <si>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</si>
  <si>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</si>
  <si>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</si>
  <si>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</si>
  <si>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</si>
  <si>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51EA</t>
    <phoneticPr fontId="2" type="noConversion"/>
  </si>
  <si>
    <t>이엔엠테크놀로지</t>
    <phoneticPr fontId="2" type="noConversion"/>
  </si>
  <si>
    <t>납품수량</t>
    <phoneticPr fontId="2" type="noConversion"/>
  </si>
  <si>
    <t>10 EA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</si>
  <si>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</si>
  <si>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</si>
  <si>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</si>
  <si>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</si>
  <si>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</si>
  <si>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</si>
  <si>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</si>
  <si>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</si>
  <si>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</si>
  <si>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</si>
  <si>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</si>
  <si>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</si>
  <si>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</si>
  <si>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CONNECTOR</t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</si>
  <si>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</si>
  <si>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</si>
  <si>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</si>
  <si>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</si>
  <si>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</si>
  <si>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</si>
  <si>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</si>
  <si>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</si>
  <si>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</si>
  <si>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</si>
  <si>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</si>
  <si>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</si>
  <si>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</si>
  <si>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</si>
  <si>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</si>
  <si>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</si>
  <si>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</si>
  <si>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</si>
  <si>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</si>
  <si>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</si>
  <si>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</si>
  <si>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</si>
  <si>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</si>
  <si>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</si>
  <si>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</si>
  <si>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</si>
  <si>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</si>
  <si>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</si>
  <si>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</si>
  <si>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</si>
  <si>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</si>
  <si>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</si>
  <si>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</si>
  <si>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</si>
  <si>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</si>
  <si>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</si>
  <si>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</si>
  <si>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</si>
  <si>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</si>
  <si>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</si>
  <si>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</si>
  <si>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</si>
  <si>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</si>
  <si>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</si>
  <si>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</si>
  <si>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</si>
  <si>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</si>
  <si>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</si>
  <si>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</si>
  <si>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</si>
  <si>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>60EA</t>
    <phoneticPr fontId="2" type="noConversion"/>
  </si>
  <si>
    <t>55EA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</si>
  <si>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</si>
  <si>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</si>
  <si>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</si>
  <si>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</si>
  <si>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</si>
  <si>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</si>
  <si>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</si>
  <si>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</si>
  <si>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</si>
  <si>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</si>
  <si>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</si>
  <si>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  <phoneticPr fontId="2" type="noConversion"/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</si>
  <si>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</si>
  <si>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</si>
  <si>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</si>
  <si>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</si>
  <si>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</si>
  <si>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</si>
  <si>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</si>
  <si>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</si>
  <si>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</si>
  <si>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</si>
  <si>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</si>
  <si>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</si>
  <si>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</si>
  <si>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</si>
  <si>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</si>
  <si>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</si>
  <si>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</si>
  <si>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</si>
  <si>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</si>
  <si>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</si>
  <si>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</si>
  <si>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</si>
  <si>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</si>
  <si>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</si>
  <si>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</si>
  <si>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</si>
  <si>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</si>
  <si>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</si>
  <si>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</si>
  <si>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LCD 보호 스폰지 폼</t>
    <phoneticPr fontId="2" type="noConversion"/>
  </si>
  <si>
    <t>위트솔루션즈</t>
    <phoneticPr fontId="2" type="noConversion"/>
  </si>
  <si>
    <t>BEUPSYS 정산</t>
    <phoneticPr fontId="2" type="noConversion"/>
  </si>
  <si>
    <t>WIRE</t>
    <phoneticPr fontId="2" type="noConversion"/>
  </si>
  <si>
    <t>100G0111-0.5-0</t>
    <phoneticPr fontId="2" type="noConversion"/>
  </si>
  <si>
    <t>EMC 가스켓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</si>
  <si>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</si>
  <si>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</si>
  <si>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</si>
  <si>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</si>
  <si>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추가 진행 필요</t>
    <phoneticPr fontId="2" type="noConversion"/>
  </si>
  <si>
    <t>티렉스아이앤씨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</si>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</sst>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;###0"/>
    <numFmt numFmtId="177" formatCode="&quot;₩&quot;#,##0"/>
    <numFmt numFmtId="178" formatCode="&quot;US$&quot;#,##0.00"/>
    <numFmt numFmtId="179" formatCode="m&quot;월&quot;\ d&quot;일&quot;"/>
  </numFmts>
  <fonts count="29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8" fillId="11" borderId="0" applyNumberFormat="0" applyBorder="0" applyAlignment="0" applyProtection="0">
      <alignment vertical="center"/>
    </xf>
  </cellStyleXfs>
  <cellXfs count="247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7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top" wrapText="1"/>
    </xf>
    <xf numFmtId="177" fontId="3" fillId="2" borderId="0" xfId="0" applyNumberFormat="1" applyFont="1" applyFill="1" applyAlignment="1">
      <alignment horizontal="center" vertical="center"/>
    </xf>
    <xf numFmtId="177" fontId="7" fillId="2" borderId="8" xfId="0" applyNumberFormat="1" applyFont="1" applyFill="1" applyBorder="1" applyAlignment="1">
      <alignment horizontal="left" vertical="center" wrapText="1"/>
    </xf>
    <xf numFmtId="177" fontId="7" fillId="2" borderId="9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3" borderId="4" xfId="0" applyFont="1" applyFill="1" applyBorder="1" applyAlignment="1">
      <alignment horizontal="left" vertical="top" wrapText="1"/>
    </xf>
    <xf numFmtId="177" fontId="17" fillId="3" borderId="8" xfId="0" applyNumberFormat="1" applyFont="1" applyFill="1" applyBorder="1" applyAlignment="1">
      <alignment horizontal="left" vertical="center" wrapText="1"/>
    </xf>
    <xf numFmtId="177" fontId="7" fillId="10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8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177" fontId="23" fillId="2" borderId="8" xfId="0" applyNumberFormat="1" applyFont="1" applyFill="1" applyBorder="1" applyAlignment="1">
      <alignment horizontal="left" vertical="center" wrapText="1"/>
    </xf>
    <xf numFmtId="177" fontId="23" fillId="2" borderId="1" xfId="0" applyNumberFormat="1" applyFont="1" applyFill="1" applyBorder="1" applyAlignment="1">
      <alignment horizontal="left" vertical="center" wrapText="1"/>
    </xf>
    <xf numFmtId="177" fontId="23" fillId="2" borderId="9" xfId="0" applyNumberFormat="1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/>
    </xf>
    <xf numFmtId="177" fontId="23" fillId="0" borderId="16" xfId="0" applyNumberFormat="1" applyFont="1" applyBorder="1" applyAlignment="1">
      <alignment horizontal="left" vertical="center" wrapText="1"/>
    </xf>
    <xf numFmtId="177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9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77" fontId="23" fillId="2" borderId="11" xfId="0" applyNumberFormat="1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177" fontId="12" fillId="3" borderId="16" xfId="0" applyNumberFormat="1" applyFont="1" applyFill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/>
    </xf>
    <xf numFmtId="0" fontId="24" fillId="0" borderId="16" xfId="0" quotePrefix="1" applyFont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24" fillId="2" borderId="16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3" borderId="31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6" fontId="23" fillId="2" borderId="5" xfId="0" applyNumberFormat="1" applyFont="1" applyFill="1" applyBorder="1" applyAlignment="1">
      <alignment horizontal="left" vertical="center" wrapText="1"/>
    </xf>
    <xf numFmtId="0" fontId="24" fillId="2" borderId="15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1" fillId="2" borderId="26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3" fillId="4" borderId="9" xfId="0" applyFont="1" applyFill="1" applyBorder="1" applyAlignment="1">
      <alignment horizontal="left" vertical="center"/>
    </xf>
    <xf numFmtId="178" fontId="23" fillId="4" borderId="9" xfId="0" applyNumberFormat="1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horizontal="left" vertical="center" wrapText="1"/>
    </xf>
    <xf numFmtId="177" fontId="12" fillId="3" borderId="9" xfId="0" applyNumberFormat="1" applyFont="1" applyFill="1" applyBorder="1" applyAlignment="1">
      <alignment horizontal="left" vertical="center" wrapText="1"/>
    </xf>
    <xf numFmtId="176" fontId="23" fillId="2" borderId="3" xfId="0" applyNumberFormat="1" applyFont="1" applyFill="1" applyBorder="1" applyAlignment="1">
      <alignment horizontal="left" vertical="center" wrapText="1"/>
    </xf>
    <xf numFmtId="0" fontId="12" fillId="9" borderId="8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177" fontId="7" fillId="8" borderId="8" xfId="0" applyNumberFormat="1" applyFont="1" applyFill="1" applyBorder="1" applyAlignment="1">
      <alignment horizontal="left" vertical="center" wrapText="1"/>
    </xf>
    <xf numFmtId="14" fontId="10" fillId="7" borderId="9" xfId="0" applyNumberFormat="1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177" fontId="19" fillId="3" borderId="8" xfId="0" applyNumberFormat="1" applyFont="1" applyFill="1" applyBorder="1" applyAlignment="1">
      <alignment horizontal="left" vertical="center" wrapText="1"/>
    </xf>
    <xf numFmtId="14" fontId="19" fillId="3" borderId="9" xfId="0" applyNumberFormat="1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8" xfId="0" applyNumberFormat="1" applyFont="1" applyBorder="1" applyAlignment="1">
      <alignment horizontal="left" vertical="center" wrapText="1"/>
    </xf>
    <xf numFmtId="14" fontId="18" fillId="3" borderId="9" xfId="0" applyNumberFormat="1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77" fontId="7" fillId="4" borderId="8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178" fontId="7" fillId="4" borderId="9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left" vertical="center" wrapText="1"/>
    </xf>
    <xf numFmtId="14" fontId="7" fillId="4" borderId="9" xfId="0" applyNumberFormat="1" applyFont="1" applyFill="1" applyBorder="1" applyAlignment="1">
      <alignment horizontal="left" vertical="center" wrapText="1"/>
    </xf>
    <xf numFmtId="14" fontId="12" fillId="3" borderId="9" xfId="0" applyNumberFormat="1" applyFont="1" applyFill="1" applyBorder="1" applyAlignment="1">
      <alignment horizontal="left" vertical="center" wrapText="1"/>
    </xf>
    <xf numFmtId="177" fontId="10" fillId="5" borderId="9" xfId="0" applyNumberFormat="1" applyFont="1" applyFill="1" applyBorder="1" applyAlignment="1">
      <alignment horizontal="left" vertical="center" wrapText="1"/>
    </xf>
    <xf numFmtId="177" fontId="7" fillId="8" borderId="9" xfId="0" applyNumberFormat="1" applyFont="1" applyFill="1" applyBorder="1" applyAlignment="1">
      <alignment horizontal="left" vertical="center" wrapText="1"/>
    </xf>
    <xf numFmtId="177" fontId="19" fillId="3" borderId="9" xfId="0" applyNumberFormat="1" applyFont="1" applyFill="1" applyBorder="1" applyAlignment="1">
      <alignment horizontal="left" vertical="center" wrapText="1"/>
    </xf>
    <xf numFmtId="14" fontId="7" fillId="8" borderId="9" xfId="0" applyNumberFormat="1" applyFont="1" applyFill="1" applyBorder="1" applyAlignment="1">
      <alignment horizontal="left" vertical="center" wrapText="1"/>
    </xf>
    <xf numFmtId="14" fontId="7" fillId="2" borderId="9" xfId="0" applyNumberFormat="1" applyFont="1" applyFill="1" applyBorder="1" applyAlignment="1">
      <alignment horizontal="left" vertical="center" wrapText="1"/>
    </xf>
    <xf numFmtId="177" fontId="7" fillId="2" borderId="9" xfId="0" quotePrefix="1" applyNumberFormat="1" applyFont="1" applyFill="1" applyBorder="1" applyAlignment="1">
      <alignment horizontal="left" vertical="center" wrapText="1"/>
    </xf>
    <xf numFmtId="0" fontId="7" fillId="8" borderId="12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14" fontId="7" fillId="2" borderId="12" xfId="0" applyNumberFormat="1" applyFont="1" applyFill="1" applyBorder="1" applyAlignment="1">
      <alignment horizontal="left" vertical="center" wrapText="1"/>
    </xf>
    <xf numFmtId="0" fontId="7" fillId="8" borderId="16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14" fontId="7" fillId="2" borderId="16" xfId="0" applyNumberFormat="1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10" fillId="7" borderId="9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center" wrapText="1"/>
    </xf>
    <xf numFmtId="177" fontId="7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left" vertical="center" wrapText="1"/>
    </xf>
    <xf numFmtId="177" fontId="17" fillId="3" borderId="9" xfId="0" applyNumberFormat="1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right" vertical="center" wrapText="1"/>
    </xf>
    <xf numFmtId="177" fontId="17" fillId="3" borderId="9" xfId="0" applyNumberFormat="1" applyFont="1" applyFill="1" applyBorder="1" applyAlignment="1">
      <alignment horizontal="right" vertical="center" wrapText="1"/>
    </xf>
    <xf numFmtId="0" fontId="24" fillId="0" borderId="32" xfId="0" applyFont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 wrapText="1"/>
    </xf>
    <xf numFmtId="177" fontId="7" fillId="0" borderId="9" xfId="0" applyNumberFormat="1" applyFont="1" applyBorder="1" applyAlignment="1">
      <alignment horizontal="left" vertical="center" wrapText="1"/>
    </xf>
    <xf numFmtId="177" fontId="17" fillId="0" borderId="8" xfId="0" applyNumberFormat="1" applyFont="1" applyBorder="1" applyAlignment="1">
      <alignment horizontal="left" vertical="center" wrapText="1"/>
    </xf>
    <xf numFmtId="14" fontId="18" fillId="0" borderId="9" xfId="0" applyNumberFormat="1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top" wrapText="1"/>
    </xf>
    <xf numFmtId="177" fontId="12" fillId="0" borderId="8" xfId="0" applyNumberFormat="1" applyFont="1" applyBorder="1" applyAlignment="1">
      <alignment horizontal="left" vertical="center" wrapText="1"/>
    </xf>
    <xf numFmtId="177" fontId="12" fillId="0" borderId="9" xfId="0" applyNumberFormat="1" applyFont="1" applyBorder="1" applyAlignment="1">
      <alignment horizontal="left" vertical="center" wrapText="1"/>
    </xf>
    <xf numFmtId="14" fontId="12" fillId="0" borderId="9" xfId="0" applyNumberFormat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4" fontId="10" fillId="0" borderId="9" xfId="0" applyNumberFormat="1" applyFont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176" fontId="16" fillId="2" borderId="16" xfId="0" applyNumberFormat="1" applyFont="1" applyFill="1" applyBorder="1" applyAlignment="1">
      <alignment horizontal="left" vertical="center" wrapText="1"/>
    </xf>
    <xf numFmtId="0" fontId="14" fillId="4" borderId="32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4" fillId="4" borderId="17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177" fontId="7" fillId="4" borderId="12" xfId="0" applyNumberFormat="1" applyFont="1" applyFill="1" applyBorder="1" applyAlignment="1">
      <alignment horizontal="left" vertical="center" wrapText="1"/>
    </xf>
    <xf numFmtId="14" fontId="7" fillId="8" borderId="12" xfId="0" applyNumberFormat="1" applyFont="1" applyFill="1" applyBorder="1" applyAlignment="1">
      <alignment horizontal="left" vertical="center" wrapText="1"/>
    </xf>
    <xf numFmtId="14" fontId="10" fillId="7" borderId="12" xfId="0" applyNumberFormat="1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177" fontId="7" fillId="4" borderId="16" xfId="0" applyNumberFormat="1" applyFont="1" applyFill="1" applyBorder="1" applyAlignment="1">
      <alignment horizontal="left" vertical="center" wrapText="1"/>
    </xf>
    <xf numFmtId="14" fontId="7" fillId="8" borderId="16" xfId="0" applyNumberFormat="1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3" fontId="27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8" fillId="11" borderId="16" xfId="3" applyBorder="1" applyAlignment="1">
      <alignment horizontal="left" vertical="center"/>
    </xf>
    <xf numFmtId="0" fontId="28" fillId="11" borderId="9" xfId="3" applyBorder="1" applyAlignment="1">
      <alignment horizontal="left" vertical="center" wrapText="1"/>
    </xf>
    <xf numFmtId="0" fontId="28" fillId="0" borderId="16" xfId="3" applyFill="1" applyBorder="1" applyAlignment="1">
      <alignment horizontal="left" vertical="center"/>
    </xf>
    <xf numFmtId="177" fontId="12" fillId="0" borderId="16" xfId="0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8" fillId="0" borderId="8" xfId="3" applyFill="1" applyBorder="1" applyAlignment="1">
      <alignment horizontal="left" vertical="center" wrapText="1"/>
    </xf>
    <xf numFmtId="177" fontId="23" fillId="0" borderId="8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8" xfId="3" applyFont="1" applyFill="1" applyBorder="1" applyAlignment="1">
      <alignment horizontal="left" vertical="center" wrapText="1"/>
    </xf>
    <xf numFmtId="177" fontId="24" fillId="0" borderId="8" xfId="0" applyNumberFormat="1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16" xfId="3" applyFont="1" applyFill="1" applyBorder="1" applyAlignment="1">
      <alignment horizontal="left" vertical="center"/>
    </xf>
    <xf numFmtId="177" fontId="24" fillId="0" borderId="16" xfId="0" applyNumberFormat="1" applyFont="1" applyBorder="1" applyAlignment="1">
      <alignment horizontal="left" vertical="center" wrapText="1"/>
    </xf>
    <xf numFmtId="177" fontId="24" fillId="0" borderId="1" xfId="0" applyNumberFormat="1" applyFont="1" applyBorder="1" applyAlignment="1">
      <alignment horizontal="left" vertical="center" wrapText="1"/>
    </xf>
    <xf numFmtId="177" fontId="24" fillId="0" borderId="9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7" fontId="24" fillId="0" borderId="21" xfId="0" applyNumberFormat="1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4" fillId="3" borderId="16" xfId="0" applyFont="1" applyFill="1" applyBorder="1" applyAlignment="1">
      <alignment horizontal="left" vertical="center" wrapText="1"/>
    </xf>
    <xf numFmtId="0" fontId="28" fillId="3" borderId="8" xfId="3" applyFill="1" applyBorder="1" applyAlignment="1">
      <alignment horizontal="left" vertical="center" wrapText="1"/>
    </xf>
    <xf numFmtId="177" fontId="23" fillId="3" borderId="9" xfId="0" applyNumberFormat="1" applyFont="1" applyFill="1" applyBorder="1" applyAlignment="1">
      <alignment horizontal="left" vertical="center" wrapText="1"/>
    </xf>
    <xf numFmtId="177" fontId="23" fillId="3" borderId="1" xfId="0" applyNumberFormat="1" applyFont="1" applyFill="1" applyBorder="1" applyAlignment="1">
      <alignment horizontal="left" vertical="center" wrapText="1"/>
    </xf>
    <xf numFmtId="177" fontId="23" fillId="3" borderId="8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/>
    </xf>
    <xf numFmtId="177" fontId="24" fillId="3" borderId="8" xfId="0" applyNumberFormat="1" applyFont="1" applyFill="1" applyBorder="1" applyAlignment="1">
      <alignment horizontal="left" vertical="center" wrapText="1"/>
    </xf>
    <xf numFmtId="177" fontId="24" fillId="3" borderId="1" xfId="0" applyNumberFormat="1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76" fontId="16" fillId="2" borderId="16" xfId="0" applyNumberFormat="1" applyFont="1" applyFill="1" applyBorder="1" applyAlignment="1">
      <alignment horizontal="left" vertical="center" wrapText="1"/>
    </xf>
    <xf numFmtId="176" fontId="16" fillId="2" borderId="17" xfId="0" applyNumberFormat="1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176" fontId="7" fillId="2" borderId="10" xfId="0" applyNumberFormat="1" applyFont="1" applyFill="1" applyBorder="1" applyAlignment="1">
      <alignment horizontal="left" vertical="center" wrapText="1"/>
    </xf>
    <xf numFmtId="176" fontId="7" fillId="2" borderId="23" xfId="0" applyNumberFormat="1" applyFont="1" applyFill="1" applyBorder="1" applyAlignment="1">
      <alignment horizontal="left" vertical="center" wrapText="1"/>
    </xf>
    <xf numFmtId="176" fontId="7" fillId="2" borderId="30" xfId="0" applyNumberFormat="1" applyFont="1" applyFill="1" applyBorder="1" applyAlignment="1">
      <alignment horizontal="left" vertical="center" wrapText="1"/>
    </xf>
    <xf numFmtId="176" fontId="7" fillId="2" borderId="5" xfId="0" applyNumberFormat="1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176" fontId="23" fillId="2" borderId="17" xfId="0" applyNumberFormat="1" applyFont="1" applyFill="1" applyBorder="1" applyAlignment="1">
      <alignment horizontal="left" vertical="center" wrapText="1"/>
    </xf>
    <xf numFmtId="176" fontId="23" fillId="2" borderId="25" xfId="0" applyNumberFormat="1" applyFont="1" applyFill="1" applyBorder="1" applyAlignment="1">
      <alignment horizontal="left" vertical="center" wrapText="1"/>
    </xf>
    <xf numFmtId="176" fontId="23" fillId="2" borderId="24" xfId="0" applyNumberFormat="1" applyFont="1" applyFill="1" applyBorder="1" applyAlignment="1">
      <alignment horizontal="left" vertical="center" wrapText="1"/>
    </xf>
    <xf numFmtId="0" fontId="24" fillId="0" borderId="16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7"/>
  <sheetViews>
    <sheetView tabSelected="1" zoomScale="107" zoomScaleNormal="100" workbookViewId="0">
      <pane ySplit="2" topLeftCell="A131" activePane="bottomLeft" state="frozen"/>
      <selection pane="bottomLeft" activeCell="D167" sqref="D167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5" bestFit="1" customWidth="1"/>
    <col min="5" max="5" width="34.3984375" style="5" bestFit="1" customWidth="1"/>
    <col min="6" max="6" width="22.796875" style="8" bestFit="1" customWidth="1"/>
    <col min="7" max="7" width="22.59765625" style="8" bestFit="1" customWidth="1"/>
    <col min="8" max="8" width="14.59765625" style="8" bestFit="1" customWidth="1"/>
    <col min="9" max="9" width="23.59765625" style="8" customWidth="1"/>
    <col min="10" max="10" width="15" style="8" bestFit="1" customWidth="1"/>
    <col min="11" max="11" width="13.3984375" style="8" bestFit="1" customWidth="1"/>
    <col min="12" max="12" width="15" style="8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90" t="s">
        <v>98</v>
      </c>
      <c r="C2" s="90" t="s">
        <v>5</v>
      </c>
      <c r="D2" s="91" t="s">
        <v>8</v>
      </c>
      <c r="E2" s="90" t="s">
        <v>6</v>
      </c>
      <c r="F2" s="91" t="s">
        <v>105</v>
      </c>
      <c r="G2" s="91" t="s">
        <v>106</v>
      </c>
      <c r="H2" s="91" t="s">
        <v>30</v>
      </c>
      <c r="I2" s="91" t="s">
        <v>31</v>
      </c>
      <c r="J2" s="91" t="s">
        <v>95</v>
      </c>
      <c r="K2" s="91" t="s">
        <v>96</v>
      </c>
      <c r="L2" s="91" t="s">
        <v>103</v>
      </c>
      <c r="M2" s="91" t="s">
        <v>0</v>
      </c>
    </row>
    <row r="3" spans="2:13" ht="19">
      <c r="B3" s="236">
        <v>1</v>
      </c>
      <c r="C3" s="233" t="s">
        <v>2</v>
      </c>
      <c r="D3" s="92"/>
      <c r="E3" s="93" t="s">
        <v>32</v>
      </c>
      <c r="F3" s="94"/>
      <c r="G3" s="94"/>
      <c r="H3" s="12"/>
      <c r="I3" s="12"/>
      <c r="J3" s="94"/>
      <c r="K3" s="94"/>
      <c r="L3" s="94"/>
      <c r="M3" s="2"/>
    </row>
    <row r="4" spans="2:13" ht="19">
      <c r="B4" s="235"/>
      <c r="C4" s="226"/>
      <c r="D4" s="12" t="str">
        <f>MOP!D3</f>
        <v>Main Frame</v>
      </c>
      <c r="E4" s="12" t="str">
        <f>MOP!E3</f>
        <v>R1C001384</v>
      </c>
      <c r="F4" s="12" t="str">
        <f>MOP!N3</f>
        <v>세일엔지니어링</v>
      </c>
      <c r="G4" s="12" t="str">
        <f>MOP!O3</f>
        <v>세일엔지니어링</v>
      </c>
      <c r="H4" s="12">
        <f>MOP!L3</f>
        <v>440100</v>
      </c>
      <c r="I4" s="12">
        <f>MOP!M3</f>
        <v>22445100</v>
      </c>
      <c r="J4" s="94"/>
      <c r="K4" s="94"/>
      <c r="L4" s="94"/>
      <c r="M4" s="2"/>
    </row>
    <row r="5" spans="2:13" ht="19">
      <c r="B5" s="235"/>
      <c r="C5" s="226"/>
      <c r="D5" s="12" t="str">
        <f>MOP!D4</f>
        <v>Left Cover</v>
      </c>
      <c r="E5" s="12" t="str">
        <f>MOP!E4</f>
        <v>R1C001385</v>
      </c>
      <c r="F5" s="12" t="str">
        <f>MOP!N4</f>
        <v>세일엔지니어링</v>
      </c>
      <c r="G5" s="12" t="str">
        <f>MOP!O4</f>
        <v>세일엔지니어링</v>
      </c>
      <c r="H5" s="12" t="str">
        <f>MOP!L4</f>
        <v>-</v>
      </c>
      <c r="I5" s="12" t="str">
        <f>MOP!M4</f>
        <v>-</v>
      </c>
      <c r="J5" s="94"/>
      <c r="K5" s="94"/>
      <c r="L5" s="94"/>
      <c r="M5" s="2"/>
    </row>
    <row r="6" spans="2:13" ht="19">
      <c r="B6" s="235"/>
      <c r="C6" s="226"/>
      <c r="D6" s="12" t="str">
        <f>MOP!D5</f>
        <v>Right Cover</v>
      </c>
      <c r="E6" s="12" t="str">
        <f>MOP!E5</f>
        <v>R1C001386</v>
      </c>
      <c r="F6" s="12" t="str">
        <f>MOP!N5</f>
        <v>세일엔지니어링</v>
      </c>
      <c r="G6" s="12" t="str">
        <f>MOP!O5</f>
        <v>세일엔지니어링</v>
      </c>
      <c r="H6" s="12" t="str">
        <f>MOP!L5</f>
        <v>-</v>
      </c>
      <c r="I6" s="12" t="str">
        <f>MOP!M5</f>
        <v>-</v>
      </c>
      <c r="J6" s="94"/>
      <c r="K6" s="94"/>
      <c r="L6" s="94"/>
      <c r="M6" s="2"/>
    </row>
    <row r="7" spans="2:13" ht="19">
      <c r="B7" s="235"/>
      <c r="C7" s="226"/>
      <c r="D7" s="12" t="str">
        <f>MOP!D6</f>
        <v>Upper Cover</v>
      </c>
      <c r="E7" s="12" t="str">
        <f>MOP!E6</f>
        <v>R1C001387</v>
      </c>
      <c r="F7" s="12" t="str">
        <f>MOP!N6</f>
        <v>세일엔지니어링</v>
      </c>
      <c r="G7" s="12" t="str">
        <f>MOP!O6</f>
        <v>세일엔지니어링</v>
      </c>
      <c r="H7" s="12" t="str">
        <f>MOP!L6</f>
        <v>-</v>
      </c>
      <c r="I7" s="12" t="str">
        <f>MOP!M6</f>
        <v>-</v>
      </c>
      <c r="J7" s="94"/>
      <c r="K7" s="94"/>
      <c r="L7" s="94"/>
      <c r="M7" s="2"/>
    </row>
    <row r="8" spans="2:13" ht="19">
      <c r="B8" s="235"/>
      <c r="C8" s="226"/>
      <c r="D8" s="12" t="str">
        <f>MOP!D7</f>
        <v>Lower Cover</v>
      </c>
      <c r="E8" s="12" t="str">
        <f>MOP!E7</f>
        <v>R1B002159</v>
      </c>
      <c r="F8" s="12" t="str">
        <f>MOP!N7</f>
        <v>세일엔지니어링</v>
      </c>
      <c r="G8" s="12" t="str">
        <f>MOP!O7</f>
        <v>세일엔지니어링</v>
      </c>
      <c r="H8" s="12" t="str">
        <f>MOP!L7</f>
        <v>-</v>
      </c>
      <c r="I8" s="12" t="str">
        <f>MOP!M7</f>
        <v>-</v>
      </c>
      <c r="J8" s="94"/>
      <c r="K8" s="94"/>
      <c r="L8" s="94"/>
      <c r="M8" s="2"/>
    </row>
    <row r="9" spans="2:13" ht="19">
      <c r="B9" s="235"/>
      <c r="C9" s="226"/>
      <c r="D9" s="12" t="str">
        <f>MOP!D8</f>
        <v>Rear Cover</v>
      </c>
      <c r="E9" s="12" t="str">
        <f>MOP!E8</f>
        <v>R1B002160</v>
      </c>
      <c r="F9" s="12" t="str">
        <f>MOP!N8</f>
        <v>세일엔지니어링</v>
      </c>
      <c r="G9" s="12" t="str">
        <f>MOP!O8</f>
        <v>세일엔지니어링</v>
      </c>
      <c r="H9" s="12" t="str">
        <f>MOP!L8</f>
        <v>-</v>
      </c>
      <c r="I9" s="12" t="str">
        <f>MOP!M8</f>
        <v>-</v>
      </c>
      <c r="J9" s="94"/>
      <c r="K9" s="94"/>
      <c r="L9" s="94"/>
      <c r="M9" s="2"/>
    </row>
    <row r="10" spans="2:13" ht="19">
      <c r="B10" s="235"/>
      <c r="C10" s="226"/>
      <c r="D10" s="12" t="str">
        <f>MOP!D9</f>
        <v>Push Button</v>
      </c>
      <c r="E10" s="12" t="str">
        <f>MOP!E9</f>
        <v>84-1201.7</v>
      </c>
      <c r="F10" s="12" t="str">
        <f>MOP!N9</f>
        <v>아이닉스</v>
      </c>
      <c r="G10" s="12" t="str">
        <f>MOP!O9</f>
        <v>EAO</v>
      </c>
      <c r="H10" s="96">
        <f>MOP!L9</f>
        <v>28800</v>
      </c>
      <c r="I10" s="96">
        <f>MOP!M9</f>
        <v>6336000</v>
      </c>
      <c r="J10" s="94"/>
      <c r="K10" s="94"/>
      <c r="L10" s="94"/>
      <c r="M10" s="2"/>
    </row>
    <row r="11" spans="2:13" ht="19">
      <c r="B11" s="235"/>
      <c r="C11" s="226"/>
      <c r="D11" s="12" t="str">
        <f>MOP!D10</f>
        <v>Push Button</v>
      </c>
      <c r="E11" s="12" t="str">
        <f>MOP!E10</f>
        <v>84-7111.200</v>
      </c>
      <c r="F11" s="12" t="str">
        <f>MOP!N10</f>
        <v>아이닉스</v>
      </c>
      <c r="G11" s="12" t="str">
        <f>MOP!O10</f>
        <v>EAO</v>
      </c>
      <c r="H11" s="96">
        <f>MOP!L10</f>
        <v>4650</v>
      </c>
      <c r="I11" s="96">
        <f>MOP!M10</f>
        <v>1023000</v>
      </c>
      <c r="J11" s="94"/>
      <c r="K11" s="94"/>
      <c r="L11" s="94"/>
      <c r="M11" s="2"/>
    </row>
    <row r="12" spans="2:13" ht="19">
      <c r="B12" s="235"/>
      <c r="C12" s="226"/>
      <c r="D12" s="12" t="str">
        <f>MOP!D11</f>
        <v>Push Button</v>
      </c>
      <c r="E12" s="12" t="str">
        <f>MOP!E11</f>
        <v>84-8511.2320</v>
      </c>
      <c r="F12" s="12" t="str">
        <f>MOP!N11</f>
        <v>아이닉스</v>
      </c>
      <c r="G12" s="12" t="str">
        <f>MOP!O11</f>
        <v>EAO</v>
      </c>
      <c r="H12" s="96">
        <f>MOP!L11</f>
        <v>39000</v>
      </c>
      <c r="I12" s="96">
        <f>MOP!M11</f>
        <v>8580000</v>
      </c>
      <c r="J12" s="97"/>
      <c r="K12" s="97"/>
      <c r="L12" s="98"/>
      <c r="M12" s="2"/>
    </row>
    <row r="13" spans="2:13" ht="19">
      <c r="B13" s="235"/>
      <c r="C13" s="226"/>
      <c r="D13" s="110" t="str">
        <f>MOP!D12</f>
        <v>Microphone</v>
      </c>
      <c r="E13" s="110" t="str">
        <f>MOP!E12</f>
        <v>KCM-30(55 JACK)</v>
      </c>
      <c r="F13" s="110" t="str">
        <f>MOP!N12</f>
        <v>아이닉스</v>
      </c>
      <c r="G13" s="110" t="str">
        <f>MOP!O12</f>
        <v>REAN</v>
      </c>
      <c r="H13" s="96">
        <f>MOP!L12</f>
        <v>2800</v>
      </c>
      <c r="I13" s="96">
        <f>MOP!M12</f>
        <v>154000</v>
      </c>
      <c r="J13" s="97">
        <v>45497</v>
      </c>
      <c r="K13" s="97">
        <v>45497</v>
      </c>
      <c r="L13" s="98" t="s">
        <v>170</v>
      </c>
      <c r="M13" s="2"/>
    </row>
    <row r="14" spans="2:13" ht="38">
      <c r="B14" s="235"/>
      <c r="C14" s="226"/>
      <c r="D14" s="12" t="str">
        <f>MOP!D13</f>
        <v>LCD</v>
      </c>
      <c r="E14" s="12" t="str">
        <f>MOP!E13</f>
        <v>"HL035T002T-02(단종)
HL035T11-01 + RTC"</v>
      </c>
      <c r="F14" s="12" t="str">
        <f>MOP!N13</f>
        <v>티렉스아이엔씨</v>
      </c>
      <c r="G14" s="12" t="str">
        <f>MOP!O13</f>
        <v>Shenzhen</v>
      </c>
      <c r="H14" s="12">
        <f>MOP!L13</f>
        <v>23000</v>
      </c>
      <c r="I14" s="12">
        <f>MOP!M13</f>
        <v>1380000</v>
      </c>
      <c r="J14" s="99">
        <v>45503</v>
      </c>
      <c r="K14" s="94"/>
      <c r="L14" s="94"/>
      <c r="M14" s="2"/>
    </row>
    <row r="15" spans="2:13" ht="19">
      <c r="B15" s="235"/>
      <c r="C15" s="226"/>
      <c r="D15" s="12" t="str">
        <f>MOP!D14</f>
        <v>LCD Mount Bracket</v>
      </c>
      <c r="E15" s="12" t="str">
        <f>MOP!E14</f>
        <v>R1D005930</v>
      </c>
      <c r="F15" s="12" t="str">
        <f>MOP!N14</f>
        <v>세일엔지니어링</v>
      </c>
      <c r="G15" s="12" t="str">
        <f>MOP!O14</f>
        <v>세일엔지니어링</v>
      </c>
      <c r="H15" s="12" t="str">
        <f>MOP!L14</f>
        <v>-</v>
      </c>
      <c r="I15" s="12" t="str">
        <f>MOP!M14</f>
        <v>-</v>
      </c>
      <c r="J15" s="94"/>
      <c r="K15" s="94"/>
      <c r="L15" s="94"/>
      <c r="M15" s="2"/>
    </row>
    <row r="16" spans="2:13" ht="19">
      <c r="B16" s="235"/>
      <c r="C16" s="226"/>
      <c r="D16" s="12" t="str">
        <f>MOP!D15</f>
        <v>LCD Control Board</v>
      </c>
      <c r="E16" s="12" t="str">
        <f>MOP!E15</f>
        <v>R1C001402 Rev.1</v>
      </c>
      <c r="F16" s="12" t="str">
        <f>MOP!N15</f>
        <v>BEUPSYS</v>
      </c>
      <c r="G16" s="12" t="str">
        <f>MOP!O15</f>
        <v>BEUPSYS</v>
      </c>
      <c r="H16" s="12">
        <f>MOP!L15</f>
        <v>425213</v>
      </c>
      <c r="I16" s="12">
        <f>MOP!M15</f>
        <v>21685863</v>
      </c>
      <c r="J16" s="94"/>
      <c r="K16" s="94"/>
      <c r="L16" s="94"/>
      <c r="M16" s="2"/>
    </row>
    <row r="17" spans="2:13" ht="19">
      <c r="B17" s="235"/>
      <c r="C17" s="226"/>
      <c r="D17" s="12" t="str">
        <f>MOP!D16</f>
        <v>Main Control Board</v>
      </c>
      <c r="E17" s="12" t="str">
        <f>MOP!E16</f>
        <v>R1C001388</v>
      </c>
      <c r="F17" s="12" t="str">
        <f>MOP!N16</f>
        <v>BEUPSYS</v>
      </c>
      <c r="G17" s="12" t="str">
        <f>MOP!O16</f>
        <v>BEUPSYS</v>
      </c>
      <c r="H17" s="12">
        <f>MOP!L16</f>
        <v>473650</v>
      </c>
      <c r="I17" s="12">
        <f>MOP!M16</f>
        <v>24156150</v>
      </c>
      <c r="J17" s="94"/>
      <c r="K17" s="94"/>
      <c r="L17" s="94"/>
      <c r="M17" s="2"/>
    </row>
    <row r="18" spans="2:13" ht="19">
      <c r="B18" s="235"/>
      <c r="C18" s="226"/>
      <c r="D18" s="12" t="str">
        <f>MOP!D17</f>
        <v>Power Board</v>
      </c>
      <c r="E18" s="12" t="str">
        <f>MOP!E17</f>
        <v>R1C001574</v>
      </c>
      <c r="F18" s="12" t="str">
        <f>MOP!N17</f>
        <v>이지파워</v>
      </c>
      <c r="G18" s="12" t="str">
        <f>MOP!O17</f>
        <v>이지파워</v>
      </c>
      <c r="H18" s="12">
        <f>MOP!L17</f>
        <v>89000</v>
      </c>
      <c r="I18" s="12">
        <f>MOP!M17</f>
        <v>4539000</v>
      </c>
      <c r="J18" s="94"/>
      <c r="K18" s="94"/>
      <c r="L18" s="94"/>
      <c r="M18" s="2"/>
    </row>
    <row r="19" spans="2:13" ht="19">
      <c r="B19" s="235"/>
      <c r="C19" s="226"/>
      <c r="D19" s="110" t="str">
        <f>MOP!D18</f>
        <v>3P Connector Male</v>
      </c>
      <c r="E19" s="110" t="str">
        <f>MOP!E18</f>
        <v>770-213</v>
      </c>
      <c r="F19" s="110" t="str">
        <f>MOP!N18</f>
        <v>아이닉스</v>
      </c>
      <c r="G19" s="110" t="str">
        <f>MOP!O18</f>
        <v>WAGO</v>
      </c>
      <c r="H19" s="96">
        <f>MOP!L18</f>
        <v>2800</v>
      </c>
      <c r="I19" s="96">
        <f>MOP!M18</f>
        <v>154000</v>
      </c>
      <c r="J19" s="97">
        <v>45497</v>
      </c>
      <c r="K19" s="97">
        <v>45497</v>
      </c>
      <c r="L19" s="98" t="s">
        <v>170</v>
      </c>
      <c r="M19" s="2"/>
    </row>
    <row r="20" spans="2:13" ht="19">
      <c r="B20" s="235"/>
      <c r="C20" s="226"/>
      <c r="D20" s="18" t="str">
        <f>MOP!D19</f>
        <v>3P Connector Female</v>
      </c>
      <c r="E20" s="18" t="str">
        <f>MOP!E19</f>
        <v>770-293</v>
      </c>
      <c r="F20" s="18" t="str">
        <f>MOP!N19</f>
        <v>아이닉스</v>
      </c>
      <c r="G20" s="18" t="str">
        <f>MOP!O19</f>
        <v>WAGO</v>
      </c>
      <c r="H20" s="101">
        <f>MOP!L19</f>
        <v>4250</v>
      </c>
      <c r="I20" s="101">
        <f>MOP!M19</f>
        <v>233750</v>
      </c>
      <c r="J20" s="102"/>
      <c r="K20" s="102"/>
      <c r="L20" s="103"/>
      <c r="M20" s="17" t="s">
        <v>222</v>
      </c>
    </row>
    <row r="21" spans="2:13" ht="19">
      <c r="B21" s="235"/>
      <c r="C21" s="226"/>
      <c r="D21" s="110" t="str">
        <f>MOP!D20</f>
        <v>Locking</v>
      </c>
      <c r="E21" s="110" t="str">
        <f>MOP!E20</f>
        <v>770-101</v>
      </c>
      <c r="F21" s="110" t="str">
        <f>MOP!N20</f>
        <v>아이닉스</v>
      </c>
      <c r="G21" s="110" t="str">
        <f>MOP!O20</f>
        <v>WAGO</v>
      </c>
      <c r="H21" s="96">
        <f>MOP!L20</f>
        <v>350</v>
      </c>
      <c r="I21" s="96">
        <f>MOP!M20</f>
        <v>19250</v>
      </c>
      <c r="J21" s="97">
        <v>45497</v>
      </c>
      <c r="K21" s="97">
        <v>45497</v>
      </c>
      <c r="L21" s="98" t="s">
        <v>170</v>
      </c>
      <c r="M21" s="2"/>
    </row>
    <row r="22" spans="2:13" ht="19">
      <c r="B22" s="235"/>
      <c r="C22" s="226"/>
      <c r="D22" s="110" t="str">
        <f>MOP!D21</f>
        <v>4P Connector</v>
      </c>
      <c r="E22" s="110" t="str">
        <f>MOP!E21</f>
        <v>21 03 882 2405</v>
      </c>
      <c r="F22" s="110" t="str">
        <f>MOP!N21</f>
        <v>아이닉스</v>
      </c>
      <c r="G22" s="110" t="str">
        <f>MOP!O21</f>
        <v>HARTING</v>
      </c>
      <c r="H22" s="96">
        <f>MOP!L21</f>
        <v>32300</v>
      </c>
      <c r="I22" s="96">
        <f>MOP!M21</f>
        <v>1776500</v>
      </c>
      <c r="J22" s="97">
        <v>45497</v>
      </c>
      <c r="K22" s="97">
        <v>45497</v>
      </c>
      <c r="L22" s="98" t="s">
        <v>170</v>
      </c>
      <c r="M22" s="2"/>
    </row>
    <row r="23" spans="2:13" ht="19">
      <c r="B23" s="235"/>
      <c r="C23" s="226"/>
      <c r="D23" s="110" t="str">
        <f>MOP!D22</f>
        <v>Pin</v>
      </c>
      <c r="E23" s="110" t="str">
        <f>MOP!E22</f>
        <v>09 67 000 5476</v>
      </c>
      <c r="F23" s="110" t="str">
        <f>MOP!N22</f>
        <v>아이닉스</v>
      </c>
      <c r="G23" s="110" t="str">
        <f>MOP!O22</f>
        <v>HARTING</v>
      </c>
      <c r="H23" s="96">
        <f>MOP!L22</f>
        <v>1300</v>
      </c>
      <c r="I23" s="96">
        <f>MOP!M22</f>
        <v>286000</v>
      </c>
      <c r="J23" s="97">
        <v>45497</v>
      </c>
      <c r="K23" s="97">
        <v>45497</v>
      </c>
      <c r="L23" s="98" t="s">
        <v>170</v>
      </c>
      <c r="M23" s="2"/>
    </row>
    <row r="24" spans="2:13" ht="19">
      <c r="B24" s="235"/>
      <c r="C24" s="226"/>
      <c r="D24" s="110" t="str">
        <f>MOP!D23</f>
        <v>12P Connector</v>
      </c>
      <c r="E24" s="110" t="str">
        <f>MOP!E23</f>
        <v>UTG11412S</v>
      </c>
      <c r="F24" s="110" t="str">
        <f>MOP!N23</f>
        <v>아이닉스</v>
      </c>
      <c r="G24" s="110" t="str">
        <f>MOP!O23</f>
        <v>SOURIAU</v>
      </c>
      <c r="H24" s="96">
        <f>MOP!L23</f>
        <v>23900</v>
      </c>
      <c r="I24" s="96">
        <f>MOP!M23</f>
        <v>1195000</v>
      </c>
      <c r="J24" s="97">
        <v>45497</v>
      </c>
      <c r="K24" s="97">
        <v>45497</v>
      </c>
      <c r="L24" s="98" t="s">
        <v>170</v>
      </c>
      <c r="M24" s="2"/>
    </row>
    <row r="25" spans="2:13" ht="19">
      <c r="B25" s="235"/>
      <c r="C25" s="226"/>
      <c r="D25" s="110" t="str">
        <f>MOP!D24</f>
        <v>Pin</v>
      </c>
      <c r="E25" s="110" t="str">
        <f>MOP!E24</f>
        <v>RC16M23K</v>
      </c>
      <c r="F25" s="110" t="str">
        <f>MOP!N24</f>
        <v>아이닉스</v>
      </c>
      <c r="G25" s="110" t="str">
        <f>MOP!O24</f>
        <v>SOURIAU</v>
      </c>
      <c r="H25" s="96">
        <f>MOP!L24</f>
        <v>1250</v>
      </c>
      <c r="I25" s="96">
        <f>MOP!M24</f>
        <v>750000</v>
      </c>
      <c r="J25" s="97">
        <v>45497</v>
      </c>
      <c r="K25" s="97">
        <v>45497</v>
      </c>
      <c r="L25" s="98" t="s">
        <v>170</v>
      </c>
      <c r="M25" s="2"/>
    </row>
    <row r="26" spans="2:13" ht="19">
      <c r="B26" s="235"/>
      <c r="C26" s="226"/>
      <c r="D26" s="110" t="str">
        <f>MOP!D25</f>
        <v>Cable Clamp</v>
      </c>
      <c r="E26" s="110" t="str">
        <f>MOP!E25</f>
        <v>UTG14AC</v>
      </c>
      <c r="F26" s="110" t="str">
        <f>MOP!N25</f>
        <v>아이닉스</v>
      </c>
      <c r="G26" s="110" t="str">
        <f>MOP!O25</f>
        <v>SOURIAU</v>
      </c>
      <c r="H26" s="96">
        <f>MOP!L25</f>
        <v>12000</v>
      </c>
      <c r="I26" s="96">
        <f>MOP!M25</f>
        <v>660000</v>
      </c>
      <c r="J26" s="97">
        <v>45497</v>
      </c>
      <c r="K26" s="97">
        <v>45497</v>
      </c>
      <c r="L26" s="98" t="s">
        <v>170</v>
      </c>
      <c r="M26" s="2"/>
    </row>
    <row r="27" spans="2:13" ht="19">
      <c r="B27" s="235"/>
      <c r="C27" s="226"/>
      <c r="D27" s="12" t="str">
        <f>MOP!D26</f>
        <v>Name Plate, AL, T1</v>
      </c>
      <c r="E27" s="12" t="str">
        <f>MOP!E26</f>
        <v>R1C001342_6</v>
      </c>
      <c r="F27" s="12" t="str">
        <f>MOP!N26</f>
        <v>-</v>
      </c>
      <c r="G27" s="12" t="str">
        <f>MOP!O26</f>
        <v>-</v>
      </c>
      <c r="H27" s="105" t="str">
        <f>MOP!L26</f>
        <v>-</v>
      </c>
      <c r="I27" s="105" t="str">
        <f>MOP!M26</f>
        <v>-</v>
      </c>
      <c r="J27" s="104"/>
      <c r="K27" s="104"/>
      <c r="L27" s="104"/>
      <c r="M27" s="2"/>
    </row>
    <row r="28" spans="2:13" ht="19">
      <c r="B28" s="235"/>
      <c r="C28" s="226"/>
      <c r="D28" s="18" t="str">
        <f>MOP!D27</f>
        <v>SPEAKER</v>
      </c>
      <c r="E28" s="18" t="str">
        <f>MOP!E27</f>
        <v>PMB4070N-0240 / 8 Ω 5W</v>
      </c>
      <c r="F28" s="18" t="str">
        <f>MOP!N27</f>
        <v>아이닉스</v>
      </c>
      <c r="G28" s="18" t="str">
        <f>MOP!O27</f>
        <v>-</v>
      </c>
      <c r="H28" s="18">
        <f>MOP!L27</f>
        <v>4800</v>
      </c>
      <c r="I28" s="18">
        <f>MOP!M27</f>
        <v>264000</v>
      </c>
      <c r="J28" s="106"/>
      <c r="K28" s="106"/>
      <c r="L28" s="107"/>
      <c r="M28" s="17" t="s">
        <v>222</v>
      </c>
    </row>
    <row r="29" spans="2:13" ht="18">
      <c r="B29" s="235"/>
      <c r="C29" s="226"/>
      <c r="D29" s="155"/>
      <c r="E29" s="155"/>
      <c r="F29" s="155"/>
      <c r="G29" s="155"/>
      <c r="H29" s="155"/>
      <c r="I29" s="155"/>
      <c r="J29" s="156"/>
      <c r="K29" s="156"/>
      <c r="L29" s="157"/>
      <c r="M29" s="158"/>
    </row>
    <row r="30" spans="2:13" ht="19">
      <c r="B30" s="237"/>
      <c r="C30" s="227"/>
      <c r="D30" s="108" t="s">
        <v>172</v>
      </c>
      <c r="E30" s="108"/>
      <c r="F30" s="109" t="s">
        <v>158</v>
      </c>
      <c r="G30" s="109" t="s">
        <v>158</v>
      </c>
      <c r="H30" s="110"/>
      <c r="I30" s="110">
        <f>MOP!M51</f>
        <v>112860</v>
      </c>
      <c r="J30" s="97">
        <v>45497</v>
      </c>
      <c r="K30" s="97">
        <v>45497</v>
      </c>
      <c r="L30" s="109"/>
      <c r="M30" s="15"/>
    </row>
    <row r="31" spans="2:13" ht="19">
      <c r="B31" s="234">
        <v>2</v>
      </c>
      <c r="C31" s="228" t="s">
        <v>7</v>
      </c>
      <c r="D31" s="111"/>
      <c r="E31" s="112" t="s">
        <v>1</v>
      </c>
      <c r="F31" s="95"/>
      <c r="G31" s="95"/>
      <c r="H31" s="13"/>
      <c r="I31" s="13"/>
      <c r="J31" s="95"/>
      <c r="K31" s="95"/>
      <c r="L31" s="95"/>
      <c r="M31" s="3"/>
    </row>
    <row r="32" spans="2:13" ht="19">
      <c r="B32" s="235"/>
      <c r="C32" s="229"/>
      <c r="D32" s="13" t="str">
        <f>MSR!D3</f>
        <v>PWR Board</v>
      </c>
      <c r="E32" s="13" t="str">
        <f>MSR!E3</f>
        <v>R1C001323</v>
      </c>
      <c r="F32" s="13" t="str">
        <f>MSR!N3</f>
        <v>이지파워</v>
      </c>
      <c r="G32" s="13" t="str">
        <f>MSR!O3</f>
        <v>이지파워</v>
      </c>
      <c r="H32" s="13">
        <f>MSR!L3</f>
        <v>136000</v>
      </c>
      <c r="I32" s="13">
        <f>MSR!M3</f>
        <v>6936000</v>
      </c>
      <c r="J32" s="95"/>
      <c r="K32" s="95"/>
      <c r="L32" s="95"/>
      <c r="M32" s="3"/>
    </row>
    <row r="33" spans="2:13" ht="19">
      <c r="B33" s="235"/>
      <c r="C33" s="229"/>
      <c r="D33" s="13" t="str">
        <f>MSR!D4</f>
        <v>M_TX Board</v>
      </c>
      <c r="E33" s="13" t="str">
        <f>MSR!E4</f>
        <v>R1B002190</v>
      </c>
      <c r="F33" s="13" t="str">
        <f>MSR!N4</f>
        <v>BEUPSYS</v>
      </c>
      <c r="G33" s="13" t="str">
        <f>MSR!O4</f>
        <v>BEUPSYS</v>
      </c>
      <c r="H33" s="13">
        <f>MSR!L4</f>
        <v>610566</v>
      </c>
      <c r="I33" s="13">
        <f>MSR!M4</f>
        <v>31138866</v>
      </c>
      <c r="J33" s="95"/>
      <c r="K33" s="95"/>
      <c r="L33" s="95"/>
      <c r="M33" s="3"/>
    </row>
    <row r="34" spans="2:13" ht="19">
      <c r="B34" s="235"/>
      <c r="C34" s="229"/>
      <c r="D34" s="13" t="str">
        <f>MSR!D5</f>
        <v>Hub Board</v>
      </c>
      <c r="E34" s="13" t="str">
        <f>MSR!E5</f>
        <v>R1B002192</v>
      </c>
      <c r="F34" s="13" t="str">
        <f>MSR!N5</f>
        <v>BEUPSYS</v>
      </c>
      <c r="G34" s="13" t="str">
        <f>MSR!O5</f>
        <v>BEUPSYS</v>
      </c>
      <c r="H34" s="13">
        <f>MSR!L5</f>
        <v>664363</v>
      </c>
      <c r="I34" s="13">
        <f>MSR!M5</f>
        <v>33882513</v>
      </c>
      <c r="J34" s="95"/>
      <c r="K34" s="95"/>
      <c r="L34" s="95"/>
      <c r="M34" s="3"/>
    </row>
    <row r="35" spans="2:13" ht="19">
      <c r="B35" s="235"/>
      <c r="C35" s="229"/>
      <c r="D35" s="13" t="str">
        <f>MSR!D6</f>
        <v>TCIU Board</v>
      </c>
      <c r="E35" s="13" t="str">
        <f>MSR!E6</f>
        <v>R1B002187</v>
      </c>
      <c r="F35" s="13" t="str">
        <f>MSR!N6</f>
        <v>BEUPSYS</v>
      </c>
      <c r="G35" s="13" t="str">
        <f>MSR!O6</f>
        <v>BEUPSYS</v>
      </c>
      <c r="H35" s="13">
        <f>MSR!L6</f>
        <v>1129222</v>
      </c>
      <c r="I35" s="13">
        <f>MSR!M6</f>
        <v>57590322</v>
      </c>
      <c r="J35" s="95"/>
      <c r="K35" s="95"/>
      <c r="L35" s="95"/>
      <c r="M35" s="3"/>
    </row>
    <row r="36" spans="2:13" ht="19">
      <c r="B36" s="235"/>
      <c r="C36" s="229"/>
      <c r="D36" s="13" t="str">
        <f>MSR!D7</f>
        <v>PA_PBX Board</v>
      </c>
      <c r="E36" s="13" t="str">
        <f>MSR!E7</f>
        <v>R1B002188</v>
      </c>
      <c r="F36" s="13" t="str">
        <f>MSR!N7</f>
        <v>BEUPSYS</v>
      </c>
      <c r="G36" s="13" t="str">
        <f>MSR!O7</f>
        <v>BEUPSYS</v>
      </c>
      <c r="H36" s="13">
        <f>MSR!L7</f>
        <v>289000</v>
      </c>
      <c r="I36" s="13">
        <f>MSR!M7</f>
        <v>14739000</v>
      </c>
      <c r="J36" s="95"/>
      <c r="K36" s="95"/>
      <c r="L36" s="95"/>
      <c r="M36" s="3"/>
    </row>
    <row r="37" spans="2:13" ht="19">
      <c r="B37" s="235"/>
      <c r="C37" s="229"/>
      <c r="D37" s="13" t="str">
        <f>MSR!D8</f>
        <v>PA_ETX Board</v>
      </c>
      <c r="E37" s="13" t="str">
        <f>MSR!E8</f>
        <v>R1B002189</v>
      </c>
      <c r="F37" s="13" t="str">
        <f>MSR!N8</f>
        <v>BEUPSYS</v>
      </c>
      <c r="G37" s="13" t="str">
        <f>MSR!O8</f>
        <v>BEUPSYS</v>
      </c>
      <c r="H37" s="13">
        <f>MSR!L8</f>
        <v>474791</v>
      </c>
      <c r="I37" s="13">
        <f>MSR!M8</f>
        <v>24214341</v>
      </c>
      <c r="J37" s="95"/>
      <c r="K37" s="95"/>
      <c r="L37" s="95"/>
      <c r="M37" s="3"/>
    </row>
    <row r="38" spans="2:13" ht="19">
      <c r="B38" s="235"/>
      <c r="C38" s="229"/>
      <c r="D38" s="13" t="str">
        <f>MSR!D9</f>
        <v>NVR Board</v>
      </c>
      <c r="E38" s="13" t="str">
        <f>MSR!E9</f>
        <v>R1B002193 Rev.1</v>
      </c>
      <c r="F38" s="13" t="str">
        <f>MSR!N9</f>
        <v>BEUPSYS</v>
      </c>
      <c r="G38" s="13" t="str">
        <f>MSR!O9</f>
        <v>BEUPSYS</v>
      </c>
      <c r="H38" s="13">
        <v>913923</v>
      </c>
      <c r="I38" s="13">
        <f>MSR!M9</f>
        <v>46610073</v>
      </c>
      <c r="J38" s="95"/>
      <c r="K38" s="95"/>
      <c r="L38" s="95">
        <v>51</v>
      </c>
      <c r="M38" s="3"/>
    </row>
    <row r="39" spans="2:13" ht="38">
      <c r="B39" s="235"/>
      <c r="C39" s="229"/>
      <c r="D39" s="150" t="str">
        <f>MSR!D10</f>
        <v>CPU
TC170/i5-6300U</v>
      </c>
      <c r="E39" s="116" t="str">
        <f>MSR!E10</f>
        <v>-</v>
      </c>
      <c r="F39" s="116" t="str">
        <f>MSR!N10</f>
        <v>이엔엠테크놀로지</v>
      </c>
      <c r="G39" s="116" t="str">
        <f>MSR!O10</f>
        <v>CONGA</v>
      </c>
      <c r="H39" s="114">
        <f>MSR!L10</f>
        <v>763</v>
      </c>
      <c r="I39" s="114">
        <f>MSR!M10</f>
        <v>45780</v>
      </c>
      <c r="J39" s="95"/>
      <c r="K39" s="95"/>
      <c r="L39" s="95"/>
      <c r="M39" s="3"/>
    </row>
    <row r="40" spans="2:13" ht="38">
      <c r="B40" s="235"/>
      <c r="C40" s="229"/>
      <c r="D40" s="150" t="str">
        <f>MSR!D11</f>
        <v>CPU BRACKET 
TC170/CSP-B</v>
      </c>
      <c r="E40" s="116" t="str">
        <f>MSR!E11</f>
        <v>-</v>
      </c>
      <c r="F40" s="116" t="str">
        <f>MSR!N11</f>
        <v>이엔엠테크놀로지</v>
      </c>
      <c r="G40" s="116" t="str">
        <f>MSR!O11</f>
        <v>CONGA</v>
      </c>
      <c r="H40" s="114">
        <f>MSR!L11</f>
        <v>43.3</v>
      </c>
      <c r="I40" s="114">
        <f>MSR!M11</f>
        <v>2598</v>
      </c>
      <c r="J40" s="95"/>
      <c r="K40" s="95"/>
      <c r="L40" s="95"/>
      <c r="M40" s="3"/>
    </row>
    <row r="41" spans="2:13" ht="57">
      <c r="B41" s="235"/>
      <c r="C41" s="229"/>
      <c r="D41" s="151" t="str">
        <f>MSR!D12</f>
        <v>DDR4
(DDR4 4GB SODIMM 2400MT/S)</v>
      </c>
      <c r="E41" s="149" t="str">
        <f>MSR!E12</f>
        <v>-</v>
      </c>
      <c r="F41" s="149" t="str">
        <f>MSR!N12</f>
        <v>이노디스크</v>
      </c>
      <c r="G41" s="149" t="str">
        <f>MSR!O12</f>
        <v>이노디스크</v>
      </c>
      <c r="H41" s="87">
        <f>MSR!L12</f>
        <v>36000</v>
      </c>
      <c r="I41" s="87">
        <f>MSR!M12</f>
        <v>2160000</v>
      </c>
      <c r="J41" s="95"/>
      <c r="K41" s="95"/>
      <c r="L41" s="95"/>
      <c r="M41" s="17" t="s">
        <v>222</v>
      </c>
    </row>
    <row r="42" spans="2:13" ht="19">
      <c r="B42" s="235"/>
      <c r="C42" s="229"/>
      <c r="D42" s="13" t="str">
        <f>MSR!D13</f>
        <v>SSD Board</v>
      </c>
      <c r="E42" s="13" t="str">
        <f>MSR!E13</f>
        <v>R1B002191</v>
      </c>
      <c r="F42" s="13" t="str">
        <f>MSR!N13</f>
        <v>BEUPSYS</v>
      </c>
      <c r="G42" s="13" t="str">
        <f>MSR!O13</f>
        <v>BEUPSYS</v>
      </c>
      <c r="H42" s="13">
        <f>MSR!L13</f>
        <v>339000</v>
      </c>
      <c r="I42" s="13">
        <f>MSR!M13</f>
        <v>34578000</v>
      </c>
      <c r="J42" s="95"/>
      <c r="K42" s="95"/>
      <c r="L42" s="95"/>
      <c r="M42" s="3"/>
    </row>
    <row r="43" spans="2:13" ht="19">
      <c r="B43" s="235"/>
      <c r="C43" s="229"/>
      <c r="D43" s="116" t="str">
        <f>MSR!D14</f>
        <v>MSR Back Plane</v>
      </c>
      <c r="E43" s="116" t="str">
        <f>MSR!E14</f>
        <v>R1D007456</v>
      </c>
      <c r="F43" s="116" t="str">
        <f>MSR!N14</f>
        <v>앤츠</v>
      </c>
      <c r="G43" s="116" t="str">
        <f>MSR!O14</f>
        <v>앤츠</v>
      </c>
      <c r="H43" s="116">
        <f>MSR!L14</f>
        <v>300000</v>
      </c>
      <c r="I43" s="116">
        <f>MSR!M14</f>
        <v>16500000</v>
      </c>
      <c r="J43" s="117">
        <v>45499</v>
      </c>
      <c r="K43" s="117">
        <v>45499</v>
      </c>
      <c r="L43" s="113" t="s">
        <v>170</v>
      </c>
      <c r="M43" s="3"/>
    </row>
    <row r="44" spans="2:13" ht="19">
      <c r="B44" s="235"/>
      <c r="C44" s="229"/>
      <c r="D44" s="116" t="str">
        <f>MSR!D15</f>
        <v>Frame</v>
      </c>
      <c r="E44" s="116" t="str">
        <f>MSR!E15</f>
        <v>R1B002086</v>
      </c>
      <c r="F44" s="116" t="str">
        <f>MSR!N15</f>
        <v>USK</v>
      </c>
      <c r="G44" s="116" t="str">
        <f>MSR!O15</f>
        <v>USK</v>
      </c>
      <c r="H44" s="116">
        <f>MSR!L15</f>
        <v>630000</v>
      </c>
      <c r="I44" s="116">
        <f>MSR!M15</f>
        <v>32130000</v>
      </c>
      <c r="J44" s="117">
        <v>45497</v>
      </c>
      <c r="K44" s="117">
        <v>45497</v>
      </c>
      <c r="L44" s="113">
        <v>51</v>
      </c>
      <c r="M44" s="3"/>
    </row>
    <row r="45" spans="2:13" ht="19">
      <c r="B45" s="235"/>
      <c r="C45" s="229"/>
      <c r="D45" s="13" t="str">
        <f>MSR!D16</f>
        <v>Name Plate, AL, T1</v>
      </c>
      <c r="E45" s="13" t="str">
        <f>MSR!E16</f>
        <v>R1C001342_4</v>
      </c>
      <c r="F45" s="13" t="str">
        <f>MSR!N16</f>
        <v>-</v>
      </c>
      <c r="G45" s="13" t="str">
        <f>MSR!O16</f>
        <v>-</v>
      </c>
      <c r="H45" s="13" t="str">
        <f>MSR!L16</f>
        <v>-</v>
      </c>
      <c r="I45" s="13" t="str">
        <f>MSR!M16</f>
        <v>-</v>
      </c>
      <c r="J45" s="95"/>
      <c r="K45" s="95"/>
      <c r="L45" s="95"/>
      <c r="M45" s="3"/>
    </row>
    <row r="46" spans="2:13" ht="19">
      <c r="B46" s="235"/>
      <c r="C46" s="229"/>
      <c r="D46" s="149" t="str">
        <f>MSR!D17</f>
        <v>SSD(2T)</v>
      </c>
      <c r="E46" s="149" t="str">
        <f>MSR!E17</f>
        <v>-</v>
      </c>
      <c r="F46" s="149" t="str">
        <f>MSR!N17</f>
        <v>이노디스크</v>
      </c>
      <c r="G46" s="149" t="str">
        <f>MSR!O17</f>
        <v>이노디스크</v>
      </c>
      <c r="H46" s="87">
        <f>MSR!L17</f>
        <v>490000</v>
      </c>
      <c r="I46" s="87">
        <f>MSR!M17</f>
        <v>50960000</v>
      </c>
      <c r="J46" s="118"/>
      <c r="K46" s="118"/>
      <c r="L46" s="36"/>
      <c r="M46" s="17" t="s">
        <v>222</v>
      </c>
    </row>
    <row r="47" spans="2:13" ht="18">
      <c r="B47" s="235"/>
      <c r="C47" s="229"/>
      <c r="D47" s="155"/>
      <c r="E47" s="155"/>
      <c r="F47" s="155"/>
      <c r="G47" s="155"/>
      <c r="H47" s="159"/>
      <c r="I47" s="160"/>
      <c r="J47" s="161"/>
      <c r="K47" s="161"/>
      <c r="L47" s="162"/>
      <c r="M47" s="158"/>
    </row>
    <row r="48" spans="2:13" ht="19">
      <c r="B48" s="237"/>
      <c r="C48" s="230"/>
      <c r="D48" s="108" t="s">
        <v>172</v>
      </c>
      <c r="E48" s="108"/>
      <c r="F48" s="109" t="s">
        <v>158</v>
      </c>
      <c r="G48" s="109" t="s">
        <v>158</v>
      </c>
      <c r="H48" s="110"/>
      <c r="I48" s="116">
        <f>MSR!M42</f>
        <v>19889390</v>
      </c>
      <c r="J48" s="97">
        <v>45497</v>
      </c>
      <c r="K48" s="97">
        <v>45497</v>
      </c>
      <c r="L48" s="109"/>
      <c r="M48" s="15"/>
    </row>
    <row r="49" spans="2:13" ht="19">
      <c r="B49" s="234">
        <v>3</v>
      </c>
      <c r="C49" s="228" t="s">
        <v>4</v>
      </c>
      <c r="D49" s="111"/>
      <c r="E49" s="112" t="s">
        <v>3</v>
      </c>
      <c r="F49" s="95"/>
      <c r="G49" s="95"/>
      <c r="H49" s="13"/>
      <c r="I49" s="13"/>
      <c r="J49" s="95"/>
      <c r="K49" s="95"/>
      <c r="L49" s="95"/>
      <c r="M49" s="3"/>
    </row>
    <row r="50" spans="2:13" ht="19">
      <c r="B50" s="235"/>
      <c r="C50" s="229"/>
      <c r="D50" s="13" t="str">
        <f>CTM!D3</f>
        <v>Main Frame</v>
      </c>
      <c r="E50" s="13" t="str">
        <f>CTM!E3</f>
        <v>R1B002140</v>
      </c>
      <c r="F50" s="13" t="str">
        <f>CTM!N3</f>
        <v>세일엔지니어링</v>
      </c>
      <c r="G50" s="13" t="str">
        <f>CTM!O3</f>
        <v>세일엔지니어링</v>
      </c>
      <c r="H50" s="13">
        <f>CTM!L3</f>
        <v>304800</v>
      </c>
      <c r="I50" s="13">
        <f>CTM!M3</f>
        <v>15544800</v>
      </c>
      <c r="J50" s="95"/>
      <c r="K50" s="95"/>
      <c r="L50" s="95"/>
      <c r="M50" s="3"/>
    </row>
    <row r="51" spans="2:13" ht="19">
      <c r="B51" s="235"/>
      <c r="C51" s="229"/>
      <c r="D51" s="13" t="str">
        <f>CTM!D4</f>
        <v>Lower Cover</v>
      </c>
      <c r="E51" s="13" t="str">
        <f>CTM!E4</f>
        <v>R1C001370</v>
      </c>
      <c r="F51" s="13" t="str">
        <f>CTM!N4</f>
        <v>세일엔지니어링</v>
      </c>
      <c r="G51" s="13" t="str">
        <f>CTM!O4</f>
        <v>세일엔지니어링</v>
      </c>
      <c r="H51" s="13" t="str">
        <f>CTM!L4</f>
        <v>-</v>
      </c>
      <c r="I51" s="13" t="str">
        <f>CTM!M4</f>
        <v>-</v>
      </c>
      <c r="J51" s="95"/>
      <c r="K51" s="95"/>
      <c r="L51" s="95"/>
      <c r="M51" s="3"/>
    </row>
    <row r="52" spans="2:13" ht="19">
      <c r="B52" s="235"/>
      <c r="C52" s="229"/>
      <c r="D52" s="13" t="str">
        <f>CTM!D5</f>
        <v>Rear Cover</v>
      </c>
      <c r="E52" s="13" t="str">
        <f>CTM!E5</f>
        <v>R1B002142</v>
      </c>
      <c r="F52" s="13" t="str">
        <f>CTM!N5</f>
        <v>세일엔지니어링</v>
      </c>
      <c r="G52" s="13" t="str">
        <f>CTM!O5</f>
        <v>세일엔지니어링</v>
      </c>
      <c r="H52" s="13" t="str">
        <f>CTM!L5</f>
        <v>-</v>
      </c>
      <c r="I52" s="13" t="str">
        <f>CTM!M5</f>
        <v>-</v>
      </c>
      <c r="J52" s="95"/>
      <c r="K52" s="95"/>
      <c r="L52" s="95"/>
      <c r="M52" s="3"/>
    </row>
    <row r="53" spans="2:13" ht="19">
      <c r="B53" s="235"/>
      <c r="C53" s="229"/>
      <c r="D53" s="116" t="str">
        <f>CTM!D6</f>
        <v>10.4" LCD</v>
      </c>
      <c r="E53" s="116" t="str">
        <f>CTM!E6</f>
        <v>RES40001002</v>
      </c>
      <c r="F53" s="116" t="str">
        <f>CTM!N6</f>
        <v>티렉스아이엔씨</v>
      </c>
      <c r="G53" s="116" t="str">
        <f>CTM!O6</f>
        <v>CPT</v>
      </c>
      <c r="H53" s="116">
        <f>CTM!L6</f>
        <v>185000</v>
      </c>
      <c r="I53" s="116">
        <f>CTM!M6</f>
        <v>11100000</v>
      </c>
      <c r="J53" s="117">
        <v>45497</v>
      </c>
      <c r="K53" s="117">
        <v>45497</v>
      </c>
      <c r="L53" s="113" t="s">
        <v>169</v>
      </c>
      <c r="M53" s="16" t="s">
        <v>101</v>
      </c>
    </row>
    <row r="54" spans="2:13" ht="19">
      <c r="B54" s="235"/>
      <c r="C54" s="229"/>
      <c r="D54" s="13" t="str">
        <f>CTM!D7</f>
        <v>Control Board Bracket</v>
      </c>
      <c r="E54" s="13" t="str">
        <f>CTM!E7</f>
        <v>R1C001371</v>
      </c>
      <c r="F54" s="13" t="str">
        <f>CTM!N7</f>
        <v>세일엔지니어링</v>
      </c>
      <c r="G54" s="13" t="str">
        <f>CTM!O7</f>
        <v>세일엔지니어링</v>
      </c>
      <c r="H54" s="13" t="str">
        <f>CTM!L7</f>
        <v>-</v>
      </c>
      <c r="I54" s="119" t="s">
        <v>200</v>
      </c>
      <c r="J54" s="95"/>
      <c r="K54" s="95"/>
      <c r="L54" s="95"/>
      <c r="M54" s="3"/>
    </row>
    <row r="55" spans="2:13" ht="19">
      <c r="B55" s="235"/>
      <c r="C55" s="229"/>
      <c r="D55" s="13" t="str">
        <f>CTM!D8</f>
        <v>Control Board</v>
      </c>
      <c r="E55" s="13" t="str">
        <f>CTM!E8</f>
        <v>R1C001372 Rev.1</v>
      </c>
      <c r="F55" s="13" t="str">
        <f>CTM!N8</f>
        <v>BEUPSYS</v>
      </c>
      <c r="G55" s="13" t="str">
        <f>CTM!O8</f>
        <v>BEUPSYS</v>
      </c>
      <c r="H55" s="13">
        <f>CTM!L8</f>
        <v>923923</v>
      </c>
      <c r="I55" s="119" t="s">
        <v>200</v>
      </c>
      <c r="J55" s="95"/>
      <c r="K55" s="95"/>
      <c r="L55" s="95"/>
      <c r="M55" s="3"/>
    </row>
    <row r="56" spans="2:13" ht="19">
      <c r="B56" s="235"/>
      <c r="C56" s="229"/>
      <c r="D56" s="150" t="str">
        <f>CTM!D9</f>
        <v xml:space="preserve">CPU TCA3/i-E3845 </v>
      </c>
      <c r="E56" s="116" t="str">
        <f>CTM!E9</f>
        <v>-</v>
      </c>
      <c r="F56" s="116" t="str">
        <f>CTM!N9</f>
        <v>이엔엠테크놀로지</v>
      </c>
      <c r="G56" s="116" t="str">
        <f>CTM!O9</f>
        <v>CONGA</v>
      </c>
      <c r="H56" s="114">
        <f>CTM!L9</f>
        <v>327</v>
      </c>
      <c r="I56" s="114">
        <f>CTM!M9</f>
        <v>22890</v>
      </c>
      <c r="J56" s="117">
        <v>45684</v>
      </c>
      <c r="K56" s="117">
        <v>45442</v>
      </c>
      <c r="L56" s="117" t="s">
        <v>104</v>
      </c>
      <c r="M56" s="3" t="s">
        <v>101</v>
      </c>
    </row>
    <row r="57" spans="2:13" ht="19">
      <c r="B57" s="235"/>
      <c r="C57" s="229"/>
      <c r="D57" s="150" t="str">
        <f>CTM!D10</f>
        <v xml:space="preserve">CPU BRACKET TCA3/CSP-B </v>
      </c>
      <c r="E57" s="116" t="str">
        <f>CTM!E10</f>
        <v>-</v>
      </c>
      <c r="F57" s="116" t="str">
        <f>CTM!N10</f>
        <v>이엔엠테크놀로지</v>
      </c>
      <c r="G57" s="116" t="str">
        <f>CTM!O10</f>
        <v>CONGA</v>
      </c>
      <c r="H57" s="114">
        <f>CTM!L10</f>
        <v>40.6</v>
      </c>
      <c r="I57" s="114">
        <f>CTM!M10</f>
        <v>2842</v>
      </c>
      <c r="J57" s="117">
        <v>45684</v>
      </c>
      <c r="K57" s="117">
        <v>45442</v>
      </c>
      <c r="L57" s="117" t="s">
        <v>104</v>
      </c>
      <c r="M57" s="3" t="s">
        <v>101</v>
      </c>
    </row>
    <row r="58" spans="2:13" ht="57">
      <c r="B58" s="235"/>
      <c r="C58" s="229"/>
      <c r="D58" s="151" t="str">
        <f>CTM!D11</f>
        <v>DDR4
(DDR3L 4GB SODIMM 1600MT/S)</v>
      </c>
      <c r="E58" s="149" t="str">
        <f>CTM!E11</f>
        <v>-</v>
      </c>
      <c r="F58" s="149" t="str">
        <f>CTM!N11</f>
        <v>이노디스크</v>
      </c>
      <c r="G58" s="149" t="str">
        <f>CTM!O11</f>
        <v>이노디스크</v>
      </c>
      <c r="H58" s="87">
        <f>CTM!L11</f>
        <v>36000</v>
      </c>
      <c r="I58" s="87">
        <f>CTM!M11</f>
        <v>2520000</v>
      </c>
      <c r="J58" s="118"/>
      <c r="K58" s="118"/>
      <c r="L58" s="118"/>
      <c r="M58" s="17" t="s">
        <v>222</v>
      </c>
    </row>
    <row r="59" spans="2:13" ht="19">
      <c r="B59" s="235"/>
      <c r="C59" s="229"/>
      <c r="D59" s="13" t="str">
        <f>CTM!D12</f>
        <v>Power Board</v>
      </c>
      <c r="E59" s="13" t="str">
        <f>CTM!E12</f>
        <v>R1C001369</v>
      </c>
      <c r="F59" s="13" t="str">
        <f>CTM!N12</f>
        <v>이지파워</v>
      </c>
      <c r="G59" s="13" t="str">
        <f>CTM!O12</f>
        <v>이지파워</v>
      </c>
      <c r="H59" s="13">
        <f>CTM!L12</f>
        <v>112000</v>
      </c>
      <c r="I59" s="13">
        <f>CTM!M12</f>
        <v>6720000</v>
      </c>
      <c r="J59" s="95"/>
      <c r="K59" s="95"/>
      <c r="L59" s="95"/>
      <c r="M59" s="3"/>
    </row>
    <row r="60" spans="2:13" ht="19">
      <c r="B60" s="235"/>
      <c r="C60" s="229"/>
      <c r="D60" s="116" t="str">
        <f>CTM!D13</f>
        <v>3P Connector</v>
      </c>
      <c r="E60" s="116" t="str">
        <f>CTM!E13</f>
        <v>770-213</v>
      </c>
      <c r="F60" s="116" t="str">
        <f>CTM!N13</f>
        <v>아이닉스</v>
      </c>
      <c r="G60" s="116" t="str">
        <f>CTM!O13</f>
        <v>WAGO</v>
      </c>
      <c r="H60" s="120">
        <f>CTM!L13</f>
        <v>2800</v>
      </c>
      <c r="I60" s="120">
        <f>CTM!M13</f>
        <v>154000</v>
      </c>
      <c r="J60" s="97">
        <v>45497</v>
      </c>
      <c r="K60" s="97">
        <v>45497</v>
      </c>
      <c r="L60" s="98" t="s">
        <v>170</v>
      </c>
      <c r="M60" s="16"/>
    </row>
    <row r="61" spans="2:13" ht="19">
      <c r="B61" s="235"/>
      <c r="C61" s="229"/>
      <c r="D61" s="116" t="str">
        <f>CTM!D14</f>
        <v>Locking</v>
      </c>
      <c r="E61" s="116" t="str">
        <f>CTM!E14</f>
        <v>770-101</v>
      </c>
      <c r="F61" s="116" t="str">
        <f>CTM!N14</f>
        <v>아이닉스</v>
      </c>
      <c r="G61" s="116" t="str">
        <f>CTM!O14</f>
        <v>WAGO</v>
      </c>
      <c r="H61" s="120">
        <f>CTM!L14</f>
        <v>350</v>
      </c>
      <c r="I61" s="120">
        <f>CTM!M14</f>
        <v>19250</v>
      </c>
      <c r="J61" s="97">
        <v>45497</v>
      </c>
      <c r="K61" s="97">
        <v>45497</v>
      </c>
      <c r="L61" s="98" t="s">
        <v>170</v>
      </c>
      <c r="M61" s="16"/>
    </row>
    <row r="62" spans="2:13" ht="19">
      <c r="B62" s="235"/>
      <c r="C62" s="229"/>
      <c r="D62" s="116" t="str">
        <f>CTM!D15</f>
        <v>4P Connector</v>
      </c>
      <c r="E62" s="116" t="str">
        <f>CTM!E15</f>
        <v>21 03 882 2405</v>
      </c>
      <c r="F62" s="116" t="str">
        <f>CTM!N15</f>
        <v>아이닉스</v>
      </c>
      <c r="G62" s="116" t="str">
        <f>CTM!O15</f>
        <v>HARTING</v>
      </c>
      <c r="H62" s="120">
        <f>CTM!L15</f>
        <v>32300</v>
      </c>
      <c r="I62" s="120">
        <f>CTM!M15</f>
        <v>6589200</v>
      </c>
      <c r="J62" s="97">
        <v>45497</v>
      </c>
      <c r="K62" s="97">
        <v>45497</v>
      </c>
      <c r="L62" s="98" t="s">
        <v>170</v>
      </c>
      <c r="M62" s="16"/>
    </row>
    <row r="63" spans="2:13" ht="19">
      <c r="B63" s="235"/>
      <c r="C63" s="229"/>
      <c r="D63" s="116" t="str">
        <f>CTM!D16</f>
        <v>Pin</v>
      </c>
      <c r="E63" s="116" t="str">
        <f>CTM!E16</f>
        <v>09 67 000 5476</v>
      </c>
      <c r="F63" s="116" t="str">
        <f>CTM!N16</f>
        <v>아이닉스</v>
      </c>
      <c r="G63" s="116" t="str">
        <f>CTM!O16</f>
        <v>HARTING</v>
      </c>
      <c r="H63" s="120">
        <f>CTM!L16</f>
        <v>1300</v>
      </c>
      <c r="I63" s="120">
        <f>CTM!M16</f>
        <v>1060800</v>
      </c>
      <c r="J63" s="97">
        <v>45497</v>
      </c>
      <c r="K63" s="97">
        <v>45497</v>
      </c>
      <c r="L63" s="98" t="s">
        <v>170</v>
      </c>
      <c r="M63" s="16"/>
    </row>
    <row r="64" spans="2:13" ht="19">
      <c r="B64" s="235"/>
      <c r="C64" s="229"/>
      <c r="D64" s="116" t="str">
        <f>CTM!D17</f>
        <v>Cable Gland</v>
      </c>
      <c r="E64" s="116" t="str">
        <f>CTM!E17</f>
        <v>DAM-25</v>
      </c>
      <c r="F64" s="116" t="str">
        <f>CTM!N17</f>
        <v>아이닉스</v>
      </c>
      <c r="G64" s="116" t="str">
        <f>CTM!O17</f>
        <v>DONGA</v>
      </c>
      <c r="H64" s="120">
        <f>CTM!L17</f>
        <v>1000</v>
      </c>
      <c r="I64" s="120">
        <f>CTM!M17</f>
        <v>110000</v>
      </c>
      <c r="J64" s="97">
        <v>45497</v>
      </c>
      <c r="K64" s="97">
        <v>45497</v>
      </c>
      <c r="L64" s="98" t="s">
        <v>170</v>
      </c>
      <c r="M64" s="16"/>
    </row>
    <row r="65" spans="2:13" ht="19">
      <c r="B65" s="235"/>
      <c r="C65" s="229"/>
      <c r="D65" s="149" t="str">
        <f>CTM!D18</f>
        <v>USB Adapter</v>
      </c>
      <c r="E65" s="149" t="str">
        <f>CTM!E18</f>
        <v>ECF504-12AAS (600mm)</v>
      </c>
      <c r="F65" s="149" t="str">
        <f>CTM!N18</f>
        <v>아이닉스</v>
      </c>
      <c r="G65" s="149" t="str">
        <f>CTM!O18</f>
        <v>L-COM</v>
      </c>
      <c r="H65" s="121">
        <f>CTM!L18</f>
        <v>28900</v>
      </c>
      <c r="I65" s="121">
        <f>CTM!M18</f>
        <v>1589500</v>
      </c>
      <c r="J65" s="102"/>
      <c r="K65" s="102"/>
      <c r="L65" s="103"/>
      <c r="M65" s="17" t="s">
        <v>222</v>
      </c>
    </row>
    <row r="66" spans="2:13" ht="19">
      <c r="B66" s="235"/>
      <c r="C66" s="229"/>
      <c r="D66" s="13" t="str">
        <f>CTM!D19</f>
        <v>Name Plate</v>
      </c>
      <c r="E66" s="13" t="str">
        <f>CTM!E19</f>
        <v>R1C001342_12</v>
      </c>
      <c r="F66" s="13" t="str">
        <f>CTM!N19</f>
        <v>-</v>
      </c>
      <c r="G66" s="13" t="str">
        <f>CTM!O19</f>
        <v>-</v>
      </c>
      <c r="H66" s="13" t="str">
        <f>CTM!L19</f>
        <v>-</v>
      </c>
      <c r="I66" s="13" t="str">
        <f>CTM!M19</f>
        <v>-</v>
      </c>
      <c r="J66" s="95"/>
      <c r="K66" s="95"/>
      <c r="L66" s="95"/>
      <c r="M66" s="3"/>
    </row>
    <row r="67" spans="2:13" ht="18">
      <c r="B67" s="235"/>
      <c r="C67" s="229"/>
      <c r="D67" s="12"/>
      <c r="E67" s="12"/>
      <c r="F67" s="12"/>
      <c r="G67" s="12"/>
      <c r="H67" s="12"/>
      <c r="I67" s="13"/>
      <c r="J67" s="95"/>
      <c r="K67" s="95"/>
      <c r="L67" s="94"/>
      <c r="M67" s="2"/>
    </row>
    <row r="68" spans="2:13" ht="19">
      <c r="B68" s="237"/>
      <c r="C68" s="230"/>
      <c r="D68" s="108" t="s">
        <v>172</v>
      </c>
      <c r="E68" s="108"/>
      <c r="F68" s="109" t="s">
        <v>158</v>
      </c>
      <c r="G68" s="109" t="s">
        <v>158</v>
      </c>
      <c r="H68" s="110"/>
      <c r="I68" s="116">
        <f>CTM!M34</f>
        <v>310200</v>
      </c>
      <c r="J68" s="97">
        <v>45497</v>
      </c>
      <c r="K68" s="97">
        <v>45497</v>
      </c>
      <c r="L68" s="109"/>
      <c r="M68" s="15"/>
    </row>
    <row r="69" spans="2:13" ht="18">
      <c r="B69" s="234"/>
      <c r="C69" s="228"/>
      <c r="D69" s="111"/>
      <c r="E69" s="112"/>
      <c r="F69" s="95"/>
      <c r="G69" s="95"/>
      <c r="H69" s="13"/>
      <c r="I69" s="13"/>
      <c r="J69" s="95"/>
      <c r="K69" s="95"/>
      <c r="L69" s="95"/>
      <c r="M69" s="3"/>
    </row>
    <row r="70" spans="2:13" ht="18">
      <c r="B70" s="235"/>
      <c r="C70" s="229"/>
      <c r="D70" s="120"/>
      <c r="E70" s="120"/>
      <c r="F70" s="120"/>
      <c r="G70" s="120"/>
      <c r="H70" s="120"/>
      <c r="I70" s="120"/>
      <c r="J70" s="122"/>
      <c r="K70" s="122"/>
      <c r="L70" s="122"/>
      <c r="M70" s="3"/>
    </row>
    <row r="71" spans="2:13" ht="18">
      <c r="B71" s="235"/>
      <c r="C71" s="229"/>
      <c r="D71" s="120"/>
      <c r="E71" s="120"/>
      <c r="F71" s="120"/>
      <c r="G71" s="120"/>
      <c r="H71" s="120"/>
      <c r="I71" s="120"/>
      <c r="J71" s="98"/>
      <c r="K71" s="98"/>
      <c r="L71" s="98"/>
      <c r="M71" s="3"/>
    </row>
    <row r="72" spans="2:13" ht="18">
      <c r="B72" s="235"/>
      <c r="C72" s="229"/>
      <c r="D72" s="120"/>
      <c r="E72" s="120"/>
      <c r="F72" s="120"/>
      <c r="G72" s="120"/>
      <c r="H72" s="120"/>
      <c r="I72" s="120"/>
      <c r="J72" s="98"/>
      <c r="K72" s="98"/>
      <c r="L72" s="98"/>
      <c r="M72" s="3"/>
    </row>
    <row r="73" spans="2:13" ht="18">
      <c r="B73" s="235"/>
      <c r="C73" s="229"/>
      <c r="D73" s="120"/>
      <c r="E73" s="120"/>
      <c r="F73" s="120"/>
      <c r="G73" s="120"/>
      <c r="H73" s="120"/>
      <c r="I73" s="120"/>
      <c r="J73" s="98"/>
      <c r="K73" s="98"/>
      <c r="L73" s="98"/>
      <c r="M73" s="3"/>
    </row>
    <row r="74" spans="2:13" ht="18">
      <c r="B74" s="235"/>
      <c r="C74" s="229"/>
      <c r="D74" s="154"/>
      <c r="E74" s="154"/>
      <c r="F74" s="154"/>
      <c r="G74" s="154"/>
      <c r="H74" s="13"/>
      <c r="I74" s="13"/>
      <c r="J74" s="123"/>
      <c r="K74" s="95"/>
      <c r="L74" s="95"/>
      <c r="M74" s="3"/>
    </row>
    <row r="75" spans="2:13" ht="18">
      <c r="B75" s="235"/>
      <c r="C75" s="229"/>
      <c r="D75" s="154"/>
      <c r="E75" s="154"/>
      <c r="F75" s="154"/>
      <c r="G75" s="154"/>
      <c r="H75" s="13"/>
      <c r="I75" s="13"/>
      <c r="J75" s="95"/>
      <c r="K75" s="95"/>
      <c r="L75" s="95"/>
      <c r="M75" s="3"/>
    </row>
    <row r="76" spans="2:13" ht="18">
      <c r="B76" s="235"/>
      <c r="C76" s="229"/>
      <c r="D76" s="120"/>
      <c r="E76" s="120"/>
      <c r="F76" s="120"/>
      <c r="G76" s="120"/>
      <c r="H76" s="120"/>
      <c r="I76" s="120"/>
      <c r="J76" s="97"/>
      <c r="K76" s="97"/>
      <c r="L76" s="98"/>
      <c r="M76" s="3"/>
    </row>
    <row r="77" spans="2:13" ht="18">
      <c r="B77" s="235"/>
      <c r="C77" s="229"/>
      <c r="D77" s="120"/>
      <c r="E77" s="120"/>
      <c r="F77" s="120"/>
      <c r="G77" s="120"/>
      <c r="H77" s="120"/>
      <c r="I77" s="120"/>
      <c r="J77" s="97"/>
      <c r="K77" s="97"/>
      <c r="L77" s="98"/>
      <c r="M77" s="3"/>
    </row>
    <row r="78" spans="2:13" ht="18">
      <c r="B78" s="235"/>
      <c r="C78" s="229"/>
      <c r="D78" s="120"/>
      <c r="E78" s="120"/>
      <c r="F78" s="120"/>
      <c r="G78" s="120"/>
      <c r="H78" s="120"/>
      <c r="I78" s="120"/>
      <c r="J78" s="97"/>
      <c r="K78" s="97"/>
      <c r="L78" s="98"/>
      <c r="M78" s="3"/>
    </row>
    <row r="79" spans="2:13" ht="18">
      <c r="B79" s="235"/>
      <c r="C79" s="229"/>
      <c r="D79" s="120"/>
      <c r="E79" s="120"/>
      <c r="F79" s="120"/>
      <c r="G79" s="120"/>
      <c r="H79" s="120"/>
      <c r="I79" s="120"/>
      <c r="J79" s="97"/>
      <c r="K79" s="97"/>
      <c r="L79" s="98"/>
      <c r="M79" s="3"/>
    </row>
    <row r="80" spans="2:13" ht="18">
      <c r="B80" s="235"/>
      <c r="C80" s="229"/>
      <c r="D80" s="120"/>
      <c r="E80" s="120"/>
      <c r="F80" s="120"/>
      <c r="G80" s="120"/>
      <c r="H80" s="120"/>
      <c r="I80" s="120"/>
      <c r="J80" s="97"/>
      <c r="K80" s="97"/>
      <c r="L80" s="98"/>
      <c r="M80" s="3"/>
    </row>
    <row r="81" spans="2:13" ht="18">
      <c r="B81" s="235"/>
      <c r="C81" s="229"/>
      <c r="D81" s="120"/>
      <c r="E81" s="120"/>
      <c r="F81" s="120"/>
      <c r="G81" s="120"/>
      <c r="H81" s="120"/>
      <c r="I81" s="120"/>
      <c r="J81" s="97"/>
      <c r="K81" s="97"/>
      <c r="L81" s="98"/>
      <c r="M81" s="3"/>
    </row>
    <row r="82" spans="2:13" ht="18">
      <c r="B82" s="235"/>
      <c r="C82" s="229"/>
      <c r="D82" s="120"/>
      <c r="E82" s="120"/>
      <c r="F82" s="120"/>
      <c r="G82" s="120"/>
      <c r="H82" s="120"/>
      <c r="I82" s="120"/>
      <c r="J82" s="97"/>
      <c r="K82" s="97"/>
      <c r="L82" s="98"/>
      <c r="M82" s="3"/>
    </row>
    <row r="83" spans="2:13" ht="18">
      <c r="B83" s="235"/>
      <c r="C83" s="229"/>
      <c r="D83" s="120"/>
      <c r="E83" s="120"/>
      <c r="F83" s="120"/>
      <c r="G83" s="120"/>
      <c r="H83" s="120"/>
      <c r="I83" s="120"/>
      <c r="J83" s="97"/>
      <c r="K83" s="97"/>
      <c r="L83" s="98"/>
      <c r="M83" s="3"/>
    </row>
    <row r="84" spans="2:13" ht="18">
      <c r="B84" s="235"/>
      <c r="C84" s="229"/>
      <c r="D84" s="154"/>
      <c r="E84" s="154"/>
      <c r="F84" s="154"/>
      <c r="G84" s="154"/>
      <c r="H84" s="13"/>
      <c r="I84" s="13"/>
      <c r="J84" s="123"/>
      <c r="K84" s="95"/>
      <c r="L84" s="95"/>
      <c r="M84" s="3"/>
    </row>
    <row r="85" spans="2:13" ht="18">
      <c r="B85" s="235"/>
      <c r="C85" s="229"/>
      <c r="D85" s="154"/>
      <c r="E85" s="154"/>
      <c r="F85" s="154"/>
      <c r="G85" s="154"/>
      <c r="H85" s="13"/>
      <c r="I85" s="13"/>
      <c r="J85" s="95"/>
      <c r="K85" s="95"/>
      <c r="L85" s="95"/>
      <c r="M85" s="3"/>
    </row>
    <row r="86" spans="2:13" ht="18">
      <c r="B86" s="235"/>
      <c r="C86" s="229"/>
      <c r="D86" s="105"/>
      <c r="E86" s="105"/>
      <c r="F86" s="105"/>
      <c r="G86" s="105"/>
      <c r="H86" s="12"/>
      <c r="I86" s="12"/>
      <c r="J86" s="95"/>
      <c r="K86" s="95"/>
      <c r="L86" s="94"/>
      <c r="M86" s="2"/>
    </row>
    <row r="87" spans="2:13" ht="18">
      <c r="B87" s="237"/>
      <c r="C87" s="230"/>
      <c r="D87" s="108"/>
      <c r="E87" s="108"/>
      <c r="F87" s="109"/>
      <c r="G87" s="109"/>
      <c r="H87" s="110"/>
      <c r="I87" s="110"/>
      <c r="J87" s="97"/>
      <c r="K87" s="97"/>
      <c r="L87" s="109"/>
      <c r="M87" s="2"/>
    </row>
    <row r="88" spans="2:13" ht="18">
      <c r="B88" s="234"/>
      <c r="C88" s="228"/>
      <c r="D88" s="111"/>
      <c r="E88" s="112"/>
      <c r="F88" s="95"/>
      <c r="G88" s="95"/>
      <c r="H88" s="13"/>
      <c r="I88" s="124"/>
      <c r="J88" s="95"/>
      <c r="K88" s="95"/>
      <c r="L88" s="95"/>
      <c r="M88" s="3"/>
    </row>
    <row r="89" spans="2:13" ht="18">
      <c r="B89" s="235"/>
      <c r="C89" s="229"/>
      <c r="D89" s="120"/>
      <c r="E89" s="120"/>
      <c r="F89" s="120"/>
      <c r="G89" s="120"/>
      <c r="H89" s="120"/>
      <c r="I89" s="120"/>
      <c r="J89" s="122"/>
      <c r="K89" s="122"/>
      <c r="L89" s="98"/>
      <c r="M89" s="3"/>
    </row>
    <row r="90" spans="2:13" ht="18">
      <c r="B90" s="235"/>
      <c r="C90" s="229"/>
      <c r="D90" s="120"/>
      <c r="E90" s="120"/>
      <c r="F90" s="120"/>
      <c r="G90" s="120"/>
      <c r="H90" s="120"/>
      <c r="I90" s="120"/>
      <c r="J90" s="98"/>
      <c r="K90" s="98"/>
      <c r="L90" s="98"/>
      <c r="M90" s="3"/>
    </row>
    <row r="91" spans="2:13" ht="18">
      <c r="B91" s="235"/>
      <c r="C91" s="229"/>
      <c r="D91" s="120"/>
      <c r="E91" s="120"/>
      <c r="F91" s="120"/>
      <c r="G91" s="120"/>
      <c r="H91" s="120"/>
      <c r="I91" s="120"/>
      <c r="J91" s="98"/>
      <c r="K91" s="98"/>
      <c r="L91" s="98"/>
      <c r="M91" s="3"/>
    </row>
    <row r="92" spans="2:13" ht="18">
      <c r="B92" s="235"/>
      <c r="C92" s="229"/>
      <c r="D92" s="120"/>
      <c r="E92" s="120"/>
      <c r="F92" s="120"/>
      <c r="G92" s="120"/>
      <c r="H92" s="120"/>
      <c r="I92" s="120"/>
      <c r="J92" s="97"/>
      <c r="K92" s="97"/>
      <c r="L92" s="98"/>
      <c r="M92" s="9"/>
    </row>
    <row r="93" spans="2:13" ht="18">
      <c r="B93" s="235"/>
      <c r="C93" s="229"/>
      <c r="D93" s="120"/>
      <c r="E93" s="120"/>
      <c r="F93" s="120"/>
      <c r="G93" s="120"/>
      <c r="H93" s="120"/>
      <c r="I93" s="120"/>
      <c r="J93" s="98"/>
      <c r="K93" s="98"/>
      <c r="L93" s="98"/>
      <c r="M93" s="3"/>
    </row>
    <row r="94" spans="2:13" ht="18">
      <c r="B94" s="235"/>
      <c r="C94" s="229"/>
      <c r="D94" s="120"/>
      <c r="E94" s="120"/>
      <c r="F94" s="120"/>
      <c r="G94" s="120"/>
      <c r="H94" s="120"/>
      <c r="I94" s="120"/>
      <c r="J94" s="98"/>
      <c r="K94" s="98"/>
      <c r="L94" s="98"/>
      <c r="M94" s="3"/>
    </row>
    <row r="95" spans="2:13" ht="18">
      <c r="B95" s="235"/>
      <c r="C95" s="229"/>
      <c r="D95" s="154"/>
      <c r="E95" s="154"/>
      <c r="F95" s="154"/>
      <c r="G95" s="154"/>
      <c r="H95" s="13"/>
      <c r="I95" s="13"/>
      <c r="J95" s="95"/>
      <c r="K95" s="95"/>
      <c r="L95" s="95"/>
      <c r="M95" s="3"/>
    </row>
    <row r="96" spans="2:13" ht="18">
      <c r="B96" s="235"/>
      <c r="C96" s="229"/>
      <c r="D96" s="154"/>
      <c r="E96" s="154"/>
      <c r="F96" s="154"/>
      <c r="G96" s="154"/>
      <c r="H96" s="13"/>
      <c r="I96" s="13"/>
      <c r="J96" s="123"/>
      <c r="K96" s="95"/>
      <c r="L96" s="95"/>
      <c r="M96" s="3"/>
    </row>
    <row r="97" spans="2:13" ht="18">
      <c r="B97" s="235"/>
      <c r="C97" s="229"/>
      <c r="D97" s="120"/>
      <c r="E97" s="120"/>
      <c r="F97" s="120"/>
      <c r="G97" s="120"/>
      <c r="H97" s="120"/>
      <c r="I97" s="120"/>
      <c r="J97" s="97"/>
      <c r="K97" s="97"/>
      <c r="L97" s="98"/>
      <c r="M97" s="3"/>
    </row>
    <row r="98" spans="2:13" ht="18">
      <c r="B98" s="235"/>
      <c r="C98" s="229"/>
      <c r="D98" s="120"/>
      <c r="E98" s="120"/>
      <c r="F98" s="120"/>
      <c r="G98" s="120"/>
      <c r="H98" s="120"/>
      <c r="I98" s="120"/>
      <c r="J98" s="97"/>
      <c r="K98" s="97"/>
      <c r="L98" s="98"/>
      <c r="M98" s="3"/>
    </row>
    <row r="99" spans="2:13" ht="18">
      <c r="B99" s="235"/>
      <c r="C99" s="229"/>
      <c r="D99" s="120"/>
      <c r="E99" s="120"/>
      <c r="F99" s="120"/>
      <c r="G99" s="120"/>
      <c r="H99" s="120"/>
      <c r="I99" s="120"/>
      <c r="J99" s="97"/>
      <c r="K99" s="97"/>
      <c r="L99" s="98"/>
      <c r="M99" s="3"/>
    </row>
    <row r="100" spans="2:13" ht="18">
      <c r="B100" s="235"/>
      <c r="C100" s="229"/>
      <c r="D100" s="120"/>
      <c r="E100" s="120"/>
      <c r="F100" s="120"/>
      <c r="G100" s="120"/>
      <c r="H100" s="120"/>
      <c r="I100" s="120"/>
      <c r="J100" s="97"/>
      <c r="K100" s="97"/>
      <c r="L100" s="98"/>
      <c r="M100" s="3"/>
    </row>
    <row r="101" spans="2:13" ht="18">
      <c r="B101" s="235"/>
      <c r="C101" s="229"/>
      <c r="D101" s="120"/>
      <c r="E101" s="120"/>
      <c r="F101" s="120"/>
      <c r="G101" s="120"/>
      <c r="H101" s="120"/>
      <c r="I101" s="120"/>
      <c r="J101" s="97"/>
      <c r="K101" s="97"/>
      <c r="L101" s="98"/>
      <c r="M101" s="3"/>
    </row>
    <row r="102" spans="2:13" ht="18">
      <c r="B102" s="235"/>
      <c r="C102" s="229"/>
      <c r="D102" s="120"/>
      <c r="E102" s="120"/>
      <c r="F102" s="120"/>
      <c r="G102" s="120"/>
      <c r="H102" s="116"/>
      <c r="I102" s="116"/>
      <c r="J102" s="117"/>
      <c r="K102" s="117"/>
      <c r="L102" s="113"/>
      <c r="M102" s="3"/>
    </row>
    <row r="103" spans="2:13" ht="18">
      <c r="B103" s="235"/>
      <c r="C103" s="229"/>
      <c r="D103" s="120"/>
      <c r="E103" s="120"/>
      <c r="F103" s="120"/>
      <c r="G103" s="120"/>
      <c r="H103" s="120"/>
      <c r="I103" s="120"/>
      <c r="J103" s="97"/>
      <c r="K103" s="97"/>
      <c r="L103" s="98"/>
      <c r="M103" s="3"/>
    </row>
    <row r="104" spans="2:13" ht="18">
      <c r="B104" s="235"/>
      <c r="C104" s="229"/>
      <c r="D104" s="154"/>
      <c r="E104" s="154"/>
      <c r="F104" s="154"/>
      <c r="G104" s="154"/>
      <c r="H104" s="13"/>
      <c r="I104" s="13"/>
      <c r="J104" s="95"/>
      <c r="K104" s="95"/>
      <c r="L104" s="95"/>
      <c r="M104" s="3"/>
    </row>
    <row r="105" spans="2:13" ht="18">
      <c r="B105" s="235"/>
      <c r="C105" s="229"/>
      <c r="D105" s="120"/>
      <c r="E105" s="120"/>
      <c r="F105" s="120"/>
      <c r="G105" s="120"/>
      <c r="H105" s="116"/>
      <c r="I105" s="116"/>
      <c r="J105" s="97"/>
      <c r="K105" s="97"/>
      <c r="L105" s="109"/>
      <c r="M105" s="2"/>
    </row>
    <row r="106" spans="2:13" ht="18">
      <c r="B106" s="235"/>
      <c r="C106" s="229"/>
      <c r="D106" s="105"/>
      <c r="E106" s="105"/>
      <c r="F106" s="105"/>
      <c r="G106" s="105"/>
      <c r="H106" s="105"/>
      <c r="I106" s="154"/>
      <c r="J106" s="163"/>
      <c r="K106" s="163"/>
      <c r="L106" s="104"/>
      <c r="M106" s="2"/>
    </row>
    <row r="107" spans="2:13" ht="18">
      <c r="B107" s="237"/>
      <c r="C107" s="230"/>
      <c r="D107" s="108"/>
      <c r="E107" s="108"/>
      <c r="F107" s="109"/>
      <c r="G107" s="109"/>
      <c r="H107" s="110"/>
      <c r="I107" s="116"/>
      <c r="J107" s="97"/>
      <c r="K107" s="97"/>
      <c r="L107" s="109"/>
      <c r="M107" s="2"/>
    </row>
    <row r="108" spans="2:13" ht="18">
      <c r="B108" s="234"/>
      <c r="C108" s="228"/>
      <c r="D108" s="111"/>
      <c r="E108" s="112"/>
      <c r="F108" s="95"/>
      <c r="G108" s="95"/>
      <c r="H108" s="13"/>
      <c r="I108" s="13"/>
      <c r="J108" s="95"/>
      <c r="K108" s="95"/>
      <c r="L108" s="95"/>
      <c r="M108" s="3"/>
    </row>
    <row r="109" spans="2:13" ht="18">
      <c r="B109" s="235"/>
      <c r="C109" s="229"/>
      <c r="D109" s="13"/>
      <c r="E109" s="13"/>
      <c r="F109" s="13"/>
      <c r="G109" s="13"/>
      <c r="H109" s="13"/>
      <c r="I109" s="13"/>
      <c r="J109" s="95"/>
      <c r="K109" s="95"/>
      <c r="L109" s="95"/>
      <c r="M109" s="3"/>
    </row>
    <row r="110" spans="2:13" ht="18">
      <c r="B110" s="235"/>
      <c r="C110" s="229"/>
      <c r="D110" s="13"/>
      <c r="E110" s="13"/>
      <c r="F110" s="13"/>
      <c r="G110" s="13"/>
      <c r="H110" s="13"/>
      <c r="I110" s="13"/>
      <c r="J110" s="95"/>
      <c r="K110" s="95"/>
      <c r="L110" s="95"/>
      <c r="M110" s="3"/>
    </row>
    <row r="111" spans="2:13" ht="18">
      <c r="B111" s="235"/>
      <c r="C111" s="229"/>
      <c r="D111" s="13"/>
      <c r="E111" s="13"/>
      <c r="F111" s="13"/>
      <c r="G111" s="13"/>
      <c r="H111" s="13"/>
      <c r="I111" s="13"/>
      <c r="J111" s="95"/>
      <c r="K111" s="95"/>
      <c r="L111" s="95"/>
      <c r="M111" s="3"/>
    </row>
    <row r="112" spans="2:13" ht="18">
      <c r="B112" s="235"/>
      <c r="C112" s="229"/>
      <c r="D112" s="13"/>
      <c r="E112" s="13"/>
      <c r="F112" s="13"/>
      <c r="G112" s="13"/>
      <c r="H112" s="13"/>
      <c r="I112" s="13"/>
      <c r="J112" s="123"/>
      <c r="K112" s="95"/>
      <c r="L112" s="95"/>
      <c r="M112" s="3"/>
    </row>
    <row r="113" spans="2:13" ht="18">
      <c r="B113" s="235"/>
      <c r="C113" s="229"/>
      <c r="D113" s="13"/>
      <c r="E113" s="13"/>
      <c r="F113" s="13"/>
      <c r="G113" s="13"/>
      <c r="H113" s="13"/>
      <c r="I113" s="13"/>
      <c r="J113" s="95"/>
      <c r="K113" s="95"/>
      <c r="L113" s="95"/>
      <c r="M113" s="3"/>
    </row>
    <row r="114" spans="2:13" ht="18">
      <c r="B114" s="235"/>
      <c r="C114" s="229"/>
      <c r="D114" s="116"/>
      <c r="E114" s="116"/>
      <c r="F114" s="116"/>
      <c r="G114" s="116"/>
      <c r="H114" s="116"/>
      <c r="I114" s="116"/>
      <c r="J114" s="117"/>
      <c r="K114" s="117"/>
      <c r="L114" s="117"/>
      <c r="M114" s="3"/>
    </row>
    <row r="115" spans="2:13" ht="18">
      <c r="B115" s="235"/>
      <c r="C115" s="229"/>
      <c r="D115" s="13"/>
      <c r="E115" s="13"/>
      <c r="F115" s="13"/>
      <c r="G115" s="13"/>
      <c r="H115" s="13"/>
      <c r="I115" s="13"/>
      <c r="J115" s="123"/>
      <c r="K115" s="95"/>
      <c r="L115" s="95"/>
      <c r="M115" s="3"/>
    </row>
    <row r="116" spans="2:13" ht="18">
      <c r="B116" s="235"/>
      <c r="C116" s="229"/>
      <c r="D116" s="116"/>
      <c r="E116" s="116"/>
      <c r="F116" s="116"/>
      <c r="G116" s="116"/>
      <c r="H116" s="116"/>
      <c r="I116" s="116"/>
      <c r="J116" s="117"/>
      <c r="K116" s="117"/>
      <c r="L116" s="113"/>
      <c r="M116" s="3"/>
    </row>
    <row r="117" spans="2:13" ht="18">
      <c r="B117" s="235"/>
      <c r="C117" s="229"/>
      <c r="D117" s="116"/>
      <c r="E117" s="116"/>
      <c r="F117" s="116"/>
      <c r="G117" s="116"/>
      <c r="H117" s="116"/>
      <c r="I117" s="116"/>
      <c r="J117" s="117"/>
      <c r="K117" s="117"/>
      <c r="L117" s="117"/>
      <c r="M117" s="3"/>
    </row>
    <row r="118" spans="2:13" ht="18">
      <c r="B118" s="235"/>
      <c r="C118" s="229"/>
      <c r="D118" s="13"/>
      <c r="E118" s="13"/>
      <c r="F118" s="13"/>
      <c r="G118" s="13"/>
      <c r="H118" s="13"/>
      <c r="I118" s="13"/>
      <c r="J118" s="95"/>
      <c r="K118" s="95"/>
      <c r="L118" s="95"/>
      <c r="M118" s="3"/>
    </row>
    <row r="119" spans="2:13" ht="18">
      <c r="B119" s="235"/>
      <c r="C119" s="229"/>
      <c r="D119" s="12"/>
      <c r="E119" s="12"/>
      <c r="F119" s="12"/>
      <c r="G119" s="12"/>
      <c r="H119" s="12"/>
      <c r="I119" s="13"/>
      <c r="J119" s="95"/>
      <c r="K119" s="95"/>
      <c r="L119" s="94"/>
      <c r="M119" s="2"/>
    </row>
    <row r="120" spans="2:13" ht="18">
      <c r="B120" s="237"/>
      <c r="C120" s="230"/>
      <c r="D120" s="108"/>
      <c r="E120" s="108"/>
      <c r="F120" s="109"/>
      <c r="G120" s="109"/>
      <c r="H120" s="110"/>
      <c r="I120" s="116"/>
      <c r="J120" s="97"/>
      <c r="K120" s="97"/>
      <c r="L120" s="109"/>
      <c r="M120" s="2"/>
    </row>
    <row r="121" spans="2:13" ht="18">
      <c r="B121" s="234"/>
      <c r="C121" s="225"/>
      <c r="D121" s="111"/>
      <c r="E121" s="112"/>
      <c r="F121" s="95"/>
      <c r="G121" s="95"/>
      <c r="H121" s="13"/>
      <c r="I121" s="13"/>
      <c r="J121" s="95"/>
      <c r="K121" s="95"/>
      <c r="L121" s="95"/>
      <c r="M121" s="3"/>
    </row>
    <row r="122" spans="2:13" ht="18">
      <c r="B122" s="235"/>
      <c r="C122" s="226"/>
      <c r="D122" s="120"/>
      <c r="E122" s="120"/>
      <c r="F122" s="120"/>
      <c r="G122" s="120"/>
      <c r="H122" s="120"/>
      <c r="I122" s="120"/>
      <c r="J122" s="122"/>
      <c r="K122" s="122"/>
      <c r="L122" s="98"/>
      <c r="M122" s="4"/>
    </row>
    <row r="123" spans="2:13" ht="18">
      <c r="B123" s="235"/>
      <c r="C123" s="226"/>
      <c r="D123" s="120"/>
      <c r="E123" s="120"/>
      <c r="F123" s="120"/>
      <c r="G123" s="120"/>
      <c r="H123" s="120"/>
      <c r="I123" s="120"/>
      <c r="J123" s="125"/>
      <c r="K123" s="125"/>
      <c r="L123" s="125"/>
      <c r="M123" s="4"/>
    </row>
    <row r="124" spans="2:13" ht="18">
      <c r="B124" s="235"/>
      <c r="C124" s="226"/>
      <c r="D124" s="120"/>
      <c r="E124" s="120"/>
      <c r="F124" s="120"/>
      <c r="G124" s="120"/>
      <c r="H124" s="120"/>
      <c r="I124" s="120"/>
      <c r="J124" s="125"/>
      <c r="K124" s="125"/>
      <c r="L124" s="125"/>
      <c r="M124" s="4"/>
    </row>
    <row r="125" spans="2:13" ht="18">
      <c r="B125" s="235"/>
      <c r="C125" s="226"/>
      <c r="D125" s="154"/>
      <c r="E125" s="154"/>
      <c r="F125" s="154"/>
      <c r="G125" s="154"/>
      <c r="H125" s="13"/>
      <c r="I125" s="13"/>
      <c r="J125" s="127"/>
      <c r="K125" s="126"/>
      <c r="L125" s="126"/>
      <c r="M125" s="4"/>
    </row>
    <row r="126" spans="2:13" ht="18">
      <c r="B126" s="235"/>
      <c r="C126" s="226"/>
      <c r="D126" s="120"/>
      <c r="E126" s="120"/>
      <c r="F126" s="120"/>
      <c r="G126" s="120"/>
      <c r="H126" s="120"/>
      <c r="I126" s="120"/>
      <c r="J126" s="128"/>
      <c r="K126" s="128"/>
      <c r="L126" s="128"/>
      <c r="M126" s="7"/>
    </row>
    <row r="127" spans="2:13" ht="18">
      <c r="B127" s="235"/>
      <c r="C127" s="226"/>
      <c r="D127" s="154"/>
      <c r="E127" s="154"/>
      <c r="F127" s="154"/>
      <c r="G127" s="154"/>
      <c r="H127" s="13"/>
      <c r="I127" s="13"/>
      <c r="J127" s="130"/>
      <c r="K127" s="129"/>
      <c r="L127" s="129"/>
      <c r="M127" s="7"/>
    </row>
    <row r="128" spans="2:13" ht="18">
      <c r="B128" s="235"/>
      <c r="C128" s="226"/>
      <c r="D128" s="120"/>
      <c r="E128" s="120"/>
      <c r="F128" s="120"/>
      <c r="G128" s="120"/>
      <c r="H128" s="120"/>
      <c r="I128" s="120"/>
      <c r="J128" s="128"/>
      <c r="K128" s="128"/>
      <c r="L128" s="128"/>
      <c r="M128" s="7"/>
    </row>
    <row r="129" spans="2:13" ht="18">
      <c r="B129" s="235"/>
      <c r="C129" s="226"/>
      <c r="D129" s="120"/>
      <c r="E129" s="120"/>
      <c r="F129" s="120"/>
      <c r="G129" s="120"/>
      <c r="H129" s="116"/>
      <c r="I129" s="116"/>
      <c r="J129" s="117"/>
      <c r="K129" s="117"/>
      <c r="L129" s="131"/>
      <c r="M129" s="6"/>
    </row>
    <row r="130" spans="2:13" ht="18">
      <c r="B130" s="235"/>
      <c r="C130" s="226"/>
      <c r="D130" s="120"/>
      <c r="E130" s="120"/>
      <c r="F130" s="120"/>
      <c r="G130" s="120"/>
      <c r="H130" s="120"/>
      <c r="I130" s="120"/>
      <c r="J130" s="97"/>
      <c r="K130" s="97"/>
      <c r="L130" s="125"/>
      <c r="M130" s="4"/>
    </row>
    <row r="131" spans="2:13" ht="18">
      <c r="B131" s="235"/>
      <c r="C131" s="226"/>
      <c r="D131" s="120"/>
      <c r="E131" s="120"/>
      <c r="F131" s="120"/>
      <c r="G131" s="120"/>
      <c r="H131" s="120"/>
      <c r="I131" s="120"/>
      <c r="J131" s="97"/>
      <c r="K131" s="97"/>
      <c r="L131" s="125"/>
      <c r="M131" s="4"/>
    </row>
    <row r="132" spans="2:13" ht="18">
      <c r="B132" s="235"/>
      <c r="C132" s="226"/>
      <c r="D132" s="120"/>
      <c r="E132" s="120"/>
      <c r="F132" s="120"/>
      <c r="G132" s="120"/>
      <c r="H132" s="120"/>
      <c r="I132" s="120"/>
      <c r="J132" s="97"/>
      <c r="K132" s="97"/>
      <c r="L132" s="125"/>
      <c r="M132" s="4"/>
    </row>
    <row r="133" spans="2:13" ht="18">
      <c r="B133" s="235"/>
      <c r="C133" s="226"/>
      <c r="D133" s="120"/>
      <c r="E133" s="120"/>
      <c r="F133" s="120"/>
      <c r="G133" s="120"/>
      <c r="H133" s="120"/>
      <c r="I133" s="120"/>
      <c r="J133" s="97"/>
      <c r="K133" s="97"/>
      <c r="L133" s="125"/>
      <c r="M133" s="4"/>
    </row>
    <row r="134" spans="2:13" ht="18">
      <c r="B134" s="235"/>
      <c r="C134" s="226"/>
      <c r="D134" s="120"/>
      <c r="E134" s="120"/>
      <c r="F134" s="120"/>
      <c r="G134" s="120"/>
      <c r="H134" s="120"/>
      <c r="I134" s="120"/>
      <c r="J134" s="125"/>
      <c r="K134" s="125"/>
      <c r="L134" s="125"/>
      <c r="M134" s="4"/>
    </row>
    <row r="135" spans="2:13" ht="18">
      <c r="B135" s="235"/>
      <c r="C135" s="226"/>
      <c r="D135" s="154"/>
      <c r="E135" s="154"/>
      <c r="F135" s="154"/>
      <c r="G135" s="154"/>
      <c r="H135" s="13"/>
      <c r="I135" s="13"/>
      <c r="J135" s="132"/>
      <c r="K135" s="132"/>
      <c r="L135" s="132"/>
      <c r="M135" s="10"/>
    </row>
    <row r="136" spans="2:13" ht="18">
      <c r="B136" s="235"/>
      <c r="C136" s="226"/>
      <c r="D136" s="105"/>
      <c r="E136" s="105"/>
      <c r="F136" s="105"/>
      <c r="G136" s="105"/>
      <c r="H136" s="12"/>
      <c r="I136" s="13"/>
      <c r="J136" s="126"/>
      <c r="K136" s="126"/>
      <c r="L136" s="164"/>
      <c r="M136" s="6"/>
    </row>
    <row r="137" spans="2:13" ht="18">
      <c r="B137" s="237"/>
      <c r="C137" s="227"/>
      <c r="D137" s="108"/>
      <c r="E137" s="108"/>
      <c r="F137" s="109"/>
      <c r="G137" s="109"/>
      <c r="H137" s="110"/>
      <c r="I137" s="116"/>
      <c r="J137" s="122"/>
      <c r="K137" s="97"/>
      <c r="L137" s="109"/>
      <c r="M137" s="2"/>
    </row>
    <row r="138" spans="2:13" ht="18">
      <c r="B138" s="234"/>
      <c r="C138" s="228"/>
      <c r="D138" s="133"/>
      <c r="E138" s="112"/>
      <c r="F138" s="95"/>
      <c r="G138" s="95"/>
      <c r="H138" s="13"/>
      <c r="I138" s="13"/>
      <c r="J138" s="95"/>
      <c r="K138" s="95"/>
      <c r="L138" s="95"/>
      <c r="M138" s="3"/>
    </row>
    <row r="139" spans="2:13" ht="18">
      <c r="B139" s="235"/>
      <c r="C139" s="229"/>
      <c r="D139" s="120"/>
      <c r="E139" s="120"/>
      <c r="F139" s="120"/>
      <c r="G139" s="120"/>
      <c r="H139" s="120"/>
      <c r="I139" s="120"/>
      <c r="J139" s="122"/>
      <c r="K139" s="97"/>
      <c r="L139" s="134"/>
      <c r="M139" s="3"/>
    </row>
    <row r="140" spans="2:13" ht="18">
      <c r="B140" s="235"/>
      <c r="C140" s="229"/>
      <c r="D140" s="120"/>
      <c r="E140" s="120"/>
      <c r="F140" s="120"/>
      <c r="G140" s="120"/>
      <c r="H140" s="120"/>
      <c r="I140" s="120"/>
      <c r="J140" s="98"/>
      <c r="K140" s="98"/>
      <c r="L140" s="98"/>
      <c r="M140" s="3"/>
    </row>
    <row r="141" spans="2:13" ht="18">
      <c r="B141" s="235"/>
      <c r="C141" s="229"/>
      <c r="D141" s="120"/>
      <c r="E141" s="120"/>
      <c r="F141" s="120"/>
      <c r="G141" s="120"/>
      <c r="H141" s="120"/>
      <c r="I141" s="120"/>
      <c r="J141" s="98"/>
      <c r="K141" s="98"/>
      <c r="L141" s="98"/>
      <c r="M141" s="3"/>
    </row>
    <row r="142" spans="2:13" ht="18">
      <c r="B142" s="235"/>
      <c r="C142" s="229"/>
      <c r="D142" s="154"/>
      <c r="E142" s="154"/>
      <c r="F142" s="154"/>
      <c r="G142" s="154"/>
      <c r="H142" s="13"/>
      <c r="I142" s="13"/>
      <c r="J142" s="127"/>
      <c r="K142" s="95"/>
      <c r="L142" s="126"/>
      <c r="M142" s="4"/>
    </row>
    <row r="143" spans="2:13" ht="18">
      <c r="B143" s="235"/>
      <c r="C143" s="229"/>
      <c r="D143" s="120">
        <v>999999999</v>
      </c>
      <c r="E143" s="120"/>
      <c r="F143" s="120"/>
      <c r="G143" s="120"/>
      <c r="H143" s="120"/>
      <c r="I143" s="120"/>
      <c r="J143" s="98"/>
      <c r="K143" s="98"/>
      <c r="L143" s="98"/>
      <c r="M143" s="3"/>
    </row>
    <row r="144" spans="2:13" ht="18">
      <c r="B144" s="235"/>
      <c r="C144" s="229"/>
      <c r="D144" s="154"/>
      <c r="E144" s="154"/>
      <c r="F144" s="154"/>
      <c r="G144" s="154"/>
      <c r="H144" s="13"/>
      <c r="I144" s="13"/>
      <c r="J144" s="123"/>
      <c r="K144" s="95"/>
      <c r="L144" s="126"/>
      <c r="M144" s="4"/>
    </row>
    <row r="145" spans="2:13" ht="18">
      <c r="B145" s="235"/>
      <c r="C145" s="229"/>
      <c r="D145" s="120"/>
      <c r="E145" s="120"/>
      <c r="F145" s="120"/>
      <c r="G145" s="120"/>
      <c r="H145" s="120"/>
      <c r="I145" s="120"/>
      <c r="J145" s="98"/>
      <c r="K145" s="98"/>
      <c r="L145" s="98"/>
      <c r="M145" s="3"/>
    </row>
    <row r="146" spans="2:13" ht="18">
      <c r="B146" s="235"/>
      <c r="C146" s="229"/>
      <c r="D146" s="120"/>
      <c r="E146" s="120"/>
      <c r="F146" s="120"/>
      <c r="G146" s="120"/>
      <c r="H146" s="116"/>
      <c r="I146" s="116"/>
      <c r="J146" s="117"/>
      <c r="K146" s="117"/>
      <c r="L146" s="113"/>
      <c r="M146" s="3"/>
    </row>
    <row r="147" spans="2:13" ht="18">
      <c r="B147" s="235"/>
      <c r="C147" s="229"/>
      <c r="D147" s="120"/>
      <c r="E147" s="120"/>
      <c r="F147" s="120"/>
      <c r="G147" s="120"/>
      <c r="H147" s="120"/>
      <c r="I147" s="120"/>
      <c r="J147" s="122"/>
      <c r="K147" s="97"/>
      <c r="L147" s="98"/>
      <c r="M147" s="3"/>
    </row>
    <row r="148" spans="2:13" ht="18">
      <c r="B148" s="235"/>
      <c r="C148" s="229"/>
      <c r="D148" s="120"/>
      <c r="E148" s="120"/>
      <c r="F148" s="120"/>
      <c r="G148" s="120"/>
      <c r="H148" s="120"/>
      <c r="I148" s="120"/>
      <c r="J148" s="122"/>
      <c r="K148" s="97"/>
      <c r="L148" s="98"/>
      <c r="M148" s="3"/>
    </row>
    <row r="149" spans="2:13" ht="18">
      <c r="B149" s="235"/>
      <c r="C149" s="229"/>
      <c r="D149" s="120"/>
      <c r="E149" s="120"/>
      <c r="F149" s="120"/>
      <c r="G149" s="120"/>
      <c r="H149" s="120"/>
      <c r="I149" s="120"/>
      <c r="J149" s="122"/>
      <c r="K149" s="97"/>
      <c r="L149" s="98"/>
      <c r="M149" s="3"/>
    </row>
    <row r="150" spans="2:13" ht="18">
      <c r="B150" s="235"/>
      <c r="C150" s="229"/>
      <c r="D150" s="120"/>
      <c r="E150" s="120"/>
      <c r="F150" s="120"/>
      <c r="G150" s="120"/>
      <c r="H150" s="120"/>
      <c r="I150" s="120"/>
      <c r="J150" s="122"/>
      <c r="K150" s="97"/>
      <c r="L150" s="98"/>
      <c r="M150" s="3"/>
    </row>
    <row r="151" spans="2:13" ht="18">
      <c r="B151" s="235"/>
      <c r="C151" s="229"/>
      <c r="D151" s="120"/>
      <c r="E151" s="120"/>
      <c r="F151" s="120"/>
      <c r="G151" s="120"/>
      <c r="H151" s="120"/>
      <c r="I151" s="120"/>
      <c r="J151" s="98"/>
      <c r="K151" s="98"/>
      <c r="L151" s="98"/>
      <c r="M151" s="3"/>
    </row>
    <row r="152" spans="2:13" ht="18">
      <c r="B152" s="235"/>
      <c r="C152" s="229"/>
      <c r="D152" s="154"/>
      <c r="E152" s="154"/>
      <c r="F152" s="154"/>
      <c r="G152" s="154"/>
      <c r="H152" s="13"/>
      <c r="I152" s="13"/>
      <c r="J152" s="95"/>
      <c r="K152" s="95"/>
      <c r="L152" s="95"/>
      <c r="M152" s="3"/>
    </row>
    <row r="153" spans="2:13" ht="18">
      <c r="B153" s="235"/>
      <c r="C153" s="229"/>
      <c r="D153" s="105"/>
      <c r="E153" s="105"/>
      <c r="F153" s="105"/>
      <c r="G153" s="105"/>
      <c r="H153" s="12"/>
      <c r="I153" s="13"/>
      <c r="J153" s="95"/>
      <c r="K153" s="95"/>
      <c r="L153" s="94"/>
      <c r="M153" s="2"/>
    </row>
    <row r="154" spans="2:13" ht="18">
      <c r="B154" s="235"/>
      <c r="C154" s="230"/>
      <c r="D154" s="108"/>
      <c r="E154" s="108"/>
      <c r="F154" s="109"/>
      <c r="G154" s="109"/>
      <c r="H154" s="110"/>
      <c r="I154" s="116"/>
      <c r="J154" s="122"/>
      <c r="K154" s="97"/>
      <c r="L154" s="109"/>
      <c r="M154" s="2"/>
    </row>
    <row r="155" spans="2:13" ht="19" customHeight="1">
      <c r="B155" s="231" t="s">
        <v>171</v>
      </c>
      <c r="C155" s="136">
        <v>1</v>
      </c>
      <c r="D155" s="135" t="s">
        <v>215</v>
      </c>
      <c r="E155" s="135" t="s">
        <v>216</v>
      </c>
      <c r="F155" s="115" t="s">
        <v>158</v>
      </c>
      <c r="G155" s="115" t="s">
        <v>176</v>
      </c>
      <c r="H155" s="137">
        <v>3900</v>
      </c>
      <c r="I155" s="138">
        <f>H155*800</f>
        <v>3120000</v>
      </c>
      <c r="J155" s="122">
        <v>45497</v>
      </c>
      <c r="K155" s="97">
        <v>45497</v>
      </c>
      <c r="L155" s="139"/>
      <c r="M155" s="14" t="s">
        <v>178</v>
      </c>
    </row>
    <row r="156" spans="2:13" ht="19">
      <c r="B156" s="231"/>
      <c r="C156" s="136">
        <v>2</v>
      </c>
      <c r="D156" s="135" t="s">
        <v>215</v>
      </c>
      <c r="E156" s="135" t="s">
        <v>173</v>
      </c>
      <c r="F156" s="115" t="s">
        <v>158</v>
      </c>
      <c r="G156" s="115" t="s">
        <v>176</v>
      </c>
      <c r="H156" s="137">
        <v>2600</v>
      </c>
      <c r="I156" s="138">
        <f>H156*2500</f>
        <v>6500000</v>
      </c>
      <c r="J156" s="122">
        <v>45497</v>
      </c>
      <c r="K156" s="97">
        <v>45497</v>
      </c>
      <c r="L156" s="139"/>
      <c r="M156" s="14" t="s">
        <v>179</v>
      </c>
    </row>
    <row r="157" spans="2:13" ht="20" thickBot="1">
      <c r="B157" s="231"/>
      <c r="C157" s="136">
        <v>3</v>
      </c>
      <c r="D157" s="135" t="s">
        <v>215</v>
      </c>
      <c r="E157" s="135" t="s">
        <v>219</v>
      </c>
      <c r="F157" s="115" t="s">
        <v>158</v>
      </c>
      <c r="G157" s="115" t="s">
        <v>220</v>
      </c>
      <c r="H157" s="137">
        <v>18900</v>
      </c>
      <c r="I157" s="137">
        <f>H157*500</f>
        <v>9450000</v>
      </c>
      <c r="J157" s="122">
        <v>45497</v>
      </c>
      <c r="K157" s="97">
        <v>45497</v>
      </c>
      <c r="L157" s="140"/>
      <c r="M157" s="14" t="s">
        <v>180</v>
      </c>
    </row>
    <row r="158" spans="2:13" ht="21" thickBot="1">
      <c r="B158" s="231"/>
      <c r="C158" s="136">
        <v>4</v>
      </c>
      <c r="D158" s="141" t="s">
        <v>218</v>
      </c>
      <c r="E158" s="141" t="s">
        <v>221</v>
      </c>
      <c r="F158" s="167" t="s">
        <v>213</v>
      </c>
      <c r="G158" s="142" t="s">
        <v>225</v>
      </c>
      <c r="H158" s="143"/>
      <c r="I158" s="143">
        <v>1240000</v>
      </c>
      <c r="J158" s="144">
        <v>45506</v>
      </c>
      <c r="K158" s="145"/>
      <c r="L158" s="145"/>
      <c r="M158" s="146" t="s">
        <v>214</v>
      </c>
    </row>
    <row r="159" spans="2:13" ht="33" thickBot="1">
      <c r="B159" s="231"/>
      <c r="C159" s="136">
        <v>5</v>
      </c>
      <c r="D159" s="147" t="s">
        <v>212</v>
      </c>
      <c r="E159" s="147"/>
      <c r="F159" s="147" t="s">
        <v>175</v>
      </c>
      <c r="G159" s="166" t="s">
        <v>175</v>
      </c>
      <c r="H159" s="116"/>
      <c r="I159" s="116" t="e">
        <f>#REF!</f>
        <v>#REF!</v>
      </c>
      <c r="J159" s="122">
        <v>45499</v>
      </c>
      <c r="K159" s="122">
        <v>45499</v>
      </c>
      <c r="L159" s="145"/>
      <c r="M159" s="148" t="s">
        <v>226</v>
      </c>
    </row>
    <row r="160" spans="2:13" ht="33" thickBot="1">
      <c r="B160" s="231"/>
      <c r="C160" s="136">
        <v>6</v>
      </c>
      <c r="D160" s="38" t="s">
        <v>217</v>
      </c>
      <c r="E160" s="170" t="s">
        <v>235</v>
      </c>
      <c r="F160" s="169" t="s">
        <v>174</v>
      </c>
      <c r="G160" s="169" t="s">
        <v>174</v>
      </c>
      <c r="H160" s="154"/>
      <c r="I160" s="28">
        <v>1680000</v>
      </c>
      <c r="J160" s="144"/>
      <c r="K160" s="144"/>
      <c r="L160" s="145"/>
      <c r="M160" s="148" t="s">
        <v>234</v>
      </c>
    </row>
    <row r="161" spans="2:13" ht="33" thickBot="1">
      <c r="B161" s="231"/>
      <c r="C161" s="136">
        <v>7</v>
      </c>
      <c r="D161" s="169" t="str">
        <f>MOP!D13</f>
        <v>LCD</v>
      </c>
      <c r="E161" s="170" t="str">
        <f>MOP!E13</f>
        <v>"HL035T002T-02(단종)
HL035T11-01 + RTC"</v>
      </c>
      <c r="F161" s="170" t="str">
        <f>MOP!N13</f>
        <v>티렉스아이엔씨</v>
      </c>
      <c r="G161" s="170" t="str">
        <f>MOP!O13</f>
        <v>Shenzhen</v>
      </c>
      <c r="H161" s="154">
        <f>MOP!L13</f>
        <v>23000</v>
      </c>
      <c r="I161" s="154">
        <f>MOP!M13</f>
        <v>1380000</v>
      </c>
      <c r="J161" s="144"/>
      <c r="K161" s="144"/>
      <c r="L161" s="145"/>
      <c r="M161" s="148" t="s">
        <v>234</v>
      </c>
    </row>
    <row r="162" spans="2:13" ht="32">
      <c r="B162" s="232"/>
      <c r="C162" s="171">
        <v>8</v>
      </c>
      <c r="D162" s="172" t="s">
        <v>156</v>
      </c>
      <c r="E162" s="172" t="s">
        <v>224</v>
      </c>
      <c r="F162" s="173" t="s">
        <v>157</v>
      </c>
      <c r="G162" s="174" t="s">
        <v>223</v>
      </c>
      <c r="H162" s="175" t="e">
        <f>#REF!</f>
        <v>#REF!</v>
      </c>
      <c r="I162" s="175" t="e">
        <f>#REF!</f>
        <v>#REF!</v>
      </c>
      <c r="J162" s="176">
        <v>45497</v>
      </c>
      <c r="K162" s="177">
        <v>45497</v>
      </c>
      <c r="L162" s="178"/>
      <c r="M162" s="179" t="s">
        <v>226</v>
      </c>
    </row>
    <row r="163" spans="2:13" ht="19">
      <c r="B163" s="165" t="s">
        <v>236</v>
      </c>
      <c r="C163" s="136">
        <v>1</v>
      </c>
      <c r="D163" s="147" t="s">
        <v>237</v>
      </c>
      <c r="E163" s="147"/>
      <c r="F163" s="168" t="s">
        <v>228</v>
      </c>
      <c r="G163" s="168" t="s">
        <v>228</v>
      </c>
      <c r="H163" s="180"/>
      <c r="I163" s="180">
        <v>85000000</v>
      </c>
      <c r="J163" s="181" t="s">
        <v>238</v>
      </c>
      <c r="K163" s="181"/>
      <c r="L163" s="182"/>
      <c r="M163" s="148"/>
    </row>
    <row r="165" spans="2:13" ht="18">
      <c r="I165" s="19" t="e">
        <f>SUBTOTAL(109,I4:I163)</f>
        <v>#REF!</v>
      </c>
    </row>
    <row r="167" spans="2:13">
      <c r="D167" s="5">
        <v>2222</v>
      </c>
      <c r="I167" s="11"/>
    </row>
  </sheetData>
  <autoFilter ref="B2:M162" xr:uid="{00000000-0001-0000-0000-000000000000}"/>
  <mergeCells count="17">
    <mergeCell ref="B121:B137"/>
    <mergeCell ref="C121:C137"/>
    <mergeCell ref="C138:C154"/>
    <mergeCell ref="B155:B162"/>
    <mergeCell ref="C3:C30"/>
    <mergeCell ref="B138:B154"/>
    <mergeCell ref="B3:B30"/>
    <mergeCell ref="B31:B48"/>
    <mergeCell ref="C31:C48"/>
    <mergeCell ref="B49:B68"/>
    <mergeCell ref="C49:C68"/>
    <mergeCell ref="B69:B87"/>
    <mergeCell ref="C69:C87"/>
    <mergeCell ref="C88:C107"/>
    <mergeCell ref="B88:B107"/>
    <mergeCell ref="B108:B120"/>
    <mergeCell ref="C108:C1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pane ySplit="1" topLeftCell="A8" activePane="bottomLeft" state="frozen"/>
      <selection pane="bottomLeft" activeCell="D1" sqref="D1"/>
    </sheetView>
  </sheetViews>
  <sheetFormatPr baseColWidth="10" defaultColWidth="9.3984375" defaultRowHeight="18"/>
  <cols>
    <col min="1" max="1" width="5" style="30" customWidth="1"/>
    <col min="2" max="2" width="11.59765625" style="30" customWidth="1"/>
    <col min="3" max="3" width="8.3984375" style="30" bestFit="1" customWidth="1"/>
    <col min="4" max="4" width="31" style="30" bestFit="1" customWidth="1"/>
    <col min="5" max="5" width="34.3984375" style="30" bestFit="1" customWidth="1"/>
    <col min="6" max="8" width="15.796875" style="30" bestFit="1" customWidth="1"/>
    <col min="9" max="9" width="18" style="30" bestFit="1" customWidth="1"/>
    <col min="10" max="10" width="15.796875" style="30" bestFit="1" customWidth="1"/>
    <col min="11" max="11" width="15.796875" style="30" customWidth="1"/>
    <col min="12" max="12" width="13" style="30" bestFit="1" customWidth="1"/>
    <col min="13" max="13" width="16.19921875" style="30" bestFit="1" customWidth="1"/>
    <col min="14" max="15" width="20" style="30" bestFit="1" customWidth="1"/>
    <col min="16" max="16" width="16.3984375" style="30" bestFit="1" customWidth="1"/>
    <col min="17" max="17" width="19.19921875" style="30" bestFit="1" customWidth="1"/>
    <col min="18" max="18" width="3.3984375" style="30" customWidth="1"/>
    <col min="19" max="16384" width="9.3984375" style="30"/>
  </cols>
  <sheetData>
    <row r="1" spans="2:17" ht="39" thickBot="1">
      <c r="B1" s="72" t="s">
        <v>230</v>
      </c>
      <c r="C1" s="72" t="s">
        <v>5</v>
      </c>
      <c r="D1" s="20" t="s">
        <v>8</v>
      </c>
      <c r="E1" s="68" t="s">
        <v>6</v>
      </c>
      <c r="F1" s="72" t="s">
        <v>88</v>
      </c>
      <c r="G1" s="72" t="s">
        <v>94</v>
      </c>
      <c r="H1" s="72" t="s">
        <v>89</v>
      </c>
      <c r="I1" s="72" t="s">
        <v>87</v>
      </c>
      <c r="J1" s="72" t="s">
        <v>241</v>
      </c>
      <c r="K1" s="72" t="s">
        <v>239</v>
      </c>
      <c r="L1" s="20" t="s">
        <v>30</v>
      </c>
      <c r="M1" s="20" t="s">
        <v>31</v>
      </c>
      <c r="N1" s="20" t="s">
        <v>105</v>
      </c>
      <c r="O1" s="20" t="s">
        <v>229</v>
      </c>
      <c r="P1" s="20" t="s">
        <v>90</v>
      </c>
      <c r="Q1" s="20" t="s">
        <v>0</v>
      </c>
    </row>
    <row r="2" spans="2:17" ht="19">
      <c r="B2" s="73">
        <v>1</v>
      </c>
      <c r="C2" s="21" t="s">
        <v>2</v>
      </c>
      <c r="D2" s="65"/>
      <c r="E2" s="69" t="s">
        <v>32</v>
      </c>
      <c r="F2" s="22"/>
      <c r="G2" s="22"/>
      <c r="H2" s="22"/>
      <c r="I2" s="74"/>
      <c r="J2" s="74"/>
      <c r="K2" s="74"/>
      <c r="L2" s="23"/>
      <c r="M2" s="23"/>
      <c r="N2" s="44"/>
      <c r="O2" s="44"/>
      <c r="P2" s="44"/>
      <c r="Q2" s="50"/>
    </row>
    <row r="3" spans="2:17" ht="19">
      <c r="B3" s="73"/>
      <c r="C3" s="21">
        <v>1</v>
      </c>
      <c r="D3" s="65" t="s">
        <v>9</v>
      </c>
      <c r="E3" s="70" t="s">
        <v>33</v>
      </c>
      <c r="F3" s="71"/>
      <c r="G3" s="71"/>
      <c r="H3" s="71"/>
      <c r="I3" s="31">
        <v>1</v>
      </c>
      <c r="J3" s="31">
        <v>51</v>
      </c>
      <c r="K3" s="192">
        <f>I3*J3</f>
        <v>51</v>
      </c>
      <c r="L3" s="193">
        <v>440100</v>
      </c>
      <c r="M3" s="25">
        <f>I3*J3*L3</f>
        <v>22445100</v>
      </c>
      <c r="N3" s="44" t="s">
        <v>99</v>
      </c>
      <c r="O3" s="75" t="s">
        <v>99</v>
      </c>
      <c r="P3" s="48"/>
      <c r="Q3" s="47"/>
    </row>
    <row r="4" spans="2:17" ht="19">
      <c r="B4" s="73"/>
      <c r="C4" s="21">
        <v>2</v>
      </c>
      <c r="D4" s="65" t="s">
        <v>10</v>
      </c>
      <c r="E4" s="70" t="s">
        <v>34</v>
      </c>
      <c r="F4" s="71"/>
      <c r="G4" s="71"/>
      <c r="H4" s="71"/>
      <c r="I4" s="31">
        <v>1</v>
      </c>
      <c r="J4" s="31">
        <v>51</v>
      </c>
      <c r="K4" s="192">
        <f t="shared" ref="K4:K30" si="0">I4*J4</f>
        <v>51</v>
      </c>
      <c r="L4" s="193" t="s">
        <v>201</v>
      </c>
      <c r="M4" s="24" t="s">
        <v>201</v>
      </c>
      <c r="N4" s="44" t="s">
        <v>99</v>
      </c>
      <c r="O4" s="75" t="s">
        <v>99</v>
      </c>
      <c r="P4" s="48"/>
      <c r="Q4" s="47"/>
    </row>
    <row r="5" spans="2:17" ht="19">
      <c r="B5" s="73"/>
      <c r="C5" s="21">
        <v>3</v>
      </c>
      <c r="D5" s="196" t="s">
        <v>11</v>
      </c>
      <c r="E5" s="197" t="s">
        <v>35</v>
      </c>
      <c r="F5" s="198"/>
      <c r="G5" s="198"/>
      <c r="H5" s="198"/>
      <c r="I5" s="43">
        <v>1</v>
      </c>
      <c r="J5" s="43">
        <v>51</v>
      </c>
      <c r="K5" s="199">
        <f t="shared" si="0"/>
        <v>51</v>
      </c>
      <c r="L5" s="200" t="s">
        <v>201</v>
      </c>
      <c r="M5" s="200" t="s">
        <v>201</v>
      </c>
      <c r="N5" s="195" t="s">
        <v>99</v>
      </c>
      <c r="O5" s="195" t="s">
        <v>99</v>
      </c>
      <c r="P5" s="194"/>
      <c r="Q5" s="47"/>
    </row>
    <row r="6" spans="2:17" ht="19">
      <c r="B6" s="73"/>
      <c r="C6" s="21">
        <v>4</v>
      </c>
      <c r="D6" s="196" t="s">
        <v>12</v>
      </c>
      <c r="E6" s="197" t="s">
        <v>36</v>
      </c>
      <c r="F6" s="198"/>
      <c r="G6" s="198"/>
      <c r="H6" s="198"/>
      <c r="I6" s="43">
        <v>1</v>
      </c>
      <c r="J6" s="43">
        <v>51</v>
      </c>
      <c r="K6" s="199">
        <f t="shared" si="0"/>
        <v>51</v>
      </c>
      <c r="L6" s="200" t="s">
        <v>201</v>
      </c>
      <c r="M6" s="200" t="s">
        <v>201</v>
      </c>
      <c r="N6" s="195" t="s">
        <v>99</v>
      </c>
      <c r="O6" s="195" t="s">
        <v>99</v>
      </c>
      <c r="P6" s="194"/>
      <c r="Q6" s="47"/>
    </row>
    <row r="7" spans="2:17" ht="19">
      <c r="B7" s="73"/>
      <c r="C7" s="21">
        <v>5</v>
      </c>
      <c r="D7" s="196" t="s">
        <v>13</v>
      </c>
      <c r="E7" s="197" t="s">
        <v>37</v>
      </c>
      <c r="F7" s="198"/>
      <c r="G7" s="198"/>
      <c r="H7" s="198"/>
      <c r="I7" s="43">
        <v>1</v>
      </c>
      <c r="J7" s="43">
        <v>51</v>
      </c>
      <c r="K7" s="199">
        <f t="shared" si="0"/>
        <v>51</v>
      </c>
      <c r="L7" s="200" t="s">
        <v>201</v>
      </c>
      <c r="M7" s="200" t="s">
        <v>201</v>
      </c>
      <c r="N7" s="195" t="s">
        <v>99</v>
      </c>
      <c r="O7" s="195" t="s">
        <v>99</v>
      </c>
      <c r="P7" s="194"/>
      <c r="Q7" s="47"/>
    </row>
    <row r="8" spans="2:17" ht="19">
      <c r="B8" s="73"/>
      <c r="C8" s="21">
        <v>6</v>
      </c>
      <c r="D8" s="196" t="s">
        <v>14</v>
      </c>
      <c r="E8" s="197" t="s">
        <v>38</v>
      </c>
      <c r="F8" s="198"/>
      <c r="G8" s="198"/>
      <c r="H8" s="198"/>
      <c r="I8" s="43">
        <v>1</v>
      </c>
      <c r="J8" s="43">
        <v>51</v>
      </c>
      <c r="K8" s="199">
        <f t="shared" si="0"/>
        <v>51</v>
      </c>
      <c r="L8" s="200" t="s">
        <v>201</v>
      </c>
      <c r="M8" s="200" t="s">
        <v>201</v>
      </c>
      <c r="N8" s="195" t="s">
        <v>99</v>
      </c>
      <c r="O8" s="195" t="s">
        <v>99</v>
      </c>
      <c r="P8" s="43"/>
      <c r="Q8" s="219"/>
    </row>
    <row r="9" spans="2:17" ht="19">
      <c r="B9" s="73"/>
      <c r="C9" s="21">
        <v>7</v>
      </c>
      <c r="D9" s="201" t="s">
        <v>15</v>
      </c>
      <c r="E9" s="38" t="s">
        <v>39</v>
      </c>
      <c r="F9" s="38"/>
      <c r="G9" s="38"/>
      <c r="H9" s="38"/>
      <c r="I9" s="38">
        <v>4</v>
      </c>
      <c r="J9" s="38">
        <v>55</v>
      </c>
      <c r="K9" s="202">
        <f t="shared" si="0"/>
        <v>220</v>
      </c>
      <c r="L9" s="203">
        <v>28800</v>
      </c>
      <c r="M9" s="203">
        <f t="shared" ref="M9:M11" si="1">I9*J9*L9</f>
        <v>6336000</v>
      </c>
      <c r="N9" s="191" t="s">
        <v>158</v>
      </c>
      <c r="O9" s="191" t="s">
        <v>163</v>
      </c>
      <c r="P9" s="38"/>
      <c r="Q9" s="38"/>
    </row>
    <row r="10" spans="2:17" ht="19">
      <c r="B10" s="73"/>
      <c r="C10" s="21">
        <v>8</v>
      </c>
      <c r="D10" s="201" t="s">
        <v>15</v>
      </c>
      <c r="E10" s="38" t="s">
        <v>126</v>
      </c>
      <c r="F10" s="38"/>
      <c r="G10" s="38"/>
      <c r="H10" s="38"/>
      <c r="I10" s="38">
        <v>4</v>
      </c>
      <c r="J10" s="38">
        <v>55</v>
      </c>
      <c r="K10" s="202">
        <f t="shared" si="0"/>
        <v>220</v>
      </c>
      <c r="L10" s="203">
        <v>4650</v>
      </c>
      <c r="M10" s="203">
        <f t="shared" si="1"/>
        <v>1023000</v>
      </c>
      <c r="N10" s="191" t="s">
        <v>158</v>
      </c>
      <c r="O10" s="191" t="s">
        <v>163</v>
      </c>
      <c r="P10" s="38"/>
      <c r="Q10" s="38"/>
    </row>
    <row r="11" spans="2:17" ht="19">
      <c r="B11" s="73"/>
      <c r="C11" s="21">
        <v>9</v>
      </c>
      <c r="D11" s="201" t="s">
        <v>15</v>
      </c>
      <c r="E11" s="38" t="s">
        <v>240</v>
      </c>
      <c r="F11" s="38"/>
      <c r="G11" s="38"/>
      <c r="H11" s="38"/>
      <c r="I11" s="38">
        <v>4</v>
      </c>
      <c r="J11" s="38">
        <v>55</v>
      </c>
      <c r="K11" s="202">
        <f t="shared" si="0"/>
        <v>220</v>
      </c>
      <c r="L11" s="203">
        <v>39000</v>
      </c>
      <c r="M11" s="203">
        <f t="shared" si="1"/>
        <v>8580000</v>
      </c>
      <c r="N11" s="191" t="s">
        <v>158</v>
      </c>
      <c r="O11" s="191" t="s">
        <v>163</v>
      </c>
      <c r="P11" s="38"/>
      <c r="Q11" s="38"/>
    </row>
    <row r="12" spans="2:17" ht="19">
      <c r="B12" s="73"/>
      <c r="C12" s="21">
        <v>10</v>
      </c>
      <c r="D12" s="196" t="s">
        <v>16</v>
      </c>
      <c r="E12" s="197" t="s">
        <v>107</v>
      </c>
      <c r="F12" s="198"/>
      <c r="G12" s="198"/>
      <c r="H12" s="198"/>
      <c r="I12" s="43">
        <v>1</v>
      </c>
      <c r="J12" s="43">
        <v>55</v>
      </c>
      <c r="K12" s="199">
        <f t="shared" si="0"/>
        <v>55</v>
      </c>
      <c r="L12" s="200">
        <v>2800</v>
      </c>
      <c r="M12" s="204">
        <f t="shared" ref="M12:M27" si="2">I12*J12*L12</f>
        <v>154000</v>
      </c>
      <c r="N12" s="198" t="s">
        <v>158</v>
      </c>
      <c r="O12" s="198" t="s">
        <v>164</v>
      </c>
      <c r="P12" s="43"/>
      <c r="Q12" s="219"/>
    </row>
    <row r="13" spans="2:17" ht="38">
      <c r="B13" s="73"/>
      <c r="C13" s="21">
        <v>11</v>
      </c>
      <c r="D13" s="196" t="s">
        <v>17</v>
      </c>
      <c r="E13" s="198" t="s">
        <v>231</v>
      </c>
      <c r="F13" s="198"/>
      <c r="G13" s="198"/>
      <c r="H13" s="198"/>
      <c r="I13" s="43">
        <v>1</v>
      </c>
      <c r="J13" s="43">
        <v>60</v>
      </c>
      <c r="K13" s="199">
        <f t="shared" si="0"/>
        <v>60</v>
      </c>
      <c r="L13" s="200">
        <v>23000</v>
      </c>
      <c r="M13" s="204">
        <f t="shared" si="2"/>
        <v>1380000</v>
      </c>
      <c r="N13" s="198" t="s">
        <v>157</v>
      </c>
      <c r="O13" s="198" t="s">
        <v>165</v>
      </c>
      <c r="P13" s="43"/>
      <c r="Q13" s="38" t="s">
        <v>214</v>
      </c>
    </row>
    <row r="14" spans="2:17" ht="19">
      <c r="B14" s="73"/>
      <c r="C14" s="21">
        <v>12</v>
      </c>
      <c r="D14" s="196" t="s">
        <v>18</v>
      </c>
      <c r="E14" s="197" t="s">
        <v>40</v>
      </c>
      <c r="F14" s="198"/>
      <c r="G14" s="198"/>
      <c r="H14" s="198"/>
      <c r="I14" s="43">
        <v>1</v>
      </c>
      <c r="J14" s="43">
        <v>51</v>
      </c>
      <c r="K14" s="199">
        <f t="shared" si="0"/>
        <v>51</v>
      </c>
      <c r="L14" s="200" t="s">
        <v>201</v>
      </c>
      <c r="M14" s="200" t="s">
        <v>201</v>
      </c>
      <c r="N14" s="198" t="s">
        <v>99</v>
      </c>
      <c r="O14" s="198" t="s">
        <v>99</v>
      </c>
      <c r="P14" s="43"/>
      <c r="Q14" s="219"/>
    </row>
    <row r="15" spans="2:17" ht="19">
      <c r="B15" s="73"/>
      <c r="C15" s="21">
        <v>13</v>
      </c>
      <c r="D15" s="196" t="s">
        <v>19</v>
      </c>
      <c r="E15" s="197" t="s">
        <v>93</v>
      </c>
      <c r="F15" s="198"/>
      <c r="G15" s="198"/>
      <c r="H15" s="198"/>
      <c r="I15" s="43">
        <v>1</v>
      </c>
      <c r="J15" s="43">
        <v>51</v>
      </c>
      <c r="K15" s="199">
        <f t="shared" si="0"/>
        <v>51</v>
      </c>
      <c r="L15" s="205">
        <v>425213</v>
      </c>
      <c r="M15" s="204">
        <f t="shared" si="2"/>
        <v>21685863</v>
      </c>
      <c r="N15" s="198" t="s">
        <v>228</v>
      </c>
      <c r="O15" s="198" t="s">
        <v>228</v>
      </c>
      <c r="P15" s="43"/>
      <c r="Q15" s="219"/>
    </row>
    <row r="16" spans="2:17" ht="19">
      <c r="B16" s="73"/>
      <c r="C16" s="21">
        <v>14</v>
      </c>
      <c r="D16" s="196" t="s">
        <v>20</v>
      </c>
      <c r="E16" s="197" t="s">
        <v>41</v>
      </c>
      <c r="F16" s="198"/>
      <c r="G16" s="198"/>
      <c r="H16" s="198"/>
      <c r="I16" s="43">
        <v>1</v>
      </c>
      <c r="J16" s="43">
        <v>51</v>
      </c>
      <c r="K16" s="199">
        <f t="shared" si="0"/>
        <v>51</v>
      </c>
      <c r="L16" s="205">
        <v>473650</v>
      </c>
      <c r="M16" s="204">
        <f t="shared" si="2"/>
        <v>24156150</v>
      </c>
      <c r="N16" s="198" t="s">
        <v>228</v>
      </c>
      <c r="O16" s="198" t="s">
        <v>228</v>
      </c>
      <c r="P16" s="43"/>
      <c r="Q16" s="219"/>
    </row>
    <row r="17" spans="2:17" ht="19">
      <c r="B17" s="73"/>
      <c r="C17" s="21">
        <v>15</v>
      </c>
      <c r="D17" s="196" t="s">
        <v>21</v>
      </c>
      <c r="E17" s="197" t="s">
        <v>42</v>
      </c>
      <c r="F17" s="198"/>
      <c r="G17" s="198"/>
      <c r="H17" s="198"/>
      <c r="I17" s="43">
        <v>1</v>
      </c>
      <c r="J17" s="43">
        <v>51</v>
      </c>
      <c r="K17" s="199">
        <f t="shared" si="0"/>
        <v>51</v>
      </c>
      <c r="L17" s="200">
        <v>89000</v>
      </c>
      <c r="M17" s="204">
        <f t="shared" si="2"/>
        <v>4539000</v>
      </c>
      <c r="N17" s="198" t="s">
        <v>100</v>
      </c>
      <c r="O17" s="198" t="s">
        <v>100</v>
      </c>
      <c r="P17" s="43"/>
      <c r="Q17" s="219"/>
    </row>
    <row r="18" spans="2:17" ht="19">
      <c r="B18" s="73"/>
      <c r="C18" s="21">
        <v>16</v>
      </c>
      <c r="D18" s="196" t="s">
        <v>22</v>
      </c>
      <c r="E18" s="197" t="s">
        <v>43</v>
      </c>
      <c r="F18" s="198"/>
      <c r="G18" s="198"/>
      <c r="H18" s="198"/>
      <c r="I18" s="43">
        <v>1</v>
      </c>
      <c r="J18" s="43">
        <v>55</v>
      </c>
      <c r="K18" s="199">
        <f t="shared" si="0"/>
        <v>55</v>
      </c>
      <c r="L18" s="205">
        <v>2800</v>
      </c>
      <c r="M18" s="204">
        <f t="shared" si="2"/>
        <v>154000</v>
      </c>
      <c r="N18" s="198" t="s">
        <v>158</v>
      </c>
      <c r="O18" s="198" t="s">
        <v>159</v>
      </c>
      <c r="P18" s="43"/>
      <c r="Q18" s="219"/>
    </row>
    <row r="19" spans="2:17" ht="19">
      <c r="B19" s="73"/>
      <c r="C19" s="21">
        <v>17</v>
      </c>
      <c r="D19" s="196" t="s">
        <v>23</v>
      </c>
      <c r="E19" s="197" t="s">
        <v>44</v>
      </c>
      <c r="F19" s="198"/>
      <c r="G19" s="198"/>
      <c r="H19" s="198"/>
      <c r="I19" s="206">
        <v>1</v>
      </c>
      <c r="J19" s="43">
        <v>55</v>
      </c>
      <c r="K19" s="199">
        <f t="shared" si="0"/>
        <v>55</v>
      </c>
      <c r="L19" s="200">
        <v>4250</v>
      </c>
      <c r="M19" s="204">
        <f t="shared" si="2"/>
        <v>233750</v>
      </c>
      <c r="N19" s="198" t="s">
        <v>158</v>
      </c>
      <c r="O19" s="198" t="s">
        <v>159</v>
      </c>
      <c r="P19" s="206"/>
      <c r="Q19" s="219"/>
    </row>
    <row r="20" spans="2:17" ht="19">
      <c r="B20" s="73"/>
      <c r="C20" s="21">
        <v>18</v>
      </c>
      <c r="D20" s="196" t="s">
        <v>24</v>
      </c>
      <c r="E20" s="197" t="s">
        <v>45</v>
      </c>
      <c r="F20" s="198"/>
      <c r="G20" s="198"/>
      <c r="H20" s="198"/>
      <c r="I20" s="206">
        <v>1</v>
      </c>
      <c r="J20" s="43">
        <v>55</v>
      </c>
      <c r="K20" s="199">
        <f t="shared" si="0"/>
        <v>55</v>
      </c>
      <c r="L20" s="200">
        <v>350</v>
      </c>
      <c r="M20" s="204">
        <f t="shared" si="2"/>
        <v>19250</v>
      </c>
      <c r="N20" s="198" t="s">
        <v>158</v>
      </c>
      <c r="O20" s="198" t="s">
        <v>159</v>
      </c>
      <c r="P20" s="206"/>
      <c r="Q20" s="219"/>
    </row>
    <row r="21" spans="2:17" ht="19">
      <c r="B21" s="73"/>
      <c r="C21" s="21">
        <v>19</v>
      </c>
      <c r="D21" s="196" t="s">
        <v>25</v>
      </c>
      <c r="E21" s="197" t="s">
        <v>46</v>
      </c>
      <c r="F21" s="198"/>
      <c r="G21" s="198"/>
      <c r="H21" s="198"/>
      <c r="I21" s="206">
        <v>1</v>
      </c>
      <c r="J21" s="43">
        <v>55</v>
      </c>
      <c r="K21" s="199">
        <f t="shared" si="0"/>
        <v>55</v>
      </c>
      <c r="L21" s="205">
        <v>32300</v>
      </c>
      <c r="M21" s="204">
        <f t="shared" si="2"/>
        <v>1776500</v>
      </c>
      <c r="N21" s="198" t="s">
        <v>158</v>
      </c>
      <c r="O21" s="198" t="s">
        <v>160</v>
      </c>
      <c r="P21" s="206"/>
      <c r="Q21" s="219"/>
    </row>
    <row r="22" spans="2:17" ht="19">
      <c r="B22" s="73"/>
      <c r="C22" s="21">
        <v>20</v>
      </c>
      <c r="D22" s="196" t="s">
        <v>26</v>
      </c>
      <c r="E22" s="197" t="s">
        <v>47</v>
      </c>
      <c r="F22" s="198"/>
      <c r="G22" s="198"/>
      <c r="H22" s="198"/>
      <c r="I22" s="206">
        <v>4</v>
      </c>
      <c r="J22" s="43">
        <v>55</v>
      </c>
      <c r="K22" s="199">
        <f t="shared" si="0"/>
        <v>220</v>
      </c>
      <c r="L22" s="205">
        <v>1300</v>
      </c>
      <c r="M22" s="204">
        <f t="shared" si="2"/>
        <v>286000</v>
      </c>
      <c r="N22" s="198" t="s">
        <v>158</v>
      </c>
      <c r="O22" s="198" t="s">
        <v>160</v>
      </c>
      <c r="P22" s="206"/>
      <c r="Q22" s="219"/>
    </row>
    <row r="23" spans="2:17" ht="19">
      <c r="B23" s="73"/>
      <c r="C23" s="21">
        <v>21</v>
      </c>
      <c r="D23" s="196" t="s">
        <v>27</v>
      </c>
      <c r="E23" s="197" t="s">
        <v>48</v>
      </c>
      <c r="F23" s="198"/>
      <c r="G23" s="198"/>
      <c r="H23" s="198"/>
      <c r="I23" s="206">
        <v>1</v>
      </c>
      <c r="J23" s="43">
        <v>50</v>
      </c>
      <c r="K23" s="199">
        <f t="shared" si="0"/>
        <v>50</v>
      </c>
      <c r="L23" s="200">
        <v>23900</v>
      </c>
      <c r="M23" s="204">
        <f t="shared" si="2"/>
        <v>1195000</v>
      </c>
      <c r="N23" s="198" t="s">
        <v>158</v>
      </c>
      <c r="O23" s="198" t="s">
        <v>162</v>
      </c>
      <c r="P23" s="206"/>
      <c r="Q23" s="38" t="s">
        <v>211</v>
      </c>
    </row>
    <row r="24" spans="2:17" ht="19">
      <c r="B24" s="73"/>
      <c r="C24" s="21">
        <v>22</v>
      </c>
      <c r="D24" s="196" t="s">
        <v>26</v>
      </c>
      <c r="E24" s="197" t="s">
        <v>49</v>
      </c>
      <c r="F24" s="198"/>
      <c r="G24" s="198"/>
      <c r="H24" s="198"/>
      <c r="I24" s="206">
        <v>12</v>
      </c>
      <c r="J24" s="43">
        <v>50</v>
      </c>
      <c r="K24" s="199">
        <f t="shared" si="0"/>
        <v>600</v>
      </c>
      <c r="L24" s="200">
        <v>1250</v>
      </c>
      <c r="M24" s="204">
        <f t="shared" si="2"/>
        <v>750000</v>
      </c>
      <c r="N24" s="198" t="s">
        <v>158</v>
      </c>
      <c r="O24" s="198" t="s">
        <v>162</v>
      </c>
      <c r="P24" s="206"/>
      <c r="Q24" s="219"/>
    </row>
    <row r="25" spans="2:17" ht="19">
      <c r="B25" s="73"/>
      <c r="C25" s="21">
        <v>23</v>
      </c>
      <c r="D25" s="196" t="s">
        <v>28</v>
      </c>
      <c r="E25" s="197" t="s">
        <v>50</v>
      </c>
      <c r="F25" s="198"/>
      <c r="G25" s="198"/>
      <c r="H25" s="198"/>
      <c r="I25" s="206">
        <v>1</v>
      </c>
      <c r="J25" s="43">
        <v>55</v>
      </c>
      <c r="K25" s="199">
        <f t="shared" si="0"/>
        <v>55</v>
      </c>
      <c r="L25" s="207">
        <v>12000</v>
      </c>
      <c r="M25" s="204">
        <f t="shared" si="2"/>
        <v>660000</v>
      </c>
      <c r="N25" s="198" t="s">
        <v>158</v>
      </c>
      <c r="O25" s="198" t="s">
        <v>162</v>
      </c>
      <c r="P25" s="206"/>
      <c r="Q25" s="219"/>
    </row>
    <row r="26" spans="2:17" ht="19">
      <c r="B26" s="73"/>
      <c r="C26" s="21">
        <v>24</v>
      </c>
      <c r="D26" s="208" t="s">
        <v>29</v>
      </c>
      <c r="E26" s="209" t="s">
        <v>51</v>
      </c>
      <c r="F26" s="210"/>
      <c r="G26" s="210"/>
      <c r="H26" s="210"/>
      <c r="I26" s="211">
        <v>1</v>
      </c>
      <c r="J26" s="195">
        <v>55</v>
      </c>
      <c r="K26" s="199">
        <f t="shared" si="0"/>
        <v>55</v>
      </c>
      <c r="L26" s="200" t="s">
        <v>201</v>
      </c>
      <c r="M26" s="200" t="s">
        <v>201</v>
      </c>
      <c r="N26" s="211" t="s">
        <v>201</v>
      </c>
      <c r="O26" s="198" t="s">
        <v>201</v>
      </c>
      <c r="P26" s="211"/>
      <c r="Q26" s="220"/>
    </row>
    <row r="27" spans="2:17" ht="19">
      <c r="B27" s="73"/>
      <c r="C27" s="21">
        <v>25</v>
      </c>
      <c r="D27" s="191" t="s">
        <v>108</v>
      </c>
      <c r="E27" s="38" t="s">
        <v>199</v>
      </c>
      <c r="F27" s="38"/>
      <c r="G27" s="38"/>
      <c r="H27" s="38"/>
      <c r="I27" s="38">
        <v>1</v>
      </c>
      <c r="J27" s="43">
        <v>55</v>
      </c>
      <c r="K27" s="199">
        <f t="shared" si="0"/>
        <v>55</v>
      </c>
      <c r="L27" s="200">
        <v>4800</v>
      </c>
      <c r="M27" s="204">
        <f t="shared" si="2"/>
        <v>264000</v>
      </c>
      <c r="N27" s="38" t="s">
        <v>158</v>
      </c>
      <c r="O27" s="198" t="s">
        <v>201</v>
      </c>
      <c r="P27" s="38"/>
      <c r="Q27" s="219"/>
    </row>
    <row r="28" spans="2:17" ht="19">
      <c r="B28" s="73"/>
      <c r="C28" s="21">
        <v>26</v>
      </c>
      <c r="D28" s="212" t="s">
        <v>82</v>
      </c>
      <c r="E28" s="33" t="s">
        <v>83</v>
      </c>
      <c r="F28" s="213"/>
      <c r="G28" s="213"/>
      <c r="H28" s="213"/>
      <c r="I28" s="214">
        <v>1</v>
      </c>
      <c r="J28" s="33">
        <v>55</v>
      </c>
      <c r="K28" s="215">
        <f t="shared" si="0"/>
        <v>55</v>
      </c>
      <c r="L28" s="216"/>
      <c r="M28" s="217"/>
      <c r="N28" s="213"/>
      <c r="O28" s="213"/>
      <c r="P28" s="61"/>
      <c r="Q28" s="76" t="s">
        <v>247</v>
      </c>
    </row>
    <row r="29" spans="2:17" ht="19">
      <c r="B29" s="73"/>
      <c r="C29" s="21">
        <v>27</v>
      </c>
      <c r="D29" s="212" t="s">
        <v>82</v>
      </c>
      <c r="E29" s="33" t="s">
        <v>244</v>
      </c>
      <c r="F29" s="213"/>
      <c r="G29" s="213"/>
      <c r="H29" s="213"/>
      <c r="I29" s="61">
        <v>1</v>
      </c>
      <c r="J29" s="33">
        <v>55</v>
      </c>
      <c r="K29" s="215">
        <f t="shared" si="0"/>
        <v>55</v>
      </c>
      <c r="L29" s="218"/>
      <c r="M29" s="217"/>
      <c r="N29" s="213"/>
      <c r="O29" s="213"/>
      <c r="P29" s="61"/>
      <c r="Q29" s="76" t="s">
        <v>247</v>
      </c>
    </row>
    <row r="30" spans="2:17" ht="19">
      <c r="B30" s="73"/>
      <c r="C30" s="27">
        <v>28</v>
      </c>
      <c r="D30" s="221" t="s">
        <v>245</v>
      </c>
      <c r="E30" s="222" t="s">
        <v>246</v>
      </c>
      <c r="F30" s="222"/>
      <c r="G30" s="222"/>
      <c r="H30" s="222"/>
      <c r="I30" s="222">
        <v>1</v>
      </c>
      <c r="J30" s="33">
        <v>55</v>
      </c>
      <c r="K30" s="215">
        <f t="shared" si="0"/>
        <v>55</v>
      </c>
      <c r="L30" s="223">
        <v>4000</v>
      </c>
      <c r="M30" s="224">
        <f t="shared" ref="M30" si="3">I30*J30*L30</f>
        <v>220000</v>
      </c>
      <c r="N30" s="222" t="s">
        <v>201</v>
      </c>
      <c r="O30" s="213"/>
      <c r="P30" s="222"/>
      <c r="Q30" s="76" t="s">
        <v>247</v>
      </c>
    </row>
    <row r="33" spans="2:17">
      <c r="B33" s="238" t="s">
        <v>232</v>
      </c>
      <c r="C33" s="27">
        <v>1</v>
      </c>
      <c r="D33" s="38" t="s">
        <v>217</v>
      </c>
      <c r="E33" s="38"/>
      <c r="F33" s="38"/>
      <c r="G33" s="38"/>
      <c r="H33" s="38"/>
      <c r="I33" s="38">
        <v>1</v>
      </c>
      <c r="J33" s="38">
        <v>55</v>
      </c>
      <c r="K33" s="185">
        <f>I33*J33</f>
        <v>55</v>
      </c>
      <c r="L33" s="28"/>
      <c r="M33" s="28">
        <v>1680000</v>
      </c>
      <c r="N33" s="38" t="s">
        <v>174</v>
      </c>
      <c r="O33" s="38" t="s">
        <v>174</v>
      </c>
      <c r="P33" s="38"/>
      <c r="Q33" s="76" t="s">
        <v>214</v>
      </c>
    </row>
    <row r="34" spans="2:17">
      <c r="B34" s="239"/>
      <c r="C34" s="27">
        <v>2</v>
      </c>
      <c r="D34" s="38" t="s">
        <v>119</v>
      </c>
      <c r="E34" s="38" t="s">
        <v>120</v>
      </c>
      <c r="F34" s="38"/>
      <c r="G34" s="38"/>
      <c r="H34" s="38"/>
      <c r="I34" s="38">
        <v>1</v>
      </c>
      <c r="J34" s="38">
        <v>55</v>
      </c>
      <c r="K34" s="185">
        <f t="shared" ref="K34:K50" si="4">I34*J34</f>
        <v>55</v>
      </c>
      <c r="L34" s="28"/>
      <c r="M34" s="28">
        <f t="shared" ref="M34:M50" si="5">I34*J34*L34</f>
        <v>0</v>
      </c>
      <c r="N34" s="38" t="s">
        <v>175</v>
      </c>
      <c r="O34" s="38"/>
      <c r="P34" s="38"/>
      <c r="Q34" s="38"/>
    </row>
    <row r="35" spans="2:17">
      <c r="B35" s="239"/>
      <c r="C35" s="27">
        <v>3</v>
      </c>
      <c r="D35" s="38" t="s">
        <v>121</v>
      </c>
      <c r="E35" s="38" t="s">
        <v>122</v>
      </c>
      <c r="F35" s="38"/>
      <c r="G35" s="38"/>
      <c r="H35" s="38"/>
      <c r="I35" s="38">
        <v>1</v>
      </c>
      <c r="J35" s="38">
        <v>55</v>
      </c>
      <c r="K35" s="185">
        <f t="shared" si="4"/>
        <v>55</v>
      </c>
      <c r="L35" s="28"/>
      <c r="M35" s="28">
        <f t="shared" si="5"/>
        <v>0</v>
      </c>
      <c r="N35" s="38" t="s">
        <v>175</v>
      </c>
      <c r="O35" s="38"/>
      <c r="P35" s="38"/>
      <c r="Q35" s="38"/>
    </row>
    <row r="36" spans="2:17">
      <c r="B36" s="239"/>
      <c r="C36" s="27">
        <v>4</v>
      </c>
      <c r="D36" s="38" t="s">
        <v>123</v>
      </c>
      <c r="E36" s="38" t="s">
        <v>139</v>
      </c>
      <c r="F36" s="38"/>
      <c r="G36" s="38"/>
      <c r="H36" s="38"/>
      <c r="I36" s="38">
        <v>1</v>
      </c>
      <c r="J36" s="38">
        <v>55</v>
      </c>
      <c r="K36" s="185">
        <f t="shared" si="4"/>
        <v>55</v>
      </c>
      <c r="L36" s="28"/>
      <c r="M36" s="28">
        <f t="shared" si="5"/>
        <v>0</v>
      </c>
      <c r="N36" s="38" t="s">
        <v>175</v>
      </c>
      <c r="O36" s="38"/>
      <c r="P36" s="38"/>
      <c r="Q36" s="38"/>
    </row>
    <row r="37" spans="2:17" ht="19">
      <c r="B37" s="239"/>
      <c r="C37" s="27">
        <v>5</v>
      </c>
      <c r="D37" s="38" t="s">
        <v>124</v>
      </c>
      <c r="E37" s="38" t="s">
        <v>125</v>
      </c>
      <c r="F37" s="38"/>
      <c r="G37" s="38"/>
      <c r="H37" s="38"/>
      <c r="I37" s="38">
        <v>1</v>
      </c>
      <c r="J37" s="38">
        <v>55</v>
      </c>
      <c r="K37" s="185">
        <f t="shared" si="4"/>
        <v>55</v>
      </c>
      <c r="L37" s="28"/>
      <c r="M37" s="28">
        <f t="shared" si="5"/>
        <v>0</v>
      </c>
      <c r="N37" s="79" t="s">
        <v>158</v>
      </c>
      <c r="O37" s="79"/>
      <c r="P37" s="38"/>
      <c r="Q37" s="38"/>
    </row>
    <row r="38" spans="2:17" ht="19">
      <c r="B38" s="239"/>
      <c r="C38" s="27">
        <v>9</v>
      </c>
      <c r="D38" s="38" t="s">
        <v>118</v>
      </c>
      <c r="E38" s="38" t="s">
        <v>127</v>
      </c>
      <c r="F38" s="38"/>
      <c r="G38" s="38"/>
      <c r="H38" s="38"/>
      <c r="I38" s="38">
        <v>1</v>
      </c>
      <c r="J38" s="38">
        <v>55</v>
      </c>
      <c r="K38" s="185">
        <f t="shared" si="4"/>
        <v>55</v>
      </c>
      <c r="L38" s="28">
        <v>50</v>
      </c>
      <c r="M38" s="28">
        <f t="shared" si="5"/>
        <v>2750</v>
      </c>
      <c r="N38" s="79" t="s">
        <v>158</v>
      </c>
      <c r="O38" s="79"/>
      <c r="P38" s="38"/>
      <c r="Q38" s="38"/>
    </row>
    <row r="39" spans="2:17" ht="19">
      <c r="B39" s="239"/>
      <c r="C39" s="27">
        <v>10</v>
      </c>
      <c r="D39" s="38" t="s">
        <v>118</v>
      </c>
      <c r="E39" s="38" t="s">
        <v>128</v>
      </c>
      <c r="F39" s="38"/>
      <c r="G39" s="38"/>
      <c r="H39" s="38"/>
      <c r="I39" s="38">
        <v>2</v>
      </c>
      <c r="J39" s="38">
        <v>55</v>
      </c>
      <c r="K39" s="185">
        <f t="shared" si="4"/>
        <v>110</v>
      </c>
      <c r="L39" s="28">
        <v>50</v>
      </c>
      <c r="M39" s="28">
        <f t="shared" si="5"/>
        <v>5500</v>
      </c>
      <c r="N39" s="79" t="s">
        <v>158</v>
      </c>
      <c r="O39" s="79"/>
      <c r="P39" s="38"/>
      <c r="Q39" s="38"/>
    </row>
    <row r="40" spans="2:17" ht="19">
      <c r="B40" s="239"/>
      <c r="C40" s="27">
        <v>11</v>
      </c>
      <c r="D40" s="38" t="s">
        <v>118</v>
      </c>
      <c r="E40" s="38" t="s">
        <v>129</v>
      </c>
      <c r="F40" s="38"/>
      <c r="G40" s="38"/>
      <c r="H40" s="38"/>
      <c r="I40" s="38">
        <v>1</v>
      </c>
      <c r="J40" s="38">
        <v>55</v>
      </c>
      <c r="K40" s="185">
        <f t="shared" si="4"/>
        <v>55</v>
      </c>
      <c r="L40" s="28">
        <v>70</v>
      </c>
      <c r="M40" s="28">
        <f t="shared" si="5"/>
        <v>3850</v>
      </c>
      <c r="N40" s="79" t="s">
        <v>158</v>
      </c>
      <c r="O40" s="79"/>
      <c r="P40" s="38"/>
      <c r="Q40" s="38"/>
    </row>
    <row r="41" spans="2:17" ht="19">
      <c r="B41" s="239"/>
      <c r="C41" s="27">
        <v>12</v>
      </c>
      <c r="D41" s="38" t="s">
        <v>118</v>
      </c>
      <c r="E41" s="38" t="s">
        <v>130</v>
      </c>
      <c r="F41" s="38"/>
      <c r="G41" s="38"/>
      <c r="H41" s="38"/>
      <c r="I41" s="38">
        <v>2</v>
      </c>
      <c r="J41" s="38">
        <v>55</v>
      </c>
      <c r="K41" s="185">
        <f t="shared" si="4"/>
        <v>110</v>
      </c>
      <c r="L41" s="28">
        <v>80</v>
      </c>
      <c r="M41" s="28">
        <f t="shared" si="5"/>
        <v>8800</v>
      </c>
      <c r="N41" s="79" t="s">
        <v>158</v>
      </c>
      <c r="O41" s="79"/>
      <c r="P41" s="38"/>
      <c r="Q41" s="38"/>
    </row>
    <row r="42" spans="2:17" ht="19">
      <c r="B42" s="239"/>
      <c r="C42" s="27">
        <v>13</v>
      </c>
      <c r="D42" s="38" t="s">
        <v>118</v>
      </c>
      <c r="E42" s="38" t="s">
        <v>131</v>
      </c>
      <c r="F42" s="38"/>
      <c r="G42" s="38"/>
      <c r="H42" s="38"/>
      <c r="I42" s="38">
        <v>1</v>
      </c>
      <c r="J42" s="38">
        <v>55</v>
      </c>
      <c r="K42" s="185">
        <f t="shared" si="4"/>
        <v>55</v>
      </c>
      <c r="L42" s="28">
        <v>120</v>
      </c>
      <c r="M42" s="28">
        <f t="shared" si="5"/>
        <v>6600</v>
      </c>
      <c r="N42" s="79" t="s">
        <v>158</v>
      </c>
      <c r="O42" s="79"/>
      <c r="P42" s="38"/>
      <c r="Q42" s="38"/>
    </row>
    <row r="43" spans="2:17" ht="19">
      <c r="B43" s="239"/>
      <c r="C43" s="27">
        <v>14</v>
      </c>
      <c r="D43" s="38" t="s">
        <v>118</v>
      </c>
      <c r="E43" s="38" t="s">
        <v>132</v>
      </c>
      <c r="F43" s="38"/>
      <c r="G43" s="38"/>
      <c r="H43" s="38"/>
      <c r="I43" s="38">
        <v>1</v>
      </c>
      <c r="J43" s="38">
        <v>55</v>
      </c>
      <c r="K43" s="185">
        <f t="shared" si="4"/>
        <v>55</v>
      </c>
      <c r="L43" s="28">
        <v>120</v>
      </c>
      <c r="M43" s="28">
        <f t="shared" si="5"/>
        <v>6600</v>
      </c>
      <c r="N43" s="79" t="s">
        <v>158</v>
      </c>
      <c r="O43" s="79"/>
      <c r="P43" s="38"/>
      <c r="Q43" s="38"/>
    </row>
    <row r="44" spans="2:17" ht="19">
      <c r="B44" s="239"/>
      <c r="C44" s="27">
        <v>15</v>
      </c>
      <c r="D44" s="38" t="s">
        <v>118</v>
      </c>
      <c r="E44" s="38" t="s">
        <v>133</v>
      </c>
      <c r="F44" s="38"/>
      <c r="G44" s="38"/>
      <c r="H44" s="38"/>
      <c r="I44" s="38">
        <v>1</v>
      </c>
      <c r="J44" s="38">
        <v>55</v>
      </c>
      <c r="K44" s="185">
        <f t="shared" si="4"/>
        <v>55</v>
      </c>
      <c r="L44" s="28">
        <v>140</v>
      </c>
      <c r="M44" s="28">
        <f t="shared" si="5"/>
        <v>7700</v>
      </c>
      <c r="N44" s="79" t="s">
        <v>158</v>
      </c>
      <c r="O44" s="79"/>
      <c r="P44" s="38"/>
      <c r="Q44" s="38"/>
    </row>
    <row r="45" spans="2:17" ht="19">
      <c r="B45" s="239"/>
      <c r="C45" s="27">
        <v>16</v>
      </c>
      <c r="D45" s="38" t="s">
        <v>118</v>
      </c>
      <c r="E45" s="38" t="s">
        <v>134</v>
      </c>
      <c r="F45" s="38"/>
      <c r="G45" s="38"/>
      <c r="H45" s="38"/>
      <c r="I45" s="38">
        <v>1</v>
      </c>
      <c r="J45" s="38">
        <v>55</v>
      </c>
      <c r="K45" s="185">
        <f t="shared" si="4"/>
        <v>55</v>
      </c>
      <c r="L45" s="28">
        <v>200</v>
      </c>
      <c r="M45" s="28">
        <f t="shared" si="5"/>
        <v>11000</v>
      </c>
      <c r="N45" s="79" t="s">
        <v>158</v>
      </c>
      <c r="O45" s="79"/>
      <c r="P45" s="38"/>
      <c r="Q45" s="38"/>
    </row>
    <row r="46" spans="2:17" ht="19">
      <c r="B46" s="239"/>
      <c r="C46" s="27">
        <v>17</v>
      </c>
      <c r="D46" s="38" t="s">
        <v>135</v>
      </c>
      <c r="E46" s="38" t="s">
        <v>136</v>
      </c>
      <c r="F46" s="38"/>
      <c r="G46" s="38"/>
      <c r="H46" s="38"/>
      <c r="I46" s="38">
        <v>67</v>
      </c>
      <c r="J46" s="38">
        <v>55</v>
      </c>
      <c r="K46" s="185">
        <f t="shared" si="4"/>
        <v>3685</v>
      </c>
      <c r="L46" s="28">
        <v>11</v>
      </c>
      <c r="M46" s="28">
        <f t="shared" si="5"/>
        <v>40535</v>
      </c>
      <c r="N46" s="79" t="s">
        <v>158</v>
      </c>
      <c r="O46" s="79"/>
      <c r="P46" s="38"/>
      <c r="Q46" s="38"/>
    </row>
    <row r="47" spans="2:17" ht="19">
      <c r="B47" s="239"/>
      <c r="C47" s="27">
        <v>18</v>
      </c>
      <c r="D47" s="38" t="s">
        <v>118</v>
      </c>
      <c r="E47" s="38" t="s">
        <v>137</v>
      </c>
      <c r="F47" s="38"/>
      <c r="G47" s="38"/>
      <c r="H47" s="38"/>
      <c r="I47" s="38">
        <v>1</v>
      </c>
      <c r="J47" s="38">
        <v>55</v>
      </c>
      <c r="K47" s="185">
        <f t="shared" si="4"/>
        <v>55</v>
      </c>
      <c r="L47" s="28">
        <v>45</v>
      </c>
      <c r="M47" s="28">
        <f t="shared" si="5"/>
        <v>2475</v>
      </c>
      <c r="N47" s="79" t="s">
        <v>158</v>
      </c>
      <c r="O47" s="79"/>
      <c r="P47" s="38"/>
      <c r="Q47" s="38"/>
    </row>
    <row r="48" spans="2:17" ht="19">
      <c r="B48" s="239"/>
      <c r="C48" s="27">
        <v>19</v>
      </c>
      <c r="D48" s="38" t="s">
        <v>135</v>
      </c>
      <c r="E48" s="38" t="s">
        <v>138</v>
      </c>
      <c r="F48" s="38"/>
      <c r="G48" s="38"/>
      <c r="H48" s="38"/>
      <c r="I48" s="38">
        <v>5</v>
      </c>
      <c r="J48" s="38">
        <v>55</v>
      </c>
      <c r="K48" s="185">
        <f t="shared" si="4"/>
        <v>275</v>
      </c>
      <c r="L48" s="28">
        <v>25</v>
      </c>
      <c r="M48" s="28">
        <f t="shared" si="5"/>
        <v>6875</v>
      </c>
      <c r="N48" s="79" t="s">
        <v>158</v>
      </c>
      <c r="O48" s="79"/>
      <c r="P48" s="38"/>
      <c r="Q48" s="38"/>
    </row>
    <row r="49" spans="2:17" ht="19">
      <c r="B49" s="239"/>
      <c r="C49" s="27">
        <v>20</v>
      </c>
      <c r="D49" s="38" t="s">
        <v>118</v>
      </c>
      <c r="E49" s="38">
        <v>22011052</v>
      </c>
      <c r="F49" s="38"/>
      <c r="G49" s="38"/>
      <c r="H49" s="38"/>
      <c r="I49" s="38">
        <v>1</v>
      </c>
      <c r="J49" s="38">
        <v>55</v>
      </c>
      <c r="K49" s="185">
        <f t="shared" si="4"/>
        <v>55</v>
      </c>
      <c r="L49" s="28">
        <v>60</v>
      </c>
      <c r="M49" s="28">
        <f t="shared" si="5"/>
        <v>3300</v>
      </c>
      <c r="N49" s="79" t="s">
        <v>158</v>
      </c>
      <c r="O49" s="79"/>
      <c r="P49" s="38"/>
      <c r="Q49" s="38"/>
    </row>
    <row r="50" spans="2:17" ht="19">
      <c r="B50" s="239"/>
      <c r="C50" s="27">
        <v>21</v>
      </c>
      <c r="D50" s="38" t="s">
        <v>135</v>
      </c>
      <c r="E50" s="38" t="s">
        <v>141</v>
      </c>
      <c r="F50" s="38"/>
      <c r="G50" s="38"/>
      <c r="H50" s="38"/>
      <c r="I50" s="38">
        <v>5</v>
      </c>
      <c r="J50" s="38">
        <v>55</v>
      </c>
      <c r="K50" s="185">
        <f t="shared" si="4"/>
        <v>275</v>
      </c>
      <c r="L50" s="28">
        <v>25</v>
      </c>
      <c r="M50" s="28">
        <f t="shared" si="5"/>
        <v>6875</v>
      </c>
      <c r="N50" s="79" t="s">
        <v>158</v>
      </c>
      <c r="O50" s="79"/>
      <c r="P50" s="38"/>
      <c r="Q50" s="38"/>
    </row>
    <row r="51" spans="2:17">
      <c r="L51" s="29">
        <f>SUM(L38:L50)</f>
        <v>996</v>
      </c>
      <c r="M51" s="29">
        <f>SUM(M38:M50)</f>
        <v>112860</v>
      </c>
    </row>
  </sheetData>
  <autoFilter ref="B1:Q1" xr:uid="{AD1CDD49-761E-4F96-B204-B50CDF875A07}"/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7"/>
  <sheetViews>
    <sheetView workbookViewId="0">
      <pane ySplit="1" topLeftCell="A2" activePane="bottomLeft" state="frozen"/>
      <selection pane="bottomLeft" activeCell="M42" sqref="M42"/>
    </sheetView>
  </sheetViews>
  <sheetFormatPr baseColWidth="10" defaultColWidth="9.3984375" defaultRowHeight="18"/>
  <cols>
    <col min="1" max="1" width="5" style="30" customWidth="1"/>
    <col min="2" max="2" width="9.19921875" style="30" bestFit="1" customWidth="1"/>
    <col min="3" max="3" width="7.3984375" style="30" bestFit="1" customWidth="1"/>
    <col min="4" max="4" width="41.3984375" style="30" bestFit="1" customWidth="1"/>
    <col min="5" max="5" width="22.796875" style="30" bestFit="1" customWidth="1"/>
    <col min="6" max="8" width="12" style="30" bestFit="1" customWidth="1"/>
    <col min="9" max="9" width="14.59765625" style="30" bestFit="1" customWidth="1"/>
    <col min="10" max="10" width="12" style="30" bestFit="1" customWidth="1"/>
    <col min="11" max="11" width="12" style="30" customWidth="1"/>
    <col min="12" max="12" width="14.59765625" style="30" customWidth="1"/>
    <col min="13" max="13" width="18.3984375" style="30" bestFit="1" customWidth="1"/>
    <col min="14" max="14" width="22.796875" style="30" bestFit="1" customWidth="1"/>
    <col min="15" max="15" width="22.796875" style="30" customWidth="1"/>
    <col min="16" max="16" width="12.796875" style="30" bestFit="1" customWidth="1"/>
    <col min="17" max="17" width="19.19921875" style="30" bestFit="1" customWidth="1"/>
    <col min="18" max="18" width="3.3984375" style="30" customWidth="1"/>
    <col min="19" max="16384" width="9.3984375" style="30"/>
  </cols>
  <sheetData>
    <row r="1" spans="2:17" ht="39" thickBot="1">
      <c r="B1" s="80" t="s">
        <v>230</v>
      </c>
      <c r="C1" s="80" t="s">
        <v>5</v>
      </c>
      <c r="D1" s="81" t="s">
        <v>8</v>
      </c>
      <c r="E1" s="68" t="s">
        <v>6</v>
      </c>
      <c r="F1" s="72" t="s">
        <v>88</v>
      </c>
      <c r="G1" s="72" t="s">
        <v>94</v>
      </c>
      <c r="H1" s="72" t="s">
        <v>89</v>
      </c>
      <c r="I1" s="72" t="s">
        <v>87</v>
      </c>
      <c r="J1" s="72" t="s">
        <v>241</v>
      </c>
      <c r="K1" s="72" t="s">
        <v>239</v>
      </c>
      <c r="L1" s="20" t="s">
        <v>30</v>
      </c>
      <c r="M1" s="20" t="s">
        <v>31</v>
      </c>
      <c r="N1" s="20" t="s">
        <v>105</v>
      </c>
      <c r="O1" s="20" t="s">
        <v>229</v>
      </c>
      <c r="P1" s="20" t="s">
        <v>90</v>
      </c>
      <c r="Q1" s="20" t="s">
        <v>0</v>
      </c>
    </row>
    <row r="2" spans="2:17" ht="19">
      <c r="B2" s="242">
        <v>2</v>
      </c>
      <c r="C2" s="42" t="s">
        <v>7</v>
      </c>
      <c r="D2" s="58"/>
      <c r="E2" s="82" t="s">
        <v>1</v>
      </c>
      <c r="F2" s="22"/>
      <c r="G2" s="22"/>
      <c r="H2" s="22"/>
      <c r="I2" s="32"/>
      <c r="J2" s="32"/>
      <c r="K2" s="32"/>
      <c r="L2" s="44"/>
      <c r="M2" s="44"/>
      <c r="N2" s="44"/>
      <c r="O2" s="44"/>
      <c r="P2" s="44"/>
      <c r="Q2" s="47"/>
    </row>
    <row r="3" spans="2:17" ht="19">
      <c r="B3" s="243"/>
      <c r="C3" s="42">
        <v>1</v>
      </c>
      <c r="D3" s="58" t="s">
        <v>52</v>
      </c>
      <c r="E3" s="82" t="s">
        <v>53</v>
      </c>
      <c r="F3" s="71"/>
      <c r="G3" s="71"/>
      <c r="H3" s="71"/>
      <c r="I3" s="31">
        <v>1</v>
      </c>
      <c r="J3" s="31">
        <v>51</v>
      </c>
      <c r="K3" s="186">
        <f>J3*I3</f>
        <v>51</v>
      </c>
      <c r="L3" s="26">
        <v>136000</v>
      </c>
      <c r="M3" s="25">
        <f>I3*J3*L3</f>
        <v>6936000</v>
      </c>
      <c r="N3" s="44" t="s">
        <v>100</v>
      </c>
      <c r="O3" s="95" t="s">
        <v>100</v>
      </c>
      <c r="P3" s="48"/>
      <c r="Q3" s="47"/>
    </row>
    <row r="4" spans="2:17" ht="19">
      <c r="B4" s="243"/>
      <c r="C4" s="42">
        <v>2</v>
      </c>
      <c r="D4" s="58" t="s">
        <v>54</v>
      </c>
      <c r="E4" s="82" t="s">
        <v>55</v>
      </c>
      <c r="F4" s="71"/>
      <c r="G4" s="71"/>
      <c r="H4" s="71"/>
      <c r="I4" s="31">
        <v>1</v>
      </c>
      <c r="J4" s="31">
        <v>51</v>
      </c>
      <c r="K4" s="186">
        <f t="shared" ref="K4:K17" si="0">J4*I4</f>
        <v>51</v>
      </c>
      <c r="L4" s="26">
        <v>610566</v>
      </c>
      <c r="M4" s="25">
        <f t="shared" ref="M4:M9" si="1">I4*J4*L4</f>
        <v>31138866</v>
      </c>
      <c r="N4" s="77" t="s">
        <v>227</v>
      </c>
      <c r="O4" s="100" t="s">
        <v>227</v>
      </c>
      <c r="P4" s="48"/>
      <c r="Q4" s="47"/>
    </row>
    <row r="5" spans="2:17" ht="19">
      <c r="B5" s="243"/>
      <c r="C5" s="42">
        <v>3</v>
      </c>
      <c r="D5" s="58" t="s">
        <v>56</v>
      </c>
      <c r="E5" s="82" t="s">
        <v>57</v>
      </c>
      <c r="F5" s="71"/>
      <c r="G5" s="71"/>
      <c r="H5" s="71"/>
      <c r="I5" s="31">
        <v>1</v>
      </c>
      <c r="J5" s="31">
        <v>51</v>
      </c>
      <c r="K5" s="186">
        <f t="shared" si="0"/>
        <v>51</v>
      </c>
      <c r="L5" s="26">
        <v>664363</v>
      </c>
      <c r="M5" s="25">
        <f t="shared" si="1"/>
        <v>33882513</v>
      </c>
      <c r="N5" s="77" t="s">
        <v>227</v>
      </c>
      <c r="O5" s="100" t="s">
        <v>227</v>
      </c>
      <c r="P5" s="48"/>
      <c r="Q5" s="47"/>
    </row>
    <row r="6" spans="2:17" ht="19">
      <c r="B6" s="243"/>
      <c r="C6" s="42">
        <v>4</v>
      </c>
      <c r="D6" s="58" t="s">
        <v>58</v>
      </c>
      <c r="E6" s="82" t="s">
        <v>59</v>
      </c>
      <c r="F6" s="71"/>
      <c r="G6" s="71"/>
      <c r="H6" s="71"/>
      <c r="I6" s="31">
        <v>1</v>
      </c>
      <c r="J6" s="31">
        <v>51</v>
      </c>
      <c r="K6" s="186">
        <f t="shared" si="0"/>
        <v>51</v>
      </c>
      <c r="L6" s="26">
        <v>1129222</v>
      </c>
      <c r="M6" s="25">
        <f t="shared" si="1"/>
        <v>57590322</v>
      </c>
      <c r="N6" s="77" t="s">
        <v>227</v>
      </c>
      <c r="O6" s="100" t="s">
        <v>227</v>
      </c>
      <c r="P6" s="48"/>
      <c r="Q6" s="47"/>
    </row>
    <row r="7" spans="2:17" ht="19">
      <c r="B7" s="243"/>
      <c r="C7" s="42">
        <v>5</v>
      </c>
      <c r="D7" s="58" t="s">
        <v>60</v>
      </c>
      <c r="E7" s="82" t="s">
        <v>61</v>
      </c>
      <c r="F7" s="71"/>
      <c r="G7" s="71"/>
      <c r="H7" s="71"/>
      <c r="I7" s="31">
        <v>1</v>
      </c>
      <c r="J7" s="31">
        <v>51</v>
      </c>
      <c r="K7" s="186">
        <f t="shared" si="0"/>
        <v>51</v>
      </c>
      <c r="L7" s="26">
        <v>289000</v>
      </c>
      <c r="M7" s="25">
        <f t="shared" si="1"/>
        <v>14739000</v>
      </c>
      <c r="N7" s="77" t="s">
        <v>227</v>
      </c>
      <c r="O7" s="100" t="s">
        <v>227</v>
      </c>
      <c r="P7" s="48"/>
      <c r="Q7" s="47"/>
    </row>
    <row r="8" spans="2:17" ht="19">
      <c r="B8" s="243"/>
      <c r="C8" s="42">
        <v>6</v>
      </c>
      <c r="D8" s="58" t="s">
        <v>62</v>
      </c>
      <c r="E8" s="82" t="s">
        <v>63</v>
      </c>
      <c r="F8" s="71"/>
      <c r="G8" s="71"/>
      <c r="H8" s="71"/>
      <c r="I8" s="31">
        <v>1</v>
      </c>
      <c r="J8" s="31">
        <v>51</v>
      </c>
      <c r="K8" s="186">
        <f t="shared" si="0"/>
        <v>51</v>
      </c>
      <c r="L8" s="26">
        <v>474791</v>
      </c>
      <c r="M8" s="25">
        <f t="shared" si="1"/>
        <v>24214341</v>
      </c>
      <c r="N8" s="77" t="s">
        <v>227</v>
      </c>
      <c r="O8" s="100" t="s">
        <v>227</v>
      </c>
      <c r="P8" s="48"/>
      <c r="Q8" s="47"/>
    </row>
    <row r="9" spans="2:17" ht="19">
      <c r="B9" s="243"/>
      <c r="C9" s="42">
        <v>7</v>
      </c>
      <c r="D9" s="59" t="s">
        <v>64</v>
      </c>
      <c r="E9" s="83" t="s">
        <v>91</v>
      </c>
      <c r="F9" s="71"/>
      <c r="G9" s="71"/>
      <c r="H9" s="71"/>
      <c r="I9" s="31">
        <v>1</v>
      </c>
      <c r="J9" s="31">
        <v>51</v>
      </c>
      <c r="K9" s="186">
        <f t="shared" si="0"/>
        <v>51</v>
      </c>
      <c r="L9" s="26">
        <v>913923</v>
      </c>
      <c r="M9" s="25">
        <f t="shared" si="1"/>
        <v>46610073</v>
      </c>
      <c r="N9" s="77" t="s">
        <v>227</v>
      </c>
      <c r="O9" s="100" t="s">
        <v>227</v>
      </c>
      <c r="P9" s="48"/>
      <c r="Q9" s="47"/>
    </row>
    <row r="10" spans="2:17" ht="19">
      <c r="B10" s="243"/>
      <c r="C10" s="42"/>
      <c r="D10" s="66" t="s">
        <v>208</v>
      </c>
      <c r="E10" s="84" t="s">
        <v>201</v>
      </c>
      <c r="F10" s="71"/>
      <c r="G10" s="71"/>
      <c r="H10" s="71"/>
      <c r="I10" s="31">
        <v>1</v>
      </c>
      <c r="J10" s="31">
        <v>60</v>
      </c>
      <c r="K10" s="186">
        <f t="shared" si="0"/>
        <v>60</v>
      </c>
      <c r="L10" s="85">
        <v>763</v>
      </c>
      <c r="M10" s="85">
        <f>L10*(J10*I10)</f>
        <v>45780</v>
      </c>
      <c r="N10" s="86" t="s">
        <v>102</v>
      </c>
      <c r="O10" s="113" t="s">
        <v>181</v>
      </c>
      <c r="P10" s="48"/>
      <c r="Q10" s="47"/>
    </row>
    <row r="11" spans="2:17" ht="19">
      <c r="B11" s="243"/>
      <c r="C11" s="42"/>
      <c r="D11" s="66" t="s">
        <v>209</v>
      </c>
      <c r="E11" s="84" t="s">
        <v>201</v>
      </c>
      <c r="F11" s="71"/>
      <c r="G11" s="71"/>
      <c r="H11" s="71"/>
      <c r="I11" s="31">
        <v>1</v>
      </c>
      <c r="J11" s="31">
        <v>60</v>
      </c>
      <c r="K11" s="186">
        <f t="shared" si="0"/>
        <v>60</v>
      </c>
      <c r="L11" s="85">
        <v>43.3</v>
      </c>
      <c r="M11" s="85">
        <f>L11*(J11*I11)</f>
        <v>2598</v>
      </c>
      <c r="N11" s="86" t="s">
        <v>102</v>
      </c>
      <c r="O11" s="113" t="s">
        <v>181</v>
      </c>
      <c r="P11" s="48"/>
      <c r="Q11" s="47"/>
    </row>
    <row r="12" spans="2:17" ht="19">
      <c r="B12" s="243"/>
      <c r="C12" s="42"/>
      <c r="D12" s="67" t="s">
        <v>210</v>
      </c>
      <c r="E12" s="51" t="s">
        <v>201</v>
      </c>
      <c r="F12" s="78"/>
      <c r="G12" s="78"/>
      <c r="H12" s="78"/>
      <c r="I12" s="34">
        <v>1</v>
      </c>
      <c r="J12" s="34">
        <v>60</v>
      </c>
      <c r="K12" s="186">
        <f t="shared" si="0"/>
        <v>60</v>
      </c>
      <c r="L12" s="87">
        <v>36000</v>
      </c>
      <c r="M12" s="87">
        <f>L12*(J12*I12)</f>
        <v>2160000</v>
      </c>
      <c r="N12" s="36" t="s">
        <v>202</v>
      </c>
      <c r="O12" s="36" t="s">
        <v>202</v>
      </c>
      <c r="P12" s="34"/>
      <c r="Q12" s="52"/>
    </row>
    <row r="13" spans="2:17" ht="19">
      <c r="B13" s="243"/>
      <c r="C13" s="42">
        <v>8</v>
      </c>
      <c r="D13" s="58" t="s">
        <v>65</v>
      </c>
      <c r="E13" s="82" t="s">
        <v>66</v>
      </c>
      <c r="F13" s="71"/>
      <c r="G13" s="71"/>
      <c r="H13" s="71"/>
      <c r="I13" s="31">
        <v>2</v>
      </c>
      <c r="J13" s="31">
        <v>51</v>
      </c>
      <c r="K13" s="186">
        <f t="shared" si="0"/>
        <v>102</v>
      </c>
      <c r="L13" s="26">
        <v>339000</v>
      </c>
      <c r="M13" s="25">
        <f t="shared" ref="M13" si="2">I13*J13*L13</f>
        <v>34578000</v>
      </c>
      <c r="N13" s="100" t="s">
        <v>227</v>
      </c>
      <c r="O13" s="100" t="s">
        <v>227</v>
      </c>
      <c r="P13" s="48"/>
      <c r="Q13" s="47"/>
    </row>
    <row r="14" spans="2:17" ht="19">
      <c r="B14" s="243"/>
      <c r="C14" s="42">
        <v>9</v>
      </c>
      <c r="D14" s="58" t="s">
        <v>67</v>
      </c>
      <c r="E14" s="82" t="s">
        <v>68</v>
      </c>
      <c r="F14" s="71"/>
      <c r="G14" s="71"/>
      <c r="H14" s="71"/>
      <c r="I14" s="31">
        <v>1</v>
      </c>
      <c r="J14" s="31">
        <v>55</v>
      </c>
      <c r="K14" s="186">
        <f t="shared" si="0"/>
        <v>55</v>
      </c>
      <c r="L14" s="26">
        <v>300000</v>
      </c>
      <c r="M14" s="25">
        <f>I14*J14*L14</f>
        <v>16500000</v>
      </c>
      <c r="N14" s="44" t="s">
        <v>166</v>
      </c>
      <c r="O14" s="113" t="s">
        <v>166</v>
      </c>
      <c r="P14" s="48"/>
      <c r="Q14" s="47"/>
    </row>
    <row r="15" spans="2:17" ht="19">
      <c r="B15" s="243"/>
      <c r="C15" s="42">
        <v>10</v>
      </c>
      <c r="D15" s="58" t="s">
        <v>69</v>
      </c>
      <c r="E15" s="82" t="s">
        <v>70</v>
      </c>
      <c r="F15" s="71"/>
      <c r="G15" s="71"/>
      <c r="H15" s="71"/>
      <c r="I15" s="31">
        <v>1</v>
      </c>
      <c r="J15" s="31">
        <v>51</v>
      </c>
      <c r="K15" s="186">
        <f t="shared" si="0"/>
        <v>51</v>
      </c>
      <c r="L15" s="26">
        <v>630000</v>
      </c>
      <c r="M15" s="25">
        <f>I15*J15*L15</f>
        <v>32130000</v>
      </c>
      <c r="N15" s="44" t="s">
        <v>97</v>
      </c>
      <c r="O15" s="113" t="s">
        <v>97</v>
      </c>
      <c r="P15" s="48"/>
      <c r="Q15" s="47"/>
    </row>
    <row r="16" spans="2:17" ht="19">
      <c r="B16" s="243"/>
      <c r="C16" s="42">
        <v>11</v>
      </c>
      <c r="D16" s="58" t="s">
        <v>29</v>
      </c>
      <c r="E16" s="82" t="s">
        <v>71</v>
      </c>
      <c r="F16" s="71"/>
      <c r="G16" s="71"/>
      <c r="H16" s="71"/>
      <c r="I16" s="31">
        <v>1</v>
      </c>
      <c r="J16" s="31">
        <v>51</v>
      </c>
      <c r="K16" s="186">
        <f t="shared" si="0"/>
        <v>51</v>
      </c>
      <c r="L16" s="45" t="s">
        <v>201</v>
      </c>
      <c r="M16" s="35" t="s">
        <v>201</v>
      </c>
      <c r="N16" s="45" t="s">
        <v>201</v>
      </c>
      <c r="O16" s="95" t="s">
        <v>201</v>
      </c>
      <c r="P16" s="45"/>
      <c r="Q16" s="49"/>
    </row>
    <row r="17" spans="2:17" ht="19">
      <c r="B17" s="244"/>
      <c r="C17" s="42">
        <v>12</v>
      </c>
      <c r="D17" s="60" t="s">
        <v>203</v>
      </c>
      <c r="E17" s="51" t="s">
        <v>201</v>
      </c>
      <c r="F17" s="36"/>
      <c r="G17" s="36"/>
      <c r="H17" s="87"/>
      <c r="I17" s="34">
        <v>2</v>
      </c>
      <c r="J17" s="36">
        <v>52</v>
      </c>
      <c r="K17" s="186">
        <f t="shared" si="0"/>
        <v>104</v>
      </c>
      <c r="L17" s="37">
        <v>490000</v>
      </c>
      <c r="M17" s="37">
        <f>I17*J17*L17</f>
        <v>50960000</v>
      </c>
      <c r="N17" s="36" t="s">
        <v>202</v>
      </c>
      <c r="O17" s="36" t="s">
        <v>202</v>
      </c>
      <c r="P17" s="54"/>
      <c r="Q17" s="52"/>
    </row>
    <row r="21" spans="2:17">
      <c r="B21" s="240" t="s">
        <v>196</v>
      </c>
      <c r="C21" s="38">
        <v>1</v>
      </c>
      <c r="D21" s="57" t="s">
        <v>58</v>
      </c>
      <c r="E21" s="38"/>
      <c r="F21" s="38"/>
      <c r="G21" s="38"/>
      <c r="H21" s="38"/>
      <c r="I21" s="38"/>
      <c r="J21" s="38"/>
      <c r="K21" s="185"/>
      <c r="L21" s="38"/>
      <c r="M21" s="28"/>
      <c r="N21" s="38"/>
      <c r="O21" s="38"/>
      <c r="P21" s="38"/>
      <c r="Q21" s="38" t="s">
        <v>142</v>
      </c>
    </row>
    <row r="22" spans="2:17" ht="19">
      <c r="B22" s="241"/>
      <c r="C22" s="39" t="s">
        <v>112</v>
      </c>
      <c r="D22" s="38" t="s">
        <v>109</v>
      </c>
      <c r="E22" s="38" t="s">
        <v>111</v>
      </c>
      <c r="F22" s="38"/>
      <c r="G22" s="38"/>
      <c r="H22" s="38"/>
      <c r="I22" s="38">
        <v>8</v>
      </c>
      <c r="J22" s="38">
        <v>53</v>
      </c>
      <c r="K22" s="185">
        <f>I22*J22</f>
        <v>424</v>
      </c>
      <c r="L22" s="28">
        <v>21500</v>
      </c>
      <c r="M22" s="28">
        <f t="shared" ref="M22:M41" si="3">I22*J22*L22</f>
        <v>9116000</v>
      </c>
      <c r="N22" s="79" t="s">
        <v>158</v>
      </c>
      <c r="O22" s="79"/>
      <c r="P22" s="38"/>
      <c r="Q22" s="38"/>
    </row>
    <row r="23" spans="2:17" ht="19">
      <c r="B23" s="241"/>
      <c r="C23" s="40" t="s">
        <v>182</v>
      </c>
      <c r="D23" s="38" t="s">
        <v>118</v>
      </c>
      <c r="E23" s="38" t="s">
        <v>128</v>
      </c>
      <c r="F23" s="38"/>
      <c r="G23" s="38"/>
      <c r="H23" s="38"/>
      <c r="I23" s="38">
        <v>7</v>
      </c>
      <c r="J23" s="38">
        <v>55</v>
      </c>
      <c r="K23" s="185">
        <f t="shared" ref="K23:K41" si="4">I23*J23</f>
        <v>385</v>
      </c>
      <c r="L23" s="28">
        <v>50</v>
      </c>
      <c r="M23" s="28">
        <f t="shared" si="3"/>
        <v>19250</v>
      </c>
      <c r="N23" s="79" t="s">
        <v>158</v>
      </c>
      <c r="O23" s="79"/>
      <c r="P23" s="38"/>
      <c r="Q23" s="38"/>
    </row>
    <row r="24" spans="2:17" ht="19">
      <c r="B24" s="241"/>
      <c r="C24" s="40" t="s">
        <v>183</v>
      </c>
      <c r="D24" s="38" t="s">
        <v>118</v>
      </c>
      <c r="E24" s="38" t="s">
        <v>131</v>
      </c>
      <c r="F24" s="38"/>
      <c r="G24" s="38"/>
      <c r="H24" s="38"/>
      <c r="I24" s="38">
        <v>1</v>
      </c>
      <c r="J24" s="38">
        <v>55</v>
      </c>
      <c r="K24" s="185">
        <f t="shared" si="4"/>
        <v>55</v>
      </c>
      <c r="L24" s="28">
        <v>120</v>
      </c>
      <c r="M24" s="28">
        <f t="shared" si="3"/>
        <v>6600</v>
      </c>
      <c r="N24" s="79" t="s">
        <v>158</v>
      </c>
      <c r="O24" s="79"/>
      <c r="P24" s="38"/>
      <c r="Q24" s="38"/>
    </row>
    <row r="25" spans="2:17" ht="19">
      <c r="B25" s="241"/>
      <c r="C25" s="40" t="s">
        <v>184</v>
      </c>
      <c r="D25" s="38" t="s">
        <v>135</v>
      </c>
      <c r="E25" s="38" t="s">
        <v>136</v>
      </c>
      <c r="F25" s="38"/>
      <c r="G25" s="38"/>
      <c r="H25" s="38"/>
      <c r="I25" s="38">
        <v>36</v>
      </c>
      <c r="J25" s="38">
        <v>55</v>
      </c>
      <c r="K25" s="185">
        <f t="shared" si="4"/>
        <v>1980</v>
      </c>
      <c r="L25" s="28">
        <v>11</v>
      </c>
      <c r="M25" s="28">
        <f t="shared" si="3"/>
        <v>21780</v>
      </c>
      <c r="N25" s="79" t="s">
        <v>158</v>
      </c>
      <c r="O25" s="79"/>
      <c r="P25" s="38"/>
      <c r="Q25" s="38"/>
    </row>
    <row r="26" spans="2:17">
      <c r="B26" s="241"/>
      <c r="C26" s="38">
        <v>2</v>
      </c>
      <c r="D26" s="57" t="s">
        <v>56</v>
      </c>
      <c r="E26" s="38"/>
      <c r="F26" s="38"/>
      <c r="G26" s="38"/>
      <c r="H26" s="38"/>
      <c r="I26" s="38"/>
      <c r="J26" s="38"/>
      <c r="K26" s="185"/>
      <c r="L26" s="28"/>
      <c r="M26" s="28"/>
      <c r="N26" s="38"/>
      <c r="O26" s="38"/>
      <c r="P26" s="38"/>
      <c r="Q26" s="38"/>
    </row>
    <row r="27" spans="2:17" ht="19">
      <c r="B27" s="241"/>
      <c r="C27" s="40" t="s">
        <v>177</v>
      </c>
      <c r="D27" s="38" t="s">
        <v>109</v>
      </c>
      <c r="E27" s="38" t="s">
        <v>111</v>
      </c>
      <c r="F27" s="38"/>
      <c r="G27" s="38"/>
      <c r="H27" s="38"/>
      <c r="I27" s="38">
        <v>6</v>
      </c>
      <c r="J27" s="38">
        <v>53</v>
      </c>
      <c r="K27" s="185">
        <f t="shared" si="4"/>
        <v>318</v>
      </c>
      <c r="L27" s="28">
        <v>21500</v>
      </c>
      <c r="M27" s="28">
        <f t="shared" si="3"/>
        <v>6837000</v>
      </c>
      <c r="N27" s="79" t="s">
        <v>158</v>
      </c>
      <c r="O27" s="79"/>
      <c r="P27" s="38"/>
      <c r="Q27" s="38"/>
    </row>
    <row r="28" spans="2:17" ht="19">
      <c r="B28" s="241"/>
      <c r="C28" s="40" t="s">
        <v>185</v>
      </c>
      <c r="D28" s="38" t="s">
        <v>118</v>
      </c>
      <c r="E28" s="38" t="s">
        <v>143</v>
      </c>
      <c r="F28" s="38"/>
      <c r="G28" s="38"/>
      <c r="H28" s="38"/>
      <c r="I28" s="38">
        <v>4</v>
      </c>
      <c r="J28" s="38">
        <v>55</v>
      </c>
      <c r="K28" s="185">
        <f t="shared" si="4"/>
        <v>220</v>
      </c>
      <c r="L28" s="28">
        <v>50</v>
      </c>
      <c r="M28" s="28">
        <f t="shared" si="3"/>
        <v>11000</v>
      </c>
      <c r="N28" s="79" t="s">
        <v>158</v>
      </c>
      <c r="O28" s="79"/>
      <c r="P28" s="38"/>
      <c r="Q28" s="38"/>
    </row>
    <row r="29" spans="2:17" ht="19">
      <c r="B29" s="241"/>
      <c r="C29" s="40" t="s">
        <v>186</v>
      </c>
      <c r="D29" s="38" t="s">
        <v>118</v>
      </c>
      <c r="E29" s="38" t="s">
        <v>131</v>
      </c>
      <c r="F29" s="38"/>
      <c r="G29" s="38"/>
      <c r="H29" s="38"/>
      <c r="I29" s="38">
        <v>1</v>
      </c>
      <c r="J29" s="38">
        <v>55</v>
      </c>
      <c r="K29" s="185">
        <f t="shared" si="4"/>
        <v>55</v>
      </c>
      <c r="L29" s="28">
        <v>120</v>
      </c>
      <c r="M29" s="28">
        <f t="shared" si="3"/>
        <v>6600</v>
      </c>
      <c r="N29" s="79" t="s">
        <v>158</v>
      </c>
      <c r="O29" s="79"/>
      <c r="P29" s="38"/>
      <c r="Q29" s="38"/>
    </row>
    <row r="30" spans="2:17" ht="19">
      <c r="B30" s="241"/>
      <c r="C30" s="40" t="s">
        <v>187</v>
      </c>
      <c r="D30" s="38" t="s">
        <v>135</v>
      </c>
      <c r="E30" s="38" t="s">
        <v>136</v>
      </c>
      <c r="F30" s="38"/>
      <c r="G30" s="38"/>
      <c r="H30" s="38"/>
      <c r="I30" s="38">
        <v>24</v>
      </c>
      <c r="J30" s="38">
        <v>55</v>
      </c>
      <c r="K30" s="185">
        <f t="shared" si="4"/>
        <v>1320</v>
      </c>
      <c r="L30" s="28">
        <v>11</v>
      </c>
      <c r="M30" s="28">
        <f t="shared" si="3"/>
        <v>14520</v>
      </c>
      <c r="N30" s="79" t="s">
        <v>158</v>
      </c>
      <c r="O30" s="79"/>
      <c r="P30" s="38"/>
      <c r="Q30" s="38"/>
    </row>
    <row r="31" spans="2:17">
      <c r="B31" s="241"/>
      <c r="C31" s="38">
        <v>3</v>
      </c>
      <c r="D31" s="57" t="s">
        <v>52</v>
      </c>
      <c r="E31" s="38"/>
      <c r="F31" s="38"/>
      <c r="G31" s="38"/>
      <c r="H31" s="38"/>
      <c r="I31" s="38"/>
      <c r="J31" s="38"/>
      <c r="K31" s="185"/>
      <c r="L31" s="28"/>
      <c r="M31" s="28"/>
      <c r="N31" s="38"/>
      <c r="O31" s="38"/>
      <c r="P31" s="38"/>
      <c r="Q31" s="38"/>
    </row>
    <row r="32" spans="2:17" ht="19">
      <c r="B32" s="241"/>
      <c r="C32" s="40" t="s">
        <v>188</v>
      </c>
      <c r="D32" s="38" t="s">
        <v>109</v>
      </c>
      <c r="E32" s="38" t="s">
        <v>110</v>
      </c>
      <c r="F32" s="38"/>
      <c r="G32" s="38"/>
      <c r="H32" s="38"/>
      <c r="I32" s="38">
        <v>1</v>
      </c>
      <c r="J32" s="38">
        <v>55</v>
      </c>
      <c r="K32" s="185">
        <f t="shared" si="4"/>
        <v>55</v>
      </c>
      <c r="L32" s="28">
        <v>3350</v>
      </c>
      <c r="M32" s="28">
        <f t="shared" si="3"/>
        <v>184250</v>
      </c>
      <c r="N32" s="79" t="s">
        <v>158</v>
      </c>
      <c r="O32" s="79"/>
      <c r="P32" s="38"/>
      <c r="Q32" s="38"/>
    </row>
    <row r="33" spans="2:17" ht="19">
      <c r="B33" s="241"/>
      <c r="C33" s="40" t="s">
        <v>189</v>
      </c>
      <c r="D33" s="38" t="s">
        <v>118</v>
      </c>
      <c r="E33" s="38" t="s">
        <v>137</v>
      </c>
      <c r="F33" s="38"/>
      <c r="G33" s="38"/>
      <c r="H33" s="38"/>
      <c r="I33" s="38">
        <v>1</v>
      </c>
      <c r="J33" s="38">
        <v>55</v>
      </c>
      <c r="K33" s="185">
        <f t="shared" si="4"/>
        <v>55</v>
      </c>
      <c r="L33" s="28">
        <v>45</v>
      </c>
      <c r="M33" s="28">
        <f t="shared" si="3"/>
        <v>2475</v>
      </c>
      <c r="N33" s="79" t="s">
        <v>158</v>
      </c>
      <c r="O33" s="79"/>
      <c r="P33" s="38"/>
      <c r="Q33" s="38"/>
    </row>
    <row r="34" spans="2:17" ht="19">
      <c r="B34" s="241"/>
      <c r="C34" s="40" t="s">
        <v>190</v>
      </c>
      <c r="D34" s="38" t="s">
        <v>135</v>
      </c>
      <c r="E34" s="38" t="s">
        <v>138</v>
      </c>
      <c r="F34" s="38"/>
      <c r="G34" s="38"/>
      <c r="H34" s="38"/>
      <c r="I34" s="38">
        <v>5</v>
      </c>
      <c r="J34" s="38">
        <v>55</v>
      </c>
      <c r="K34" s="185">
        <f t="shared" si="4"/>
        <v>275</v>
      </c>
      <c r="L34" s="28">
        <v>25</v>
      </c>
      <c r="M34" s="28">
        <f t="shared" si="3"/>
        <v>6875</v>
      </c>
      <c r="N34" s="79" t="s">
        <v>158</v>
      </c>
      <c r="O34" s="79"/>
      <c r="P34" s="38"/>
      <c r="Q34" s="38"/>
    </row>
    <row r="35" spans="2:17">
      <c r="B35" s="241"/>
      <c r="C35" s="38">
        <v>4</v>
      </c>
      <c r="D35" s="57" t="s">
        <v>62</v>
      </c>
      <c r="E35" s="38"/>
      <c r="F35" s="38"/>
      <c r="G35" s="38"/>
      <c r="H35" s="38"/>
      <c r="I35" s="38"/>
      <c r="J35" s="38"/>
      <c r="K35" s="185"/>
      <c r="L35" s="28"/>
      <c r="M35" s="28"/>
      <c r="N35" s="38"/>
      <c r="O35" s="38"/>
      <c r="P35" s="38"/>
      <c r="Q35" s="38"/>
    </row>
    <row r="36" spans="2:17" ht="19">
      <c r="B36" s="241"/>
      <c r="C36" s="40" t="s">
        <v>113</v>
      </c>
      <c r="D36" s="38" t="s">
        <v>109</v>
      </c>
      <c r="E36" s="38" t="s">
        <v>115</v>
      </c>
      <c r="F36" s="38"/>
      <c r="G36" s="38"/>
      <c r="H36" s="38"/>
      <c r="I36" s="38">
        <v>1</v>
      </c>
      <c r="J36" s="38">
        <v>50</v>
      </c>
      <c r="K36" s="185">
        <f t="shared" si="4"/>
        <v>50</v>
      </c>
      <c r="L36" s="28">
        <v>14350</v>
      </c>
      <c r="M36" s="28">
        <f t="shared" si="3"/>
        <v>717500</v>
      </c>
      <c r="N36" s="79" t="s">
        <v>158</v>
      </c>
      <c r="O36" s="79"/>
      <c r="P36" s="38"/>
      <c r="Q36" s="76" t="s">
        <v>211</v>
      </c>
    </row>
    <row r="37" spans="2:17" ht="19">
      <c r="B37" s="241"/>
      <c r="C37" s="40" t="s">
        <v>191</v>
      </c>
      <c r="D37" s="76" t="s">
        <v>109</v>
      </c>
      <c r="E37" s="76" t="s">
        <v>116</v>
      </c>
      <c r="F37" s="76"/>
      <c r="G37" s="76"/>
      <c r="H37" s="76"/>
      <c r="I37" s="76">
        <v>1</v>
      </c>
      <c r="J37" s="76">
        <v>55</v>
      </c>
      <c r="K37" s="187">
        <f t="shared" si="4"/>
        <v>55</v>
      </c>
      <c r="L37" s="188">
        <v>17850</v>
      </c>
      <c r="M37" s="188">
        <f t="shared" si="3"/>
        <v>981750</v>
      </c>
      <c r="N37" s="189" t="s">
        <v>158</v>
      </c>
      <c r="O37" s="189"/>
      <c r="P37" s="76"/>
      <c r="Q37" s="190" t="s">
        <v>222</v>
      </c>
    </row>
    <row r="38" spans="2:17" ht="19">
      <c r="B38" s="241"/>
      <c r="C38" s="40" t="s">
        <v>192</v>
      </c>
      <c r="D38" s="38" t="s">
        <v>109</v>
      </c>
      <c r="E38" s="38" t="s">
        <v>114</v>
      </c>
      <c r="F38" s="38"/>
      <c r="G38" s="38"/>
      <c r="H38" s="38"/>
      <c r="I38" s="38">
        <v>31</v>
      </c>
      <c r="J38" s="38">
        <v>50</v>
      </c>
      <c r="K38" s="185">
        <f t="shared" si="4"/>
        <v>1550</v>
      </c>
      <c r="L38" s="28">
        <v>1250</v>
      </c>
      <c r="M38" s="28">
        <f t="shared" si="3"/>
        <v>1937500</v>
      </c>
      <c r="N38" s="79" t="s">
        <v>158</v>
      </c>
      <c r="O38" s="79"/>
      <c r="P38" s="38"/>
      <c r="Q38" s="76" t="s">
        <v>211</v>
      </c>
    </row>
    <row r="39" spans="2:17" ht="19">
      <c r="B39" s="241"/>
      <c r="C39" s="40" t="s">
        <v>193</v>
      </c>
      <c r="D39" s="38" t="s">
        <v>140</v>
      </c>
      <c r="E39" s="38" t="s">
        <v>130</v>
      </c>
      <c r="F39" s="38"/>
      <c r="G39" s="38"/>
      <c r="H39" s="38"/>
      <c r="I39" s="38">
        <v>1</v>
      </c>
      <c r="J39" s="38">
        <v>55</v>
      </c>
      <c r="K39" s="185">
        <f t="shared" si="4"/>
        <v>55</v>
      </c>
      <c r="L39" s="28">
        <v>80</v>
      </c>
      <c r="M39" s="28">
        <f t="shared" si="3"/>
        <v>4400</v>
      </c>
      <c r="N39" s="79" t="s">
        <v>158</v>
      </c>
      <c r="O39" s="79"/>
      <c r="P39" s="38"/>
      <c r="Q39" s="38"/>
    </row>
    <row r="40" spans="2:17" ht="19">
      <c r="B40" s="241"/>
      <c r="C40" s="40" t="s">
        <v>194</v>
      </c>
      <c r="D40" s="38" t="s">
        <v>140</v>
      </c>
      <c r="E40" s="38" t="s">
        <v>134</v>
      </c>
      <c r="F40" s="38"/>
      <c r="G40" s="38"/>
      <c r="H40" s="38"/>
      <c r="I40" s="38">
        <v>1</v>
      </c>
      <c r="J40" s="38">
        <v>55</v>
      </c>
      <c r="K40" s="185">
        <f t="shared" si="4"/>
        <v>55</v>
      </c>
      <c r="L40" s="28">
        <v>200</v>
      </c>
      <c r="M40" s="28">
        <f t="shared" si="3"/>
        <v>11000</v>
      </c>
      <c r="N40" s="79" t="s">
        <v>158</v>
      </c>
      <c r="O40" s="79"/>
      <c r="P40" s="38"/>
      <c r="Q40" s="38"/>
    </row>
    <row r="41" spans="2:17" ht="19">
      <c r="B41" s="241"/>
      <c r="C41" s="40" t="s">
        <v>195</v>
      </c>
      <c r="D41" s="38" t="s">
        <v>135</v>
      </c>
      <c r="E41" s="38" t="s">
        <v>197</v>
      </c>
      <c r="F41" s="38"/>
      <c r="G41" s="38"/>
      <c r="H41" s="38"/>
      <c r="I41" s="38">
        <v>18</v>
      </c>
      <c r="J41" s="38">
        <v>55</v>
      </c>
      <c r="K41" s="185">
        <f t="shared" si="4"/>
        <v>990</v>
      </c>
      <c r="L41" s="28">
        <v>11</v>
      </c>
      <c r="M41" s="28">
        <f t="shared" si="3"/>
        <v>10890</v>
      </c>
      <c r="N41" s="79" t="s">
        <v>158</v>
      </c>
      <c r="O41" s="79"/>
      <c r="P41" s="38"/>
      <c r="Q41" s="38"/>
    </row>
    <row r="42" spans="2:17">
      <c r="M42" s="29">
        <f>SUM(M22:M41)</f>
        <v>19889390</v>
      </c>
    </row>
    <row r="47" spans="2:17">
      <c r="N47" s="183">
        <v>513363</v>
      </c>
      <c r="O47" s="183">
        <v>615859</v>
      </c>
      <c r="Q47" s="184">
        <f>N47+O47</f>
        <v>1129222</v>
      </c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pane ySplit="1" topLeftCell="A2" activePane="bottomLeft" state="frozen"/>
      <selection activeCell="B1" sqref="B1"/>
      <selection pane="bottomLeft" activeCell="N46" sqref="N46"/>
    </sheetView>
  </sheetViews>
  <sheetFormatPr baseColWidth="10" defaultColWidth="9.3984375" defaultRowHeight="18"/>
  <cols>
    <col min="1" max="1" width="5" style="30" customWidth="1"/>
    <col min="2" max="2" width="8" style="30" customWidth="1"/>
    <col min="3" max="3" width="7.796875" style="30" bestFit="1" customWidth="1"/>
    <col min="4" max="4" width="52" style="30" bestFit="1" customWidth="1"/>
    <col min="5" max="5" width="33.796875" style="30" bestFit="1" customWidth="1"/>
    <col min="6" max="8" width="12.3984375" style="30" bestFit="1" customWidth="1"/>
    <col min="9" max="9" width="14.796875" style="30" bestFit="1" customWidth="1"/>
    <col min="10" max="10" width="12.3984375" style="30" bestFit="1" customWidth="1"/>
    <col min="11" max="11" width="10.796875" style="30" bestFit="1" customWidth="1"/>
    <col min="12" max="12" width="14.59765625" style="30" bestFit="1" customWidth="1"/>
    <col min="13" max="13" width="18.3984375" style="30" bestFit="1" customWidth="1"/>
    <col min="14" max="14" width="23.3984375" style="30" bestFit="1" customWidth="1"/>
    <col min="15" max="15" width="23.3984375" style="30" customWidth="1"/>
    <col min="16" max="16" width="13.3984375" style="30" bestFit="1" customWidth="1"/>
    <col min="17" max="17" width="45.3984375" style="30" bestFit="1" customWidth="1"/>
    <col min="18" max="18" width="3.3984375" style="30" customWidth="1"/>
    <col min="19" max="16384" width="9.3984375" style="30"/>
  </cols>
  <sheetData>
    <row r="1" spans="2:17" ht="39" thickBot="1">
      <c r="B1" s="72" t="s">
        <v>230</v>
      </c>
      <c r="C1" s="72" t="s">
        <v>5</v>
      </c>
      <c r="D1" s="81" t="s">
        <v>8</v>
      </c>
      <c r="E1" s="72" t="s">
        <v>6</v>
      </c>
      <c r="F1" s="72" t="s">
        <v>88</v>
      </c>
      <c r="G1" s="72" t="s">
        <v>94</v>
      </c>
      <c r="H1" s="72" t="s">
        <v>89</v>
      </c>
      <c r="I1" s="72" t="s">
        <v>87</v>
      </c>
      <c r="J1" s="72" t="s">
        <v>241</v>
      </c>
      <c r="K1" s="72" t="s">
        <v>239</v>
      </c>
      <c r="L1" s="20" t="s">
        <v>30</v>
      </c>
      <c r="M1" s="20" t="s">
        <v>31</v>
      </c>
      <c r="N1" s="20" t="s">
        <v>105</v>
      </c>
      <c r="O1" s="20" t="s">
        <v>229</v>
      </c>
      <c r="P1" s="20" t="s">
        <v>90</v>
      </c>
      <c r="Q1" s="20" t="s">
        <v>0</v>
      </c>
    </row>
    <row r="2" spans="2:17" ht="19">
      <c r="B2" s="88">
        <v>3</v>
      </c>
      <c r="C2" s="31" t="s">
        <v>4</v>
      </c>
      <c r="D2" s="53"/>
      <c r="E2" s="31" t="s">
        <v>3</v>
      </c>
      <c r="F2" s="22"/>
      <c r="G2" s="22"/>
      <c r="H2" s="22"/>
      <c r="I2" s="32"/>
      <c r="J2" s="32"/>
      <c r="K2" s="32"/>
      <c r="L2" s="44"/>
      <c r="M2" s="44"/>
      <c r="N2" s="46"/>
      <c r="O2" s="46"/>
      <c r="P2" s="44"/>
      <c r="Q2" s="47"/>
    </row>
    <row r="3" spans="2:17" ht="19">
      <c r="B3" s="88"/>
      <c r="C3" s="31">
        <v>1</v>
      </c>
      <c r="D3" s="53" t="s">
        <v>9</v>
      </c>
      <c r="E3" s="31" t="s">
        <v>72</v>
      </c>
      <c r="F3" s="71"/>
      <c r="G3" s="71"/>
      <c r="H3" s="71"/>
      <c r="I3" s="31">
        <v>1</v>
      </c>
      <c r="J3" s="31">
        <v>51</v>
      </c>
      <c r="K3" s="186">
        <f>I3*J3</f>
        <v>51</v>
      </c>
      <c r="L3" s="26">
        <v>304800</v>
      </c>
      <c r="M3" s="25">
        <f>I3*J3*L3</f>
        <v>15544800</v>
      </c>
      <c r="N3" s="95" t="s">
        <v>99</v>
      </c>
      <c r="O3" s="95" t="s">
        <v>99</v>
      </c>
      <c r="P3" s="48"/>
      <c r="Q3" s="47"/>
    </row>
    <row r="4" spans="2:17" ht="19">
      <c r="B4" s="88"/>
      <c r="C4" s="31">
        <v>2</v>
      </c>
      <c r="D4" s="53" t="s">
        <v>13</v>
      </c>
      <c r="E4" s="31" t="s">
        <v>73</v>
      </c>
      <c r="F4" s="71"/>
      <c r="G4" s="71"/>
      <c r="H4" s="71"/>
      <c r="I4" s="31">
        <v>1</v>
      </c>
      <c r="J4" s="31">
        <v>51</v>
      </c>
      <c r="K4" s="186">
        <f t="shared" ref="K4:K19" si="0">I4*J4</f>
        <v>51</v>
      </c>
      <c r="L4" s="26" t="s">
        <v>201</v>
      </c>
      <c r="M4" s="26" t="s">
        <v>201</v>
      </c>
      <c r="N4" s="95" t="s">
        <v>99</v>
      </c>
      <c r="O4" s="95" t="s">
        <v>99</v>
      </c>
      <c r="P4" s="48"/>
      <c r="Q4" s="47"/>
    </row>
    <row r="5" spans="2:17" ht="19">
      <c r="B5" s="88"/>
      <c r="C5" s="31">
        <v>3</v>
      </c>
      <c r="D5" s="53" t="s">
        <v>14</v>
      </c>
      <c r="E5" s="31" t="s">
        <v>74</v>
      </c>
      <c r="F5" s="71"/>
      <c r="G5" s="71"/>
      <c r="H5" s="71"/>
      <c r="I5" s="31">
        <v>1</v>
      </c>
      <c r="J5" s="31">
        <v>51</v>
      </c>
      <c r="K5" s="186">
        <f t="shared" si="0"/>
        <v>51</v>
      </c>
      <c r="L5" s="26" t="s">
        <v>201</v>
      </c>
      <c r="M5" s="26" t="s">
        <v>201</v>
      </c>
      <c r="N5" s="95" t="s">
        <v>99</v>
      </c>
      <c r="O5" s="95" t="s">
        <v>99</v>
      </c>
      <c r="P5" s="48"/>
      <c r="Q5" s="47"/>
    </row>
    <row r="6" spans="2:17" ht="19">
      <c r="B6" s="88"/>
      <c r="C6" s="31">
        <v>4</v>
      </c>
      <c r="D6" s="53" t="s">
        <v>75</v>
      </c>
      <c r="E6" s="31" t="s">
        <v>76</v>
      </c>
      <c r="F6" s="71"/>
      <c r="G6" s="71"/>
      <c r="H6" s="71"/>
      <c r="I6" s="31">
        <v>1</v>
      </c>
      <c r="J6" s="31">
        <v>60</v>
      </c>
      <c r="K6" s="186">
        <f t="shared" si="0"/>
        <v>60</v>
      </c>
      <c r="L6" s="26">
        <v>185000</v>
      </c>
      <c r="M6" s="25">
        <f t="shared" ref="M6:M8" si="1">I6*J6*L6</f>
        <v>11100000</v>
      </c>
      <c r="N6" s="113" t="s">
        <v>157</v>
      </c>
      <c r="O6" s="113" t="s">
        <v>161</v>
      </c>
      <c r="P6" s="48"/>
      <c r="Q6" s="55" t="s">
        <v>117</v>
      </c>
    </row>
    <row r="7" spans="2:17" ht="19">
      <c r="B7" s="88"/>
      <c r="C7" s="31">
        <v>5</v>
      </c>
      <c r="D7" s="53" t="s">
        <v>77</v>
      </c>
      <c r="E7" s="31" t="s">
        <v>78</v>
      </c>
      <c r="F7" s="71"/>
      <c r="G7" s="71"/>
      <c r="H7" s="71"/>
      <c r="I7" s="31">
        <v>1</v>
      </c>
      <c r="J7" s="31">
        <v>51</v>
      </c>
      <c r="K7" s="186">
        <f t="shared" si="0"/>
        <v>51</v>
      </c>
      <c r="L7" s="26" t="s">
        <v>201</v>
      </c>
      <c r="M7" s="26" t="s">
        <v>201</v>
      </c>
      <c r="N7" s="95" t="s">
        <v>99</v>
      </c>
      <c r="O7" s="95" t="s">
        <v>99</v>
      </c>
      <c r="P7" s="48"/>
      <c r="Q7" s="47"/>
    </row>
    <row r="8" spans="2:17" ht="19">
      <c r="B8" s="88"/>
      <c r="C8" s="31">
        <v>6</v>
      </c>
      <c r="D8" s="61" t="s">
        <v>79</v>
      </c>
      <c r="E8" s="33" t="s">
        <v>92</v>
      </c>
      <c r="F8" s="71"/>
      <c r="G8" s="71"/>
      <c r="H8" s="71"/>
      <c r="I8" s="31">
        <v>1</v>
      </c>
      <c r="J8" s="31">
        <v>51</v>
      </c>
      <c r="K8" s="186">
        <f t="shared" si="0"/>
        <v>51</v>
      </c>
      <c r="L8" s="26">
        <v>923923</v>
      </c>
      <c r="M8" s="25">
        <f t="shared" si="1"/>
        <v>47120073</v>
      </c>
      <c r="N8" s="100" t="s">
        <v>227</v>
      </c>
      <c r="O8" s="100" t="s">
        <v>227</v>
      </c>
      <c r="P8" s="48"/>
      <c r="Q8" s="47"/>
    </row>
    <row r="9" spans="2:17" ht="19">
      <c r="B9" s="88"/>
      <c r="C9" s="31"/>
      <c r="D9" s="62" t="s">
        <v>206</v>
      </c>
      <c r="E9" s="33" t="s">
        <v>201</v>
      </c>
      <c r="F9" s="71"/>
      <c r="G9" s="71"/>
      <c r="H9" s="71"/>
      <c r="I9" s="31">
        <v>1</v>
      </c>
      <c r="J9" s="31">
        <v>70</v>
      </c>
      <c r="K9" s="186">
        <f t="shared" si="0"/>
        <v>70</v>
      </c>
      <c r="L9" s="85">
        <v>327</v>
      </c>
      <c r="M9" s="85">
        <f>L9*(J9*I9)</f>
        <v>22890</v>
      </c>
      <c r="N9" s="113" t="s">
        <v>102</v>
      </c>
      <c r="O9" s="113" t="s">
        <v>181</v>
      </c>
      <c r="P9" s="48"/>
      <c r="Q9" s="56" t="s">
        <v>205</v>
      </c>
    </row>
    <row r="10" spans="2:17" ht="19">
      <c r="B10" s="88"/>
      <c r="C10" s="31"/>
      <c r="D10" s="63" t="s">
        <v>207</v>
      </c>
      <c r="E10" s="33" t="s">
        <v>201</v>
      </c>
      <c r="F10" s="71"/>
      <c r="G10" s="71"/>
      <c r="H10" s="71"/>
      <c r="I10" s="31">
        <v>1</v>
      </c>
      <c r="J10" s="31">
        <v>70</v>
      </c>
      <c r="K10" s="186">
        <f t="shared" si="0"/>
        <v>70</v>
      </c>
      <c r="L10" s="85">
        <v>40.6</v>
      </c>
      <c r="M10" s="85">
        <f>L10*(J10*I10)</f>
        <v>2842</v>
      </c>
      <c r="N10" s="113" t="s">
        <v>102</v>
      </c>
      <c r="O10" s="113" t="s">
        <v>181</v>
      </c>
      <c r="P10" s="48"/>
      <c r="Q10" s="56" t="s">
        <v>205</v>
      </c>
    </row>
    <row r="11" spans="2:17" ht="19">
      <c r="B11" s="88"/>
      <c r="C11" s="31"/>
      <c r="D11" s="64" t="s">
        <v>204</v>
      </c>
      <c r="E11" s="34" t="s">
        <v>201</v>
      </c>
      <c r="F11" s="89"/>
      <c r="G11" s="89"/>
      <c r="H11" s="89"/>
      <c r="I11" s="41">
        <v>1</v>
      </c>
      <c r="J11" s="41">
        <v>70</v>
      </c>
      <c r="K11" s="186">
        <f t="shared" si="0"/>
        <v>70</v>
      </c>
      <c r="L11" s="87">
        <v>36000</v>
      </c>
      <c r="M11" s="87">
        <f>L11*(J11*I11)</f>
        <v>2520000</v>
      </c>
      <c r="N11" s="36" t="s">
        <v>202</v>
      </c>
      <c r="O11" s="36" t="s">
        <v>202</v>
      </c>
      <c r="P11" s="41"/>
      <c r="Q11" s="52"/>
    </row>
    <row r="12" spans="2:17" ht="19">
      <c r="B12" s="88"/>
      <c r="C12" s="31">
        <v>7</v>
      </c>
      <c r="D12" s="53" t="s">
        <v>21</v>
      </c>
      <c r="E12" s="31" t="s">
        <v>80</v>
      </c>
      <c r="F12" s="71"/>
      <c r="G12" s="71"/>
      <c r="H12" s="71"/>
      <c r="I12" s="31">
        <v>1</v>
      </c>
      <c r="J12" s="31">
        <v>60</v>
      </c>
      <c r="K12" s="186">
        <f t="shared" si="0"/>
        <v>60</v>
      </c>
      <c r="L12" s="26">
        <v>112000</v>
      </c>
      <c r="M12" s="25">
        <f t="shared" ref="M12:M18" si="2">I12*J12*L12</f>
        <v>6720000</v>
      </c>
      <c r="N12" s="95" t="s">
        <v>100</v>
      </c>
      <c r="O12" s="95" t="s">
        <v>100</v>
      </c>
      <c r="P12" s="48"/>
      <c r="Q12" s="47"/>
    </row>
    <row r="13" spans="2:17" ht="19">
      <c r="B13" s="88"/>
      <c r="C13" s="31">
        <v>8</v>
      </c>
      <c r="D13" s="53" t="s">
        <v>81</v>
      </c>
      <c r="E13" s="31" t="s">
        <v>43</v>
      </c>
      <c r="F13" s="71"/>
      <c r="G13" s="71"/>
      <c r="H13" s="71"/>
      <c r="I13" s="31">
        <v>1</v>
      </c>
      <c r="J13" s="31">
        <v>55</v>
      </c>
      <c r="K13" s="186">
        <f t="shared" si="0"/>
        <v>55</v>
      </c>
      <c r="L13" s="26">
        <v>2800</v>
      </c>
      <c r="M13" s="25">
        <f t="shared" si="2"/>
        <v>154000</v>
      </c>
      <c r="N13" s="98" t="s">
        <v>158</v>
      </c>
      <c r="O13" s="98" t="s">
        <v>159</v>
      </c>
      <c r="P13" s="48"/>
      <c r="Q13" s="47"/>
    </row>
    <row r="14" spans="2:17" ht="19">
      <c r="B14" s="88"/>
      <c r="C14" s="31">
        <v>9</v>
      </c>
      <c r="D14" s="53" t="s">
        <v>24</v>
      </c>
      <c r="E14" s="31" t="s">
        <v>45</v>
      </c>
      <c r="F14" s="71"/>
      <c r="G14" s="71"/>
      <c r="H14" s="71"/>
      <c r="I14" s="31">
        <v>1</v>
      </c>
      <c r="J14" s="31">
        <v>55</v>
      </c>
      <c r="K14" s="186">
        <f t="shared" si="0"/>
        <v>55</v>
      </c>
      <c r="L14" s="26">
        <v>350</v>
      </c>
      <c r="M14" s="25">
        <f t="shared" si="2"/>
        <v>19250</v>
      </c>
      <c r="N14" s="98" t="s">
        <v>158</v>
      </c>
      <c r="O14" s="98" t="s">
        <v>159</v>
      </c>
      <c r="P14" s="48"/>
      <c r="Q14" s="47"/>
    </row>
    <row r="15" spans="2:17" ht="19">
      <c r="B15" s="88"/>
      <c r="C15" s="31">
        <v>10</v>
      </c>
      <c r="D15" s="53" t="s">
        <v>25</v>
      </c>
      <c r="E15" s="31" t="s">
        <v>46</v>
      </c>
      <c r="F15" s="71"/>
      <c r="G15" s="71"/>
      <c r="H15" s="71"/>
      <c r="I15" s="31">
        <v>4</v>
      </c>
      <c r="J15" s="31">
        <v>51</v>
      </c>
      <c r="K15" s="186">
        <f t="shared" si="0"/>
        <v>204</v>
      </c>
      <c r="L15" s="26">
        <v>32300</v>
      </c>
      <c r="M15" s="25">
        <f t="shared" si="2"/>
        <v>6589200</v>
      </c>
      <c r="N15" s="98" t="s">
        <v>158</v>
      </c>
      <c r="O15" s="98" t="s">
        <v>160</v>
      </c>
      <c r="P15" s="48"/>
      <c r="Q15" s="47" t="s">
        <v>233</v>
      </c>
    </row>
    <row r="16" spans="2:17" ht="19">
      <c r="B16" s="88"/>
      <c r="C16" s="31">
        <v>11</v>
      </c>
      <c r="D16" s="53" t="s">
        <v>26</v>
      </c>
      <c r="E16" s="31" t="s">
        <v>47</v>
      </c>
      <c r="F16" s="71"/>
      <c r="G16" s="71"/>
      <c r="H16" s="71"/>
      <c r="I16" s="31">
        <v>16</v>
      </c>
      <c r="J16" s="31">
        <v>51</v>
      </c>
      <c r="K16" s="186">
        <f t="shared" si="0"/>
        <v>816</v>
      </c>
      <c r="L16" s="26">
        <v>1300</v>
      </c>
      <c r="M16" s="25">
        <f t="shared" si="2"/>
        <v>1060800</v>
      </c>
      <c r="N16" s="98" t="s">
        <v>158</v>
      </c>
      <c r="O16" s="98" t="s">
        <v>160</v>
      </c>
      <c r="P16" s="48"/>
      <c r="Q16" s="47"/>
    </row>
    <row r="17" spans="2:17" ht="19">
      <c r="B17" s="88"/>
      <c r="C17" s="31">
        <v>12</v>
      </c>
      <c r="D17" s="53" t="s">
        <v>82</v>
      </c>
      <c r="E17" s="31" t="s">
        <v>83</v>
      </c>
      <c r="F17" s="71"/>
      <c r="G17" s="71"/>
      <c r="H17" s="71"/>
      <c r="I17" s="31">
        <v>2</v>
      </c>
      <c r="J17" s="31">
        <v>55</v>
      </c>
      <c r="K17" s="186">
        <f t="shared" si="0"/>
        <v>110</v>
      </c>
      <c r="L17" s="26">
        <v>1000</v>
      </c>
      <c r="M17" s="25">
        <f t="shared" si="2"/>
        <v>110000</v>
      </c>
      <c r="N17" s="98" t="s">
        <v>158</v>
      </c>
      <c r="O17" s="98" t="s">
        <v>167</v>
      </c>
      <c r="P17" s="48"/>
      <c r="Q17" s="47"/>
    </row>
    <row r="18" spans="2:17" ht="19">
      <c r="B18" s="88"/>
      <c r="C18" s="31">
        <v>13</v>
      </c>
      <c r="D18" s="53" t="s">
        <v>84</v>
      </c>
      <c r="E18" s="31" t="s">
        <v>242</v>
      </c>
      <c r="F18" s="71"/>
      <c r="G18" s="71"/>
      <c r="H18" s="71"/>
      <c r="I18" s="31">
        <v>1</v>
      </c>
      <c r="J18" s="31">
        <v>55</v>
      </c>
      <c r="K18" s="186">
        <f t="shared" si="0"/>
        <v>55</v>
      </c>
      <c r="L18" s="26">
        <v>28900</v>
      </c>
      <c r="M18" s="25">
        <f t="shared" si="2"/>
        <v>1589500</v>
      </c>
      <c r="N18" s="103" t="s">
        <v>158</v>
      </c>
      <c r="O18" s="103" t="s">
        <v>168</v>
      </c>
      <c r="P18" s="48"/>
      <c r="Q18" s="47"/>
    </row>
    <row r="19" spans="2:17" ht="19">
      <c r="B19" s="88"/>
      <c r="C19" s="31">
        <v>14</v>
      </c>
      <c r="D19" s="53" t="s">
        <v>85</v>
      </c>
      <c r="E19" s="31" t="s">
        <v>86</v>
      </c>
      <c r="F19" s="71"/>
      <c r="G19" s="71"/>
      <c r="H19" s="71"/>
      <c r="I19" s="31">
        <v>1</v>
      </c>
      <c r="J19" s="31">
        <v>51</v>
      </c>
      <c r="K19" s="186">
        <f t="shared" si="0"/>
        <v>51</v>
      </c>
      <c r="L19" s="26" t="s">
        <v>201</v>
      </c>
      <c r="M19" s="25" t="s">
        <v>201</v>
      </c>
      <c r="N19" s="95" t="s">
        <v>201</v>
      </c>
      <c r="O19" s="95" t="s">
        <v>201</v>
      </c>
      <c r="P19" s="48"/>
      <c r="Q19" s="47"/>
    </row>
    <row r="23" spans="2:17">
      <c r="B23" s="245" t="s">
        <v>188</v>
      </c>
      <c r="C23" s="38">
        <v>1</v>
      </c>
      <c r="D23" s="38" t="s">
        <v>144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152"/>
    </row>
    <row r="24" spans="2:17">
      <c r="B24" s="246"/>
      <c r="C24" s="38">
        <v>3</v>
      </c>
      <c r="D24" s="38" t="s">
        <v>118</v>
      </c>
      <c r="E24" s="38" t="s">
        <v>145</v>
      </c>
      <c r="F24" s="38"/>
      <c r="G24" s="38"/>
      <c r="H24" s="38"/>
      <c r="I24" s="38">
        <v>4</v>
      </c>
      <c r="J24" s="38">
        <v>55</v>
      </c>
      <c r="K24" s="185">
        <f>I24*J24</f>
        <v>220</v>
      </c>
      <c r="L24" s="26">
        <v>60</v>
      </c>
      <c r="M24" s="28">
        <f t="shared" ref="M24:M33" si="3">I24*J24*L24</f>
        <v>13200</v>
      </c>
      <c r="N24" s="27" t="s">
        <v>158</v>
      </c>
      <c r="O24" s="27"/>
      <c r="P24" s="38"/>
      <c r="Q24" s="152"/>
    </row>
    <row r="25" spans="2:17" ht="19">
      <c r="B25" s="246"/>
      <c r="C25" s="38">
        <v>4</v>
      </c>
      <c r="D25" s="54" t="s">
        <v>146</v>
      </c>
      <c r="E25" s="54" t="s">
        <v>155</v>
      </c>
      <c r="F25" s="54"/>
      <c r="G25" s="54"/>
      <c r="H25" s="54"/>
      <c r="I25" s="54">
        <v>32</v>
      </c>
      <c r="J25" s="54">
        <v>55</v>
      </c>
      <c r="K25" s="185">
        <f t="shared" ref="K25:K33" si="4">I25*J25</f>
        <v>1760</v>
      </c>
      <c r="L25" s="26"/>
      <c r="M25" s="37">
        <f t="shared" si="3"/>
        <v>0</v>
      </c>
      <c r="N25" s="54" t="s">
        <v>158</v>
      </c>
      <c r="O25" s="54"/>
      <c r="P25" s="54"/>
      <c r="Q25" s="153" t="s">
        <v>222</v>
      </c>
    </row>
    <row r="26" spans="2:17">
      <c r="B26" s="246"/>
      <c r="C26" s="38">
        <v>5</v>
      </c>
      <c r="D26" s="38" t="s">
        <v>147</v>
      </c>
      <c r="E26" s="38" t="s">
        <v>148</v>
      </c>
      <c r="F26" s="38"/>
      <c r="G26" s="38"/>
      <c r="H26" s="38"/>
      <c r="I26" s="38">
        <v>1</v>
      </c>
      <c r="J26" s="38">
        <v>55</v>
      </c>
      <c r="K26" s="185">
        <f t="shared" si="4"/>
        <v>55</v>
      </c>
      <c r="L26" s="26">
        <v>80</v>
      </c>
      <c r="M26" s="28">
        <f t="shared" si="3"/>
        <v>4400</v>
      </c>
      <c r="N26" s="27" t="s">
        <v>158</v>
      </c>
      <c r="O26" s="27"/>
      <c r="P26" s="38"/>
      <c r="Q26" s="152"/>
    </row>
    <row r="27" spans="2:17">
      <c r="B27" s="246"/>
      <c r="C27" s="38">
        <v>6</v>
      </c>
      <c r="D27" s="38" t="s">
        <v>146</v>
      </c>
      <c r="E27" s="38" t="s">
        <v>149</v>
      </c>
      <c r="F27" s="38"/>
      <c r="G27" s="38"/>
      <c r="H27" s="38"/>
      <c r="I27" s="38">
        <v>2</v>
      </c>
      <c r="J27" s="38">
        <v>55</v>
      </c>
      <c r="K27" s="185">
        <f t="shared" si="4"/>
        <v>110</v>
      </c>
      <c r="L27" s="26">
        <v>25</v>
      </c>
      <c r="M27" s="28">
        <f t="shared" si="3"/>
        <v>2750</v>
      </c>
      <c r="N27" s="27" t="s">
        <v>158</v>
      </c>
      <c r="O27" s="27"/>
      <c r="P27" s="38"/>
      <c r="Q27" s="152"/>
    </row>
    <row r="28" spans="2:17">
      <c r="B28" s="246"/>
      <c r="C28" s="38">
        <v>7</v>
      </c>
      <c r="D28" s="38" t="s">
        <v>147</v>
      </c>
      <c r="E28" s="38" t="s">
        <v>150</v>
      </c>
      <c r="F28" s="38"/>
      <c r="G28" s="38"/>
      <c r="H28" s="38"/>
      <c r="I28" s="38">
        <v>1</v>
      </c>
      <c r="J28" s="38">
        <v>55</v>
      </c>
      <c r="K28" s="185">
        <f t="shared" si="4"/>
        <v>55</v>
      </c>
      <c r="L28" s="26">
        <v>60</v>
      </c>
      <c r="M28" s="28">
        <f t="shared" si="3"/>
        <v>3300</v>
      </c>
      <c r="N28" s="27" t="s">
        <v>158</v>
      </c>
      <c r="O28" s="27"/>
      <c r="P28" s="38"/>
      <c r="Q28" s="152"/>
    </row>
    <row r="29" spans="2:17">
      <c r="B29" s="246"/>
      <c r="C29" s="38">
        <v>8</v>
      </c>
      <c r="D29" s="38" t="s">
        <v>146</v>
      </c>
      <c r="E29" s="38" t="s">
        <v>151</v>
      </c>
      <c r="F29" s="38"/>
      <c r="G29" s="38"/>
      <c r="H29" s="38"/>
      <c r="I29" s="38">
        <v>13</v>
      </c>
      <c r="J29" s="38">
        <v>55</v>
      </c>
      <c r="K29" s="185">
        <f t="shared" si="4"/>
        <v>715</v>
      </c>
      <c r="L29" s="26">
        <v>25</v>
      </c>
      <c r="M29" s="28">
        <f t="shared" si="3"/>
        <v>17875</v>
      </c>
      <c r="N29" s="27" t="s">
        <v>158</v>
      </c>
      <c r="O29" s="27"/>
      <c r="P29" s="38"/>
      <c r="Q29" s="152"/>
    </row>
    <row r="30" spans="2:17">
      <c r="B30" s="246"/>
      <c r="C30" s="38">
        <v>9</v>
      </c>
      <c r="D30" s="38" t="s">
        <v>147</v>
      </c>
      <c r="E30" s="38" t="s">
        <v>152</v>
      </c>
      <c r="F30" s="38"/>
      <c r="G30" s="38"/>
      <c r="H30" s="38"/>
      <c r="I30" s="38">
        <v>1</v>
      </c>
      <c r="J30" s="38">
        <v>55</v>
      </c>
      <c r="K30" s="185">
        <f t="shared" si="4"/>
        <v>55</v>
      </c>
      <c r="L30" s="26">
        <v>45</v>
      </c>
      <c r="M30" s="28">
        <f t="shared" si="3"/>
        <v>2475</v>
      </c>
      <c r="N30" s="27" t="s">
        <v>158</v>
      </c>
      <c r="O30" s="27"/>
      <c r="P30" s="38"/>
      <c r="Q30" s="152"/>
    </row>
    <row r="31" spans="2:17" ht="19">
      <c r="B31" s="246"/>
      <c r="C31" s="38">
        <v>10</v>
      </c>
      <c r="D31" s="54" t="s">
        <v>147</v>
      </c>
      <c r="E31" s="54" t="s">
        <v>153</v>
      </c>
      <c r="F31" s="54"/>
      <c r="G31" s="54"/>
      <c r="H31" s="54"/>
      <c r="I31" s="54">
        <v>1</v>
      </c>
      <c r="J31" s="54">
        <v>55</v>
      </c>
      <c r="K31" s="185">
        <f t="shared" si="4"/>
        <v>55</v>
      </c>
      <c r="L31" s="26">
        <v>40</v>
      </c>
      <c r="M31" s="37">
        <f t="shared" si="3"/>
        <v>2200</v>
      </c>
      <c r="N31" s="54" t="s">
        <v>158</v>
      </c>
      <c r="O31" s="54"/>
      <c r="P31" s="54"/>
      <c r="Q31" s="153" t="s">
        <v>222</v>
      </c>
    </row>
    <row r="32" spans="2:17" ht="19">
      <c r="B32" s="246"/>
      <c r="C32" s="38">
        <v>11</v>
      </c>
      <c r="D32" s="54" t="s">
        <v>146</v>
      </c>
      <c r="E32" s="54" t="s">
        <v>154</v>
      </c>
      <c r="F32" s="54"/>
      <c r="G32" s="54"/>
      <c r="H32" s="54"/>
      <c r="I32" s="54">
        <v>2</v>
      </c>
      <c r="J32" s="54">
        <v>55</v>
      </c>
      <c r="K32" s="185">
        <f t="shared" si="4"/>
        <v>110</v>
      </c>
      <c r="L32" s="26"/>
      <c r="M32" s="37">
        <f t="shared" si="3"/>
        <v>0</v>
      </c>
      <c r="N32" s="54" t="s">
        <v>158</v>
      </c>
      <c r="O32" s="54"/>
      <c r="P32" s="54"/>
      <c r="Q32" s="153" t="s">
        <v>222</v>
      </c>
    </row>
    <row r="33" spans="2:17" ht="19">
      <c r="B33" s="246"/>
      <c r="C33" s="38">
        <v>12</v>
      </c>
      <c r="D33" s="54" t="s">
        <v>198</v>
      </c>
      <c r="E33" s="54" t="s">
        <v>243</v>
      </c>
      <c r="F33" s="54"/>
      <c r="G33" s="54"/>
      <c r="H33" s="54"/>
      <c r="I33" s="54">
        <v>1</v>
      </c>
      <c r="J33" s="54">
        <v>55</v>
      </c>
      <c r="K33" s="185">
        <f t="shared" si="4"/>
        <v>55</v>
      </c>
      <c r="L33" s="26">
        <v>4800</v>
      </c>
      <c r="M33" s="37">
        <f t="shared" si="3"/>
        <v>264000</v>
      </c>
      <c r="N33" s="54" t="s">
        <v>158</v>
      </c>
      <c r="O33" s="54"/>
      <c r="P33" s="54"/>
      <c r="Q33" s="153" t="s">
        <v>222</v>
      </c>
    </row>
    <row r="34" spans="2:17">
      <c r="M34" s="29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E1CF-49C9-4034-AEBD-EC37DD3DAF56}">
  <dimension ref="A1"/>
  <sheetViews>
    <sheetView workbookViewId="0">
      <selection activeCell="B3" sqref="B3"/>
    </sheetView>
  </sheetViews>
  <sheetFormatPr baseColWidth="10" defaultColWidth="9" defaultRowHeight="1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BOM list</vt:lpstr>
      <vt:lpstr>MOP</vt:lpstr>
      <vt:lpstr>MSR</vt:lpstr>
      <vt:lpstr>CTM</vt:lpstr>
      <vt:lpstr>부자재list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2025-12-28T00:40:11Z</dcterms:modified>
</cp:coreProperties>
</file>
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JDS_BU/Git_Hub/GIC_HONGKONG/"/>
    </mc:Choice>
  </mc:AlternateContent>
  <xr:revisionPtr revIDLastSave="0" documentId="13_ncr:1_{76DF7AE0-43D6-8844-A8BA-B5CC728850A3}" xr6:coauthVersionLast="47" xr6:coauthVersionMax="47" xr10:uidLastSave="{00000000-0000-0000-0000-000000000000}"/>
  <bookViews>
    <workbookView xWindow="7220" yWindow="900" windowWidth="33900" windowHeight="24360" xr2:uid="{00000000-000D-0000-FFFF-FFFF00000000}"/>
  </bookViews>
  <sheets>
    <sheet name="BOM_list" sheetId="1" r:id="rId1"/>
    <sheet name="MOP" sheetId="3" r:id="rId2"/>
    <sheet name="MSR" sheetId="4" r:id="rId3"/>
    <sheet name="CTM" sheetId="5" r:id="rId4"/>
  </sheets>
  <definedNames>
    <definedName name="_xlnm._FilterDatabase" localSheetId="0" hidden="1">BOM_list!$B$2:$M$95</definedName>
    <definedName name="_xlnm._FilterDatabase" localSheetId="1" hidden="1">MOP!$B$1:$Q$1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" i="3" l="1"/>
  <c r="K29" i="3"/>
  <c r="K28" i="3"/>
  <c r="H10" i="1"/>
  <c r="H11" i="1"/>
  <c r="H12" i="1"/>
  <c r="G12" i="1"/>
  <c r="G11" i="1"/>
  <c r="G10" i="1"/>
  <c r="F12" i="1"/>
  <c r="F11" i="1"/>
  <c r="F10" i="1"/>
  <c r="E12" i="1"/>
  <c r="E11" i="1"/>
  <c r="E10" i="1"/>
  <c r="D13" i="1"/>
  <c r="D12" i="1"/>
  <c r="D11" i="1"/>
  <c r="D10" i="1"/>
  <c r="M19" i="3"/>
  <c r="K25" i="5" l="1"/>
  <c r="K26" i="5"/>
  <c r="K27" i="5"/>
  <c r="K28" i="5"/>
  <c r="K29" i="5"/>
  <c r="K30" i="5"/>
  <c r="K31" i="5"/>
  <c r="K32" i="5"/>
  <c r="K33" i="5"/>
  <c r="K24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3" i="5"/>
  <c r="K23" i="4"/>
  <c r="K24" i="4"/>
  <c r="K25" i="4"/>
  <c r="K27" i="4"/>
  <c r="K28" i="4"/>
  <c r="K29" i="4"/>
  <c r="K30" i="4"/>
  <c r="K32" i="4"/>
  <c r="K33" i="4"/>
  <c r="K34" i="4"/>
  <c r="K36" i="4"/>
  <c r="K37" i="4"/>
  <c r="K38" i="4"/>
  <c r="K39" i="4"/>
  <c r="K40" i="4"/>
  <c r="K41" i="4"/>
  <c r="K22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3" i="4"/>
  <c r="M11" i="3"/>
  <c r="I12" i="1" s="1"/>
  <c r="K11" i="3"/>
  <c r="M10" i="3"/>
  <c r="I11" i="1" s="1"/>
  <c r="K10" i="3"/>
  <c r="M9" i="3"/>
  <c r="I10" i="1" s="1"/>
  <c r="K9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33" i="3"/>
  <c r="K4" i="3"/>
  <c r="K5" i="3"/>
  <c r="K6" i="3"/>
  <c r="K7" i="3"/>
  <c r="K8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30" i="3"/>
  <c r="K3" i="3"/>
  <c r="M17" i="4"/>
  <c r="M15" i="3"/>
  <c r="M16" i="3"/>
  <c r="M6" i="5"/>
  <c r="M8" i="5"/>
  <c r="M13" i="4"/>
  <c r="Q47" i="4"/>
  <c r="M4" i="4"/>
  <c r="I33" i="1" s="1"/>
  <c r="M5" i="4"/>
  <c r="I34" i="1" s="1"/>
  <c r="M6" i="4"/>
  <c r="I35" i="1" s="1"/>
  <c r="M7" i="4"/>
  <c r="I36" i="1" s="1"/>
  <c r="M8" i="4"/>
  <c r="I37" i="1" s="1"/>
  <c r="M9" i="4"/>
  <c r="I38" i="1" s="1"/>
  <c r="H94" i="1"/>
  <c r="G94" i="1"/>
  <c r="F94" i="1"/>
  <c r="E94" i="1"/>
  <c r="D94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D66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E50" i="1"/>
  <c r="D50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32" i="1"/>
  <c r="F24" i="1"/>
  <c r="G5" i="1"/>
  <c r="G6" i="1"/>
  <c r="G7" i="1"/>
  <c r="G8" i="1"/>
  <c r="G9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4" i="1"/>
  <c r="F5" i="1"/>
  <c r="F6" i="1"/>
  <c r="F7" i="1"/>
  <c r="F8" i="1"/>
  <c r="F9" i="1"/>
  <c r="F13" i="1"/>
  <c r="F14" i="1"/>
  <c r="F15" i="1"/>
  <c r="F16" i="1"/>
  <c r="F17" i="1"/>
  <c r="F18" i="1"/>
  <c r="F19" i="1"/>
  <c r="F20" i="1"/>
  <c r="F21" i="1"/>
  <c r="F22" i="1"/>
  <c r="F23" i="1"/>
  <c r="F25" i="1"/>
  <c r="F26" i="1"/>
  <c r="F27" i="1"/>
  <c r="F28" i="1"/>
  <c r="F4" i="1"/>
  <c r="E5" i="1"/>
  <c r="E6" i="1"/>
  <c r="E7" i="1"/>
  <c r="E8" i="1"/>
  <c r="E9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4" i="1"/>
  <c r="D5" i="1"/>
  <c r="D6" i="1"/>
  <c r="D7" i="1"/>
  <c r="D8" i="1"/>
  <c r="D9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4" i="1"/>
  <c r="I92" i="1"/>
  <c r="H95" i="1"/>
  <c r="I15" i="1"/>
  <c r="I66" i="1"/>
  <c r="H66" i="1"/>
  <c r="I95" i="1"/>
  <c r="H41" i="1" l="1"/>
  <c r="H40" i="1"/>
  <c r="H39" i="1"/>
  <c r="M12" i="4"/>
  <c r="I41" i="1" s="1"/>
  <c r="M11" i="4"/>
  <c r="I40" i="1" s="1"/>
  <c r="M10" i="4"/>
  <c r="I39" i="1" s="1"/>
  <c r="M11" i="5"/>
  <c r="I58" i="1" s="1"/>
  <c r="M10" i="5"/>
  <c r="I57" i="1" s="1"/>
  <c r="M9" i="5"/>
  <c r="I56" i="1" s="1"/>
  <c r="H58" i="1"/>
  <c r="H57" i="1"/>
  <c r="H56" i="1"/>
  <c r="I45" i="1"/>
  <c r="H46" i="1"/>
  <c r="I46" i="1"/>
  <c r="I65" i="1"/>
  <c r="I52" i="1"/>
  <c r="I51" i="1"/>
  <c r="H60" i="1"/>
  <c r="H61" i="1"/>
  <c r="H62" i="1"/>
  <c r="H63" i="1"/>
  <c r="H64" i="1"/>
  <c r="H65" i="1"/>
  <c r="H59" i="1"/>
  <c r="H55" i="1"/>
  <c r="H51" i="1"/>
  <c r="H52" i="1"/>
  <c r="H53" i="1"/>
  <c r="H54" i="1"/>
  <c r="H50" i="1"/>
  <c r="M25" i="5"/>
  <c r="M26" i="5"/>
  <c r="M27" i="5"/>
  <c r="M28" i="5"/>
  <c r="M29" i="5"/>
  <c r="M30" i="5"/>
  <c r="M31" i="5"/>
  <c r="M32" i="5"/>
  <c r="M33" i="5"/>
  <c r="M24" i="5"/>
  <c r="I53" i="1"/>
  <c r="M12" i="5"/>
  <c r="I59" i="1" s="1"/>
  <c r="M13" i="5"/>
  <c r="I60" i="1" s="1"/>
  <c r="M14" i="5"/>
  <c r="I61" i="1" s="1"/>
  <c r="M15" i="5"/>
  <c r="I62" i="1" s="1"/>
  <c r="M16" i="5"/>
  <c r="I63" i="1" s="1"/>
  <c r="M17" i="5"/>
  <c r="I64" i="1" s="1"/>
  <c r="M18" i="5"/>
  <c r="M3" i="5"/>
  <c r="I50" i="1" s="1"/>
  <c r="I42" i="1"/>
  <c r="H33" i="1"/>
  <c r="H34" i="1"/>
  <c r="H35" i="1"/>
  <c r="H36" i="1"/>
  <c r="H37" i="1"/>
  <c r="H42" i="1"/>
  <c r="H43" i="1"/>
  <c r="H44" i="1"/>
  <c r="H45" i="1"/>
  <c r="H32" i="1"/>
  <c r="M22" i="4"/>
  <c r="M23" i="4"/>
  <c r="M24" i="4"/>
  <c r="M25" i="4"/>
  <c r="M27" i="4"/>
  <c r="M28" i="4"/>
  <c r="M29" i="4"/>
  <c r="M30" i="4"/>
  <c r="M32" i="4"/>
  <c r="M33" i="4"/>
  <c r="M34" i="4"/>
  <c r="M36" i="4"/>
  <c r="M37" i="4"/>
  <c r="M38" i="4"/>
  <c r="M39" i="4"/>
  <c r="M40" i="4"/>
  <c r="M41" i="4"/>
  <c r="M14" i="4"/>
  <c r="I43" i="1" s="1"/>
  <c r="M15" i="4"/>
  <c r="I44" i="1" s="1"/>
  <c r="M3" i="4"/>
  <c r="I32" i="1" s="1"/>
  <c r="I5" i="1"/>
  <c r="I6" i="1"/>
  <c r="I7" i="1"/>
  <c r="I8" i="1"/>
  <c r="I9" i="1"/>
  <c r="I16" i="1"/>
  <c r="I17" i="1"/>
  <c r="I20" i="1"/>
  <c r="I27" i="1"/>
  <c r="H5" i="1"/>
  <c r="H6" i="1"/>
  <c r="H7" i="1"/>
  <c r="H8" i="1"/>
  <c r="H9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4" i="1"/>
  <c r="M34" i="5" l="1"/>
  <c r="I68" i="1" s="1"/>
  <c r="M42" i="4"/>
  <c r="I48" i="1" s="1"/>
  <c r="L51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 l="1"/>
  <c r="I30" i="1" s="1"/>
  <c r="I90" i="1"/>
  <c r="I89" i="1"/>
  <c r="I88" i="1"/>
  <c r="M12" i="3"/>
  <c r="I13" i="1" s="1"/>
  <c r="M13" i="3"/>
  <c r="M17" i="3"/>
  <c r="I18" i="1" s="1"/>
  <c r="M18" i="3"/>
  <c r="I19" i="1" s="1"/>
  <c r="M20" i="3"/>
  <c r="I21" i="1" s="1"/>
  <c r="M21" i="3"/>
  <c r="I22" i="1" s="1"/>
  <c r="M22" i="3"/>
  <c r="I23" i="1" s="1"/>
  <c r="M23" i="3"/>
  <c r="I24" i="1" s="1"/>
  <c r="M24" i="3"/>
  <c r="I25" i="1" s="1"/>
  <c r="M25" i="3"/>
  <c r="I26" i="1" s="1"/>
  <c r="M27" i="3"/>
  <c r="I28" i="1" s="1"/>
  <c r="M3" i="3"/>
  <c r="I4" i="1" s="1"/>
  <c r="I14" i="1" l="1"/>
  <c r="I94" i="1"/>
</calcChain>
</file>

<file path=xl/sharedStrings.xml><?xml version="1.0" encoding="utf-8"?>
<sst xmlns="http://schemas.openxmlformats.org/spreadsheetml/2006/main" count="587" uniqueCount="249">
  <si>
    <t>Remarks</t>
    <phoneticPr fontId="2" type="noConversion"/>
  </si>
  <si>
    <t>RES13001BS0</t>
    <phoneticPr fontId="2" type="noConversion"/>
  </si>
  <si>
    <t>MOP</t>
    <phoneticPr fontId="2" type="noConversion"/>
  </si>
  <si>
    <t>RES40001BS0</t>
    <phoneticPr fontId="2" type="noConversion"/>
  </si>
  <si>
    <t>CTM</t>
    <phoneticPr fontId="2" type="noConversion"/>
  </si>
  <si>
    <t>Top</t>
    <phoneticPr fontId="2" type="noConversion"/>
  </si>
  <si>
    <t>P/N</t>
    <phoneticPr fontId="2" type="noConversion"/>
  </si>
  <si>
    <t>MSR</t>
    <phoneticPr fontId="2" type="noConversion"/>
  </si>
  <si>
    <t>Down</t>
    <phoneticPr fontId="2" type="noConversion"/>
  </si>
  <si>
    <t>Main Frame</t>
    <phoneticPr fontId="2" type="noConversion"/>
  </si>
  <si>
    <t>Left Cover</t>
    <phoneticPr fontId="2" type="noConversion"/>
  </si>
  <si>
    <t>Right Cover</t>
    <phoneticPr fontId="2" type="noConversion"/>
  </si>
  <si>
    <t>Upper Cover</t>
    <phoneticPr fontId="2" type="noConversion"/>
  </si>
  <si>
    <t>Lower Cover</t>
    <phoneticPr fontId="2" type="noConversion"/>
  </si>
  <si>
    <t>Rear Cover</t>
    <phoneticPr fontId="2" type="noConversion"/>
  </si>
  <si>
    <t>Push Button</t>
    <phoneticPr fontId="2" type="noConversion"/>
  </si>
  <si>
    <t>Microphone</t>
    <phoneticPr fontId="2" type="noConversion"/>
  </si>
  <si>
    <t>LCD</t>
    <phoneticPr fontId="2" type="noConversion"/>
  </si>
  <si>
    <t>LCD Mount Bracket</t>
    <phoneticPr fontId="2" type="noConversion"/>
  </si>
  <si>
    <t>LCD Control Board</t>
    <phoneticPr fontId="2" type="noConversion"/>
  </si>
  <si>
    <t>Main Control Board</t>
    <phoneticPr fontId="2" type="noConversion"/>
  </si>
  <si>
    <t>Power Board</t>
    <phoneticPr fontId="2" type="noConversion"/>
  </si>
  <si>
    <t>3P Connector Male</t>
    <phoneticPr fontId="2" type="noConversion"/>
  </si>
  <si>
    <t>3P Connector Female</t>
    <phoneticPr fontId="2" type="noConversion"/>
  </si>
  <si>
    <t>Locking</t>
    <phoneticPr fontId="2" type="noConversion"/>
  </si>
  <si>
    <t>4P Connector</t>
    <phoneticPr fontId="2" type="noConversion"/>
  </si>
  <si>
    <t>Pin</t>
    <phoneticPr fontId="2" type="noConversion"/>
  </si>
  <si>
    <t>12P Connector</t>
    <phoneticPr fontId="2" type="noConversion"/>
  </si>
  <si>
    <t>Cable Clamp</t>
    <phoneticPr fontId="2" type="noConversion"/>
  </si>
  <si>
    <t>Name Plate, AL, T1</t>
    <phoneticPr fontId="2" type="noConversion"/>
  </si>
  <si>
    <t>단가</t>
    <phoneticPr fontId="2" type="noConversion"/>
  </si>
  <si>
    <t>합계</t>
    <phoneticPr fontId="2" type="noConversion"/>
  </si>
  <si>
    <t>RES14001BS0</t>
    <phoneticPr fontId="2" type="noConversion"/>
  </si>
  <si>
    <t>R1C001384</t>
    <phoneticPr fontId="2" type="noConversion"/>
  </si>
  <si>
    <t>R1C001385</t>
    <phoneticPr fontId="2" type="noConversion"/>
  </si>
  <si>
    <t>R1C001386</t>
    <phoneticPr fontId="2" type="noConversion"/>
  </si>
  <si>
    <t>R1C001387</t>
    <phoneticPr fontId="2" type="noConversion"/>
  </si>
  <si>
    <t>R1B002159</t>
    <phoneticPr fontId="2" type="noConversion"/>
  </si>
  <si>
    <t>R1B002160</t>
    <phoneticPr fontId="2" type="noConversion"/>
  </si>
  <si>
    <t>84-1201.7</t>
    <phoneticPr fontId="2" type="noConversion"/>
  </si>
  <si>
    <t>R1D005930</t>
    <phoneticPr fontId="2" type="noConversion"/>
  </si>
  <si>
    <t>R1C001388</t>
    <phoneticPr fontId="2" type="noConversion"/>
  </si>
  <si>
    <t>R1C001574</t>
    <phoneticPr fontId="2" type="noConversion"/>
  </si>
  <si>
    <t>770-213</t>
    <phoneticPr fontId="2" type="noConversion"/>
  </si>
  <si>
    <t>770-293</t>
    <phoneticPr fontId="2" type="noConversion"/>
  </si>
  <si>
    <t>770-101</t>
    <phoneticPr fontId="2" type="noConversion"/>
  </si>
  <si>
    <t>21 03 882 2405</t>
    <phoneticPr fontId="2" type="noConversion"/>
  </si>
  <si>
    <t>09 67 000 5476</t>
    <phoneticPr fontId="2" type="noConversion"/>
  </si>
  <si>
    <t>UTG11412S</t>
    <phoneticPr fontId="2" type="noConversion"/>
  </si>
  <si>
    <t>RC16M23K</t>
    <phoneticPr fontId="2" type="noConversion"/>
  </si>
  <si>
    <t>UTG14AC</t>
    <phoneticPr fontId="2" type="noConversion"/>
  </si>
  <si>
    <t>R1C001342_6</t>
    <phoneticPr fontId="2" type="noConversion"/>
  </si>
  <si>
    <t>PWR Board</t>
    <phoneticPr fontId="2" type="noConversion"/>
  </si>
  <si>
    <t>R1C001323</t>
    <phoneticPr fontId="2" type="noConversion"/>
  </si>
  <si>
    <t>M_TX Board</t>
    <phoneticPr fontId="2" type="noConversion"/>
  </si>
  <si>
    <t>R1B002190</t>
    <phoneticPr fontId="2" type="noConversion"/>
  </si>
  <si>
    <t>Hub Board</t>
    <phoneticPr fontId="2" type="noConversion"/>
  </si>
  <si>
    <t>R1B002192</t>
    <phoneticPr fontId="2" type="noConversion"/>
  </si>
  <si>
    <t>TCIU Board</t>
    <phoneticPr fontId="2" type="noConversion"/>
  </si>
  <si>
    <t>R1B002187</t>
    <phoneticPr fontId="2" type="noConversion"/>
  </si>
  <si>
    <t>PA_PBX Board</t>
    <phoneticPr fontId="2" type="noConversion"/>
  </si>
  <si>
    <t>R1B002188</t>
    <phoneticPr fontId="2" type="noConversion"/>
  </si>
  <si>
    <t>PA_ETX Board</t>
    <phoneticPr fontId="2" type="noConversion"/>
  </si>
  <si>
    <t>R1B002189</t>
    <phoneticPr fontId="2" type="noConversion"/>
  </si>
  <si>
    <t>NVR Board</t>
    <phoneticPr fontId="2" type="noConversion"/>
  </si>
  <si>
    <t>SSD Board</t>
    <phoneticPr fontId="2" type="noConversion"/>
  </si>
  <si>
    <t>R1B002191</t>
    <phoneticPr fontId="2" type="noConversion"/>
  </si>
  <si>
    <t>MSR Back Plane</t>
    <phoneticPr fontId="2" type="noConversion"/>
  </si>
  <si>
    <t>R1D007456</t>
    <phoneticPr fontId="2" type="noConversion"/>
  </si>
  <si>
    <t>Frame</t>
    <phoneticPr fontId="2" type="noConversion"/>
  </si>
  <si>
    <t>R1B002086</t>
    <phoneticPr fontId="2" type="noConversion"/>
  </si>
  <si>
    <t>R1C001342_4</t>
    <phoneticPr fontId="2" type="noConversion"/>
  </si>
  <si>
    <t>R1B002140</t>
    <phoneticPr fontId="2" type="noConversion"/>
  </si>
  <si>
    <t>R1C001370</t>
    <phoneticPr fontId="2" type="noConversion"/>
  </si>
  <si>
    <t>R1B002142</t>
    <phoneticPr fontId="2" type="noConversion"/>
  </si>
  <si>
    <t>10.4" LCD</t>
    <phoneticPr fontId="2" type="noConversion"/>
  </si>
  <si>
    <t>RES40001002</t>
    <phoneticPr fontId="2" type="noConversion"/>
  </si>
  <si>
    <t>Control Board Bracket</t>
    <phoneticPr fontId="2" type="noConversion"/>
  </si>
  <si>
    <t>R1C001371</t>
    <phoneticPr fontId="2" type="noConversion"/>
  </si>
  <si>
    <t>Control Board</t>
    <phoneticPr fontId="2" type="noConversion"/>
  </si>
  <si>
    <t>R1C001369</t>
    <phoneticPr fontId="2" type="noConversion"/>
  </si>
  <si>
    <t>3P Connector</t>
    <phoneticPr fontId="2" type="noConversion"/>
  </si>
  <si>
    <t>Cable Gland</t>
    <phoneticPr fontId="2" type="noConversion"/>
  </si>
  <si>
    <t>DAM-25</t>
    <phoneticPr fontId="2" type="noConversion"/>
  </si>
  <si>
    <t>USB Adapter</t>
    <phoneticPr fontId="2" type="noConversion"/>
  </si>
  <si>
    <t>Name Plate</t>
    <phoneticPr fontId="2" type="noConversion"/>
  </si>
  <si>
    <t>R1C001342_12</t>
    <phoneticPr fontId="2" type="noConversion"/>
  </si>
  <si>
    <t>대당소요량</t>
    <phoneticPr fontId="2" type="noConversion"/>
  </si>
  <si>
    <t>의뢰일자</t>
    <phoneticPr fontId="2" type="noConversion"/>
  </si>
  <si>
    <t>구매일자</t>
    <phoneticPr fontId="2" type="noConversion"/>
  </si>
  <si>
    <t>담당자 및 연락처</t>
    <phoneticPr fontId="2" type="noConversion"/>
  </si>
  <si>
    <t>R1B002193 Rev.1</t>
    <phoneticPr fontId="2" type="noConversion"/>
  </si>
  <si>
    <t>R1C001372 Rev.1</t>
    <phoneticPr fontId="2" type="noConversion"/>
  </si>
  <si>
    <t>R1C001402 Rev.1</t>
    <phoneticPr fontId="2" type="noConversion"/>
  </si>
  <si>
    <t>공급예정</t>
    <phoneticPr fontId="2" type="noConversion"/>
  </si>
  <si>
    <t>납기일정</t>
    <phoneticPr fontId="2" type="noConversion"/>
  </si>
  <si>
    <t>납품일</t>
    <phoneticPr fontId="2" type="noConversion"/>
  </si>
  <si>
    <t>USK</t>
    <phoneticPr fontId="2" type="noConversion"/>
  </si>
  <si>
    <r>
      <rPr>
        <b/>
        <sz val="12"/>
        <rFont val="맑은 고딕"/>
        <family val="3"/>
        <charset val="129"/>
        <scheme val="minor"/>
      </rPr>
      <t>Item</t>
    </r>
  </si>
  <si>
    <t>세일엔지니어링</t>
    <phoneticPr fontId="2" type="noConversion"/>
  </si>
  <si>
    <t>이지파워</t>
    <phoneticPr fontId="2" type="noConversion"/>
  </si>
  <si>
    <t>수요량 51EA</t>
    <phoneticPr fontId="2" type="noConversion"/>
  </si>
  <si>
    <t>이엔엠테크놀로지</t>
    <phoneticPr fontId="2" type="noConversion"/>
  </si>
  <si>
    <t>납품수량</t>
    <phoneticPr fontId="2" type="noConversion"/>
  </si>
  <si>
    <t>10 EA</t>
    <phoneticPr fontId="2" type="noConversion"/>
  </si>
  <si>
    <t>판매자</t>
    <phoneticPr fontId="2" type="noConversion"/>
  </si>
  <si>
    <t>Maker</t>
    <phoneticPr fontId="2" type="noConversion"/>
  </si>
  <si>
    <t>KCM-30(55 JACK)</t>
    <phoneticPr fontId="2" type="noConversion"/>
  </si>
  <si>
    <t>SPEAKER</t>
    <phoneticPr fontId="2" type="noConversion"/>
  </si>
  <si>
    <t>-Connector</t>
    <phoneticPr fontId="2" type="noConversion"/>
  </si>
  <si>
    <t>770-713</t>
    <phoneticPr fontId="2" type="noConversion"/>
  </si>
  <si>
    <t>2103 371 2403</t>
    <phoneticPr fontId="2" type="noConversion"/>
  </si>
  <si>
    <t>1-1</t>
    <phoneticPr fontId="2" type="noConversion"/>
  </si>
  <si>
    <t>4-1</t>
    <phoneticPr fontId="2" type="noConversion"/>
  </si>
  <si>
    <t>RC16M23K</t>
  </si>
  <si>
    <t>UTG01412S</t>
    <phoneticPr fontId="2" type="noConversion"/>
  </si>
  <si>
    <t>UTG01619S</t>
    <phoneticPr fontId="2" type="noConversion"/>
  </si>
  <si>
    <t>CLAA104XA02CW / M104ZA-AD00</t>
    <phoneticPr fontId="2" type="noConversion"/>
  </si>
  <si>
    <t>CONNECTOR</t>
  </si>
  <si>
    <t>SPEAKER SHEET</t>
  </si>
  <si>
    <t>T1</t>
  </si>
  <si>
    <t>SPEAKER RUBBER SHEET</t>
  </si>
  <si>
    <t>t=6</t>
  </si>
  <si>
    <t>RUBBER SHEET</t>
  </si>
  <si>
    <t>CAPTIVE BOLT</t>
  </si>
  <si>
    <t>SW3DPS-52-49-21-4</t>
    <phoneticPr fontId="4" type="noConversion"/>
  </si>
  <si>
    <t>84-7111.200</t>
    <phoneticPr fontId="4" type="noConversion"/>
  </si>
  <si>
    <t>35155-0300</t>
  </si>
  <si>
    <t>35155-0400</t>
  </si>
  <si>
    <t>35155-0500</t>
  </si>
  <si>
    <t>35155-0600</t>
  </si>
  <si>
    <t>35155-0800</t>
  </si>
  <si>
    <t>35155-0900</t>
  </si>
  <si>
    <t>35155-1000</t>
  </si>
  <si>
    <t>35155-1200</t>
  </si>
  <si>
    <t>TERMINAL</t>
  </si>
  <si>
    <t>5103, AWG22-28</t>
  </si>
  <si>
    <t>YH396-05V</t>
  </si>
  <si>
    <t>YT396J</t>
  </si>
  <si>
    <t>HARDNESS 50,T6</t>
    <phoneticPr fontId="2" type="noConversion"/>
  </si>
  <si>
    <t>HOUSING</t>
  </si>
  <si>
    <t>5159, AWG22-28</t>
  </si>
  <si>
    <t>내부 배선도</t>
    <phoneticPr fontId="2" type="noConversion"/>
  </si>
  <si>
    <t>35155-0400</t>
    <phoneticPr fontId="2" type="noConversion"/>
  </si>
  <si>
    <t>CTM WIRRING DIAGRAM</t>
  </si>
  <si>
    <t>SMH200-08</t>
    <phoneticPr fontId="4" type="noConversion"/>
  </si>
  <si>
    <t>TERMINAL</t>
    <phoneticPr fontId="4" type="noConversion"/>
  </si>
  <si>
    <t>CONNECTOR</t>
    <phoneticPr fontId="4" type="noConversion"/>
  </si>
  <si>
    <t>0039012025/MOLEX</t>
    <phoneticPr fontId="4" type="noConversion"/>
  </si>
  <si>
    <t>5556, 18-24 AWG/MOLEX</t>
    <phoneticPr fontId="4" type="noConversion"/>
  </si>
  <si>
    <t>YH396-08V</t>
    <phoneticPr fontId="4" type="noConversion"/>
  </si>
  <si>
    <t>YT396/YEONHO ELEC.</t>
    <phoneticPr fontId="4" type="noConversion"/>
  </si>
  <si>
    <t>YH396-05V</t>
    <phoneticPr fontId="4" type="noConversion"/>
  </si>
  <si>
    <t>5264-02/MOLEX</t>
    <phoneticPr fontId="4" type="noConversion"/>
  </si>
  <si>
    <t>5263PBT9/MOLEX</t>
    <phoneticPr fontId="4" type="noConversion"/>
  </si>
  <si>
    <t>YST200 ( 확인 필요)</t>
    <phoneticPr fontId="4" type="noConversion"/>
  </si>
  <si>
    <t>DATA CABLE</t>
  </si>
  <si>
    <t>티렉스아이엔씨</t>
    <phoneticPr fontId="2" type="noConversion"/>
  </si>
  <si>
    <t>아이닉스</t>
    <phoneticPr fontId="2" type="noConversion"/>
  </si>
  <si>
    <t>WAGO</t>
    <phoneticPr fontId="2" type="noConversion"/>
  </si>
  <si>
    <t>HARTING</t>
    <phoneticPr fontId="2" type="noConversion"/>
  </si>
  <si>
    <t>CPT</t>
    <phoneticPr fontId="2" type="noConversion"/>
  </si>
  <si>
    <t>SOURIAU</t>
    <phoneticPr fontId="2" type="noConversion"/>
  </si>
  <si>
    <t>EAO</t>
    <phoneticPr fontId="2" type="noConversion"/>
  </si>
  <si>
    <t>REAN</t>
    <phoneticPr fontId="2" type="noConversion"/>
  </si>
  <si>
    <t>Shenzhen</t>
    <phoneticPr fontId="2" type="noConversion"/>
  </si>
  <si>
    <t>앤츠</t>
    <phoneticPr fontId="2" type="noConversion"/>
  </si>
  <si>
    <t>DONGA</t>
    <phoneticPr fontId="2" type="noConversion"/>
  </si>
  <si>
    <t>L-COM</t>
    <phoneticPr fontId="2" type="noConversion"/>
  </si>
  <si>
    <t>60EA</t>
    <phoneticPr fontId="2" type="noConversion"/>
  </si>
  <si>
    <t>55EA</t>
    <phoneticPr fontId="2" type="noConversion"/>
  </si>
  <si>
    <t>부자재</t>
    <phoneticPr fontId="2" type="noConversion"/>
  </si>
  <si>
    <r>
      <rPr>
        <sz val="12"/>
        <color rgb="FF000000"/>
        <rFont val="Batang"/>
        <family val="1"/>
        <charset val="129"/>
      </rPr>
      <t>내부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Batang"/>
        <family val="1"/>
        <charset val="129"/>
      </rPr>
      <t>하네스 자재</t>
    </r>
    <phoneticPr fontId="2" type="noConversion"/>
  </si>
  <si>
    <t>100G0111-1.0-0</t>
    <phoneticPr fontId="2" type="noConversion"/>
  </si>
  <si>
    <t>이송이엠씨</t>
    <phoneticPr fontId="2" type="noConversion"/>
  </si>
  <si>
    <t>화인테크</t>
    <phoneticPr fontId="2" type="noConversion"/>
  </si>
  <si>
    <t>RAYCHEM</t>
    <phoneticPr fontId="2" type="noConversion"/>
  </si>
  <si>
    <t>2-1</t>
    <phoneticPr fontId="2" type="noConversion"/>
  </si>
  <si>
    <r>
      <rPr>
        <sz val="12"/>
        <color rgb="FF000000"/>
        <rFont val="Batang"/>
        <family val="1"/>
        <charset val="129"/>
      </rPr>
      <t>미터</t>
    </r>
    <r>
      <rPr>
        <sz val="12"/>
        <color rgb="FF000000"/>
        <rFont val="Times New Roman"/>
        <family val="1"/>
      </rPr>
      <t>(M)/800</t>
    </r>
    <phoneticPr fontId="2" type="noConversion"/>
  </si>
  <si>
    <r>
      <rPr>
        <sz val="12"/>
        <color rgb="FF000000"/>
        <rFont val="Batang"/>
        <family val="1"/>
        <charset val="129"/>
      </rPr>
      <t>미터</t>
    </r>
    <r>
      <rPr>
        <sz val="12"/>
        <color rgb="FF000000"/>
        <rFont val="Times New Roman"/>
        <family val="1"/>
      </rPr>
      <t>(M)</t>
    </r>
    <r>
      <rPr>
        <sz val="12"/>
        <color rgb="FF000000"/>
        <rFont val="Times New Roman"/>
        <family val="1"/>
        <charset val="129"/>
      </rPr>
      <t>/2500</t>
    </r>
    <phoneticPr fontId="2" type="noConversion"/>
  </si>
  <si>
    <r>
      <rPr>
        <sz val="12"/>
        <color rgb="FF000000"/>
        <rFont val="Batang"/>
        <family val="1"/>
        <charset val="129"/>
      </rPr>
      <t>미터</t>
    </r>
    <r>
      <rPr>
        <sz val="12"/>
        <color rgb="FF000000"/>
        <rFont val="Times New Roman"/>
        <family val="1"/>
      </rPr>
      <t>(M)</t>
    </r>
    <r>
      <rPr>
        <sz val="12"/>
        <color rgb="FF000000"/>
        <rFont val="Times New Roman"/>
        <family val="1"/>
        <charset val="129"/>
      </rPr>
      <t>/500</t>
    </r>
    <phoneticPr fontId="2" type="noConversion"/>
  </si>
  <si>
    <t>CONGA</t>
    <phoneticPr fontId="2" type="noConversion"/>
  </si>
  <si>
    <t>1-2</t>
    <phoneticPr fontId="2" type="noConversion"/>
  </si>
  <si>
    <t>1-3</t>
    <phoneticPr fontId="2" type="noConversion"/>
  </si>
  <si>
    <t>1-4</t>
    <phoneticPr fontId="2" type="noConversion"/>
  </si>
  <si>
    <t>2-2</t>
    <phoneticPr fontId="2" type="noConversion"/>
  </si>
  <si>
    <t>2-3</t>
    <phoneticPr fontId="2" type="noConversion"/>
  </si>
  <si>
    <t>2-4</t>
    <phoneticPr fontId="2" type="noConversion"/>
  </si>
  <si>
    <t>3-1</t>
    <phoneticPr fontId="2" type="noConversion"/>
  </si>
  <si>
    <t>3-3</t>
    <phoneticPr fontId="2" type="noConversion"/>
  </si>
  <si>
    <t>3-4</t>
    <phoneticPr fontId="2" type="noConversion"/>
  </si>
  <si>
    <t>4-2</t>
  </si>
  <si>
    <t>4-3</t>
  </si>
  <si>
    <t>4-4</t>
  </si>
  <si>
    <t>4-5</t>
  </si>
  <si>
    <t>4-6</t>
  </si>
  <si>
    <t>2-1(내부 하네스)</t>
    <phoneticPr fontId="2" type="noConversion"/>
  </si>
  <si>
    <t>5103, AWG22-28</t>
    <phoneticPr fontId="2" type="noConversion"/>
  </si>
  <si>
    <t>MICRO SPEAKER</t>
    <phoneticPr fontId="2" type="noConversion"/>
  </si>
  <si>
    <t>PMB4070N-0240 / 8 Ω 5W</t>
    <phoneticPr fontId="2" type="noConversion"/>
  </si>
  <si>
    <t>-</t>
  </si>
  <si>
    <t>-</t>
    <phoneticPr fontId="2" type="noConversion"/>
  </si>
  <si>
    <t>이노디스크</t>
    <phoneticPr fontId="2" type="noConversion"/>
  </si>
  <si>
    <t>SSD(2T)</t>
    <phoneticPr fontId="2" type="noConversion"/>
  </si>
  <si>
    <t>DDR4
(DDR3L 4GB SODIMM 1600MT/S)</t>
  </si>
  <si>
    <t>수요량 51EA</t>
  </si>
  <si>
    <t xml:space="preserve">CPU TCA3/i-E3845 </t>
    <phoneticPr fontId="2" type="noConversion"/>
  </si>
  <si>
    <t xml:space="preserve">CPU BRACKET TCA3/CSP-B </t>
    <phoneticPr fontId="2" type="noConversion"/>
  </si>
  <si>
    <t>CPU
TC170/i5-6300U</t>
    <phoneticPr fontId="2" type="noConversion"/>
  </si>
  <si>
    <t>CPU BRACKET 
TC170/CSP-B</t>
    <phoneticPr fontId="2" type="noConversion"/>
  </si>
  <si>
    <t>DDR4
(DDR4 4GB SODIMM 2400MT/S)</t>
    <phoneticPr fontId="2" type="noConversion"/>
  </si>
  <si>
    <t>수량 확인</t>
    <phoneticPr fontId="2" type="noConversion"/>
  </si>
  <si>
    <t>LCD 보호 스폰지 폼</t>
    <phoneticPr fontId="2" type="noConversion"/>
  </si>
  <si>
    <t>위트솔루션즈</t>
    <phoneticPr fontId="2" type="noConversion"/>
  </si>
  <si>
    <t>BEUPSYS 정산</t>
    <phoneticPr fontId="2" type="noConversion"/>
  </si>
  <si>
    <t>WIRE</t>
    <phoneticPr fontId="2" type="noConversion"/>
  </si>
  <si>
    <t>100G0111-0.5-0</t>
    <phoneticPr fontId="2" type="noConversion"/>
  </si>
  <si>
    <t>EMC 가스켓</t>
    <phoneticPr fontId="2" type="noConversion"/>
  </si>
  <si>
    <t>망사튜브(난연)</t>
    <phoneticPr fontId="2" type="noConversion"/>
  </si>
  <si>
    <t>4x22AWG XM S RW E</t>
    <phoneticPr fontId="2" type="noConversion"/>
  </si>
  <si>
    <t xml:space="preserve">HUBER+SUHNER  </t>
    <phoneticPr fontId="2" type="noConversion"/>
  </si>
  <si>
    <t>SE38PFR-MR0</t>
    <phoneticPr fontId="2" type="noConversion"/>
  </si>
  <si>
    <t>추가 진행 필요</t>
    <phoneticPr fontId="2" type="noConversion"/>
  </si>
  <si>
    <t>티렉스아이앤씨</t>
    <phoneticPr fontId="2" type="noConversion"/>
  </si>
  <si>
    <t>ASSY, L=300mm</t>
    <phoneticPr fontId="2" type="noConversion"/>
  </si>
  <si>
    <t>Panduit</t>
  </si>
  <si>
    <t>BEUPSYS 정산
(EIDS)</t>
    <phoneticPr fontId="2" type="noConversion"/>
  </si>
  <si>
    <t>BEUPSYS</t>
  </si>
  <si>
    <t>BEUPSYS</t>
    <phoneticPr fontId="2" type="noConversion"/>
  </si>
  <si>
    <t>Maker</t>
  </si>
  <si>
    <r>
      <rPr>
        <b/>
        <sz val="12"/>
        <rFont val="맑은 고딕"/>
        <family val="2"/>
        <charset val="129"/>
        <scheme val="minor"/>
      </rPr>
      <t>Item</t>
    </r>
  </si>
  <si>
    <t>"HL035T002T-02(단종)
HL035T11-01 + RTC"</t>
    <phoneticPr fontId="2" type="noConversion"/>
  </si>
  <si>
    <t>1-1
(내부 하네스)</t>
    <phoneticPr fontId="2" type="noConversion"/>
  </si>
  <si>
    <t>통신 컨넥터 4EA</t>
    <phoneticPr fontId="2" type="noConversion"/>
  </si>
  <si>
    <t>BEUPSYS 정산
(MOP)</t>
    <phoneticPr fontId="2" type="noConversion"/>
  </si>
  <si>
    <t>SM-W18B /
SF050020R-C-NB-A</t>
    <phoneticPr fontId="2" type="noConversion"/>
  </si>
  <si>
    <t>개발비</t>
    <phoneticPr fontId="2" type="noConversion"/>
  </si>
  <si>
    <t>NVR/CTN/MOP-LCD</t>
    <phoneticPr fontId="2" type="noConversion"/>
  </si>
  <si>
    <t>2024.6.</t>
    <phoneticPr fontId="2" type="noConversion"/>
  </si>
  <si>
    <t>총 필요 수량</t>
    <phoneticPr fontId="2" type="noConversion"/>
  </si>
  <si>
    <t>84-8511.2320</t>
    <phoneticPr fontId="2" type="noConversion"/>
  </si>
  <si>
    <t>제작수량</t>
    <phoneticPr fontId="2" type="noConversion"/>
  </si>
  <si>
    <t>ECF504-12AAS (600mm)</t>
    <phoneticPr fontId="2" type="noConversion"/>
  </si>
  <si>
    <t>PMB4070N-0240 /8Ω /5W</t>
    <phoneticPr fontId="2" type="noConversion"/>
  </si>
  <si>
    <t>DAM-20</t>
    <phoneticPr fontId="2" type="noConversion"/>
  </si>
  <si>
    <t>55 JACK</t>
    <phoneticPr fontId="2" type="noConversion"/>
  </si>
  <si>
    <t>292S 55 Stereo Phone Plug</t>
    <phoneticPr fontId="2" type="noConversion"/>
  </si>
  <si>
    <t>추가발주</t>
    <phoneticPr fontId="2" type="noConversion"/>
  </si>
  <si>
    <t>fdsfdsa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</si>
</sst>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##0;###0"/>
    <numFmt numFmtId="177" formatCode="&quot;₩&quot;#,##0"/>
    <numFmt numFmtId="178" formatCode="&quot;US$&quot;#,##0.00"/>
    <numFmt numFmtId="179" formatCode="m&quot;월&quot;\ d&quot;일&quot;"/>
  </numFmts>
  <fonts count="29">
    <font>
      <sz val="10"/>
      <color rgb="FF000000"/>
      <name val="Times New Roman"/>
      <charset val="204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color rgb="FF000000"/>
      <name val="Times New Roman"/>
      <family val="1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rgb="FF000000"/>
      <name val="Batang"/>
      <family val="1"/>
      <charset val="129"/>
    </font>
    <font>
      <sz val="12"/>
      <color rgb="FF000000"/>
      <name val="맑은 고딕"/>
      <family val="2"/>
      <charset val="129"/>
    </font>
    <font>
      <sz val="12"/>
      <name val="Malgun Gothic"/>
      <family val="34"/>
      <charset val="129"/>
    </font>
    <font>
      <sz val="12"/>
      <color rgb="FFFF0000"/>
      <name val="맑은 고딕"/>
      <family val="2"/>
      <charset val="129"/>
      <scheme val="minor"/>
    </font>
    <font>
      <sz val="12"/>
      <color rgb="FF000000"/>
      <name val="Times New Roman"/>
      <family val="1"/>
      <charset val="129"/>
    </font>
    <font>
      <sz val="12"/>
      <name val="굴림"/>
      <family val="3"/>
      <charset val="129"/>
    </font>
    <font>
      <sz val="12"/>
      <color rgb="FFFF0000"/>
      <name val="굴림"/>
      <family val="3"/>
      <charset val="129"/>
    </font>
    <font>
      <sz val="12"/>
      <color rgb="FF000000"/>
      <name val="Malgun Gothic"/>
      <family val="2"/>
      <charset val="129"/>
    </font>
    <font>
      <sz val="12"/>
      <color rgb="FFFF0000"/>
      <name val="맑은 고딕"/>
      <family val="3"/>
      <charset val="129"/>
      <scheme val="minor"/>
    </font>
    <font>
      <sz val="12"/>
      <color rgb="FFFF0000"/>
      <name val="맑은 고딕"/>
      <family val="2"/>
      <charset val="129"/>
    </font>
    <font>
      <sz val="12"/>
      <color rgb="FFFF0000"/>
      <name val="맑은 고딕 (본문)"/>
      <family val="3"/>
      <charset val="129"/>
    </font>
    <font>
      <sz val="14"/>
      <color rgb="FF000000"/>
      <name val="Malgun Gothic"/>
      <family val="2"/>
      <charset val="129"/>
    </font>
    <font>
      <b/>
      <sz val="12"/>
      <color rgb="FF000000"/>
      <name val="맑은 고딕"/>
      <family val="2"/>
      <charset val="129"/>
      <scheme val="minor"/>
    </font>
    <font>
      <b/>
      <sz val="12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rgb="FF000000"/>
      <name val="BatangChe"/>
      <family val="1"/>
      <charset val="129"/>
    </font>
    <font>
      <sz val="12"/>
      <color rgb="FF9C0006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28" fillId="11" borderId="0" applyNumberFormat="0" applyBorder="0" applyAlignment="0" applyProtection="0">
      <alignment vertical="center"/>
    </xf>
  </cellStyleXfs>
  <cellXfs count="231">
    <xf numFmtId="0" fontId="0" fillId="2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7" fillId="2" borderId="7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77" fontId="7" fillId="2" borderId="8" xfId="0" applyNumberFormat="1" applyFont="1" applyFill="1" applyBorder="1" applyAlignment="1">
      <alignment horizontal="left" vertical="center" wrapText="1"/>
    </xf>
    <xf numFmtId="177" fontId="7" fillId="2" borderId="9" xfId="0" applyNumberFormat="1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7" fillId="3" borderId="4" xfId="0" applyFont="1" applyFill="1" applyBorder="1" applyAlignment="1">
      <alignment horizontal="left" vertical="top" wrapText="1"/>
    </xf>
    <xf numFmtId="177" fontId="17" fillId="3" borderId="8" xfId="0" applyNumberFormat="1" applyFont="1" applyFill="1" applyBorder="1" applyAlignment="1">
      <alignment horizontal="left" vertical="center" wrapText="1"/>
    </xf>
    <xf numFmtId="177" fontId="7" fillId="10" borderId="1" xfId="0" applyNumberFormat="1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24" fillId="2" borderId="6" xfId="0" applyFont="1" applyFill="1" applyBorder="1" applyAlignment="1">
      <alignment horizontal="left" vertical="center" wrapText="1"/>
    </xf>
    <xf numFmtId="0" fontId="24" fillId="2" borderId="8" xfId="0" applyFont="1" applyFill="1" applyBorder="1" applyAlignment="1">
      <alignment horizontal="left" vertical="center" wrapText="1"/>
    </xf>
    <xf numFmtId="0" fontId="23" fillId="2" borderId="15" xfId="0" applyFont="1" applyFill="1" applyBorder="1" applyAlignment="1">
      <alignment horizontal="left" vertical="center" wrapText="1"/>
    </xf>
    <xf numFmtId="177" fontId="23" fillId="2" borderId="8" xfId="0" applyNumberFormat="1" applyFont="1" applyFill="1" applyBorder="1" applyAlignment="1">
      <alignment horizontal="left" vertical="center" wrapText="1"/>
    </xf>
    <xf numFmtId="177" fontId="23" fillId="2" borderId="1" xfId="0" applyNumberFormat="1" applyFont="1" applyFill="1" applyBorder="1" applyAlignment="1">
      <alignment horizontal="left" vertical="center" wrapText="1"/>
    </xf>
    <xf numFmtId="177" fontId="23" fillId="2" borderId="9" xfId="0" applyNumberFormat="1" applyFont="1" applyFill="1" applyBorder="1" applyAlignment="1">
      <alignment horizontal="left" vertical="center" wrapText="1"/>
    </xf>
    <xf numFmtId="0" fontId="23" fillId="2" borderId="16" xfId="0" applyFont="1" applyFill="1" applyBorder="1" applyAlignment="1">
      <alignment horizontal="left" vertical="center"/>
    </xf>
    <xf numFmtId="177" fontId="23" fillId="0" borderId="16" xfId="0" applyNumberFormat="1" applyFont="1" applyBorder="1" applyAlignment="1">
      <alignment horizontal="left" vertical="center" wrapText="1"/>
    </xf>
    <xf numFmtId="177" fontId="23" fillId="2" borderId="0" xfId="0" applyNumberFormat="1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4" fillId="2" borderId="1" xfId="0" applyFont="1" applyFill="1" applyBorder="1" applyAlignment="1">
      <alignment horizontal="left" vertical="center" wrapText="1"/>
    </xf>
    <xf numFmtId="0" fontId="24" fillId="2" borderId="9" xfId="0" applyFont="1" applyFill="1" applyBorder="1" applyAlignment="1">
      <alignment horizontal="left" vertical="center" wrapText="1"/>
    </xf>
    <xf numFmtId="0" fontId="24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177" fontId="23" fillId="2" borderId="11" xfId="0" applyNumberFormat="1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left" vertical="center" wrapText="1"/>
    </xf>
    <xf numFmtId="177" fontId="12" fillId="3" borderId="16" xfId="0" applyNumberFormat="1" applyFont="1" applyFill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/>
    </xf>
    <xf numFmtId="179" fontId="24" fillId="0" borderId="16" xfId="0" quotePrefix="1" applyNumberFormat="1" applyFont="1" applyBorder="1" applyAlignment="1">
      <alignment horizontal="left" vertical="center"/>
    </xf>
    <xf numFmtId="0" fontId="24" fillId="0" borderId="16" xfId="0" quotePrefix="1" applyFont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0" fontId="24" fillId="2" borderId="16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3" fillId="2" borderId="9" xfId="0" applyFont="1" applyFill="1" applyBorder="1" applyAlignment="1">
      <alignment horizontal="left" vertical="center" wrapText="1"/>
    </xf>
    <xf numFmtId="0" fontId="23" fillId="2" borderId="11" xfId="0" applyFont="1" applyFill="1" applyBorder="1" applyAlignment="1">
      <alignment horizontal="left" vertical="center" wrapText="1"/>
    </xf>
    <xf numFmtId="0" fontId="23" fillId="2" borderId="9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3" xfId="0" applyFont="1" applyFill="1" applyBorder="1" applyAlignment="1">
      <alignment horizontal="left" vertical="center" wrapText="1"/>
    </xf>
    <xf numFmtId="0" fontId="23" fillId="2" borderId="14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left" vertical="center"/>
    </xf>
    <xf numFmtId="0" fontId="23" fillId="5" borderId="4" xfId="0" applyFont="1" applyFill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/>
    </xf>
    <xf numFmtId="0" fontId="23" fillId="2" borderId="28" xfId="0" applyFont="1" applyFill="1" applyBorder="1" applyAlignment="1">
      <alignment horizontal="left" vertical="center"/>
    </xf>
    <xf numFmtId="0" fontId="23" fillId="3" borderId="28" xfId="0" applyFont="1" applyFill="1" applyBorder="1" applyAlignment="1">
      <alignment horizontal="left" vertical="center"/>
    </xf>
    <xf numFmtId="0" fontId="12" fillId="3" borderId="28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24" fillId="7" borderId="1" xfId="0" applyFont="1" applyFill="1" applyBorder="1" applyAlignment="1">
      <alignment horizontal="left" vertical="center"/>
    </xf>
    <xf numFmtId="0" fontId="24" fillId="7" borderId="6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23" fillId="2" borderId="6" xfId="0" applyFont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0" fontId="24" fillId="2" borderId="8" xfId="0" applyFont="1" applyFill="1" applyBorder="1" applyAlignment="1">
      <alignment horizontal="left" vertical="center"/>
    </xf>
    <xf numFmtId="0" fontId="23" fillId="2" borderId="8" xfId="0" applyFont="1" applyFill="1" applyBorder="1" applyAlignment="1">
      <alignment horizontal="left" vertical="center"/>
    </xf>
    <xf numFmtId="0" fontId="23" fillId="2" borderId="8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176" fontId="23" fillId="2" borderId="5" xfId="0" applyNumberFormat="1" applyFont="1" applyFill="1" applyBorder="1" applyAlignment="1">
      <alignment horizontal="left" vertical="center" wrapText="1"/>
    </xf>
    <xf numFmtId="0" fontId="24" fillId="2" borderId="15" xfId="0" applyFont="1" applyFill="1" applyBorder="1" applyAlignment="1">
      <alignment horizontal="left" vertical="center" wrapText="1"/>
    </xf>
    <xf numFmtId="0" fontId="23" fillId="0" borderId="9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/>
    </xf>
    <xf numFmtId="0" fontId="23" fillId="5" borderId="8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0" fontId="21" fillId="2" borderId="25" xfId="0" applyFont="1" applyFill="1" applyBorder="1" applyAlignment="1">
      <alignment horizontal="left" vertical="center" wrapText="1"/>
    </xf>
    <xf numFmtId="0" fontId="22" fillId="2" borderId="2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0" fontId="23" fillId="4" borderId="9" xfId="0" applyFont="1" applyFill="1" applyBorder="1" applyAlignment="1">
      <alignment horizontal="left" vertical="center"/>
    </xf>
    <xf numFmtId="178" fontId="23" fillId="4" borderId="9" xfId="0" applyNumberFormat="1" applyFont="1" applyFill="1" applyBorder="1" applyAlignment="1">
      <alignment horizontal="left" vertical="center" wrapText="1"/>
    </xf>
    <xf numFmtId="0" fontId="23" fillId="4" borderId="9" xfId="0" applyFont="1" applyFill="1" applyBorder="1" applyAlignment="1">
      <alignment horizontal="left" vertical="center" wrapText="1"/>
    </xf>
    <xf numFmtId="177" fontId="12" fillId="3" borderId="9" xfId="0" applyNumberFormat="1" applyFont="1" applyFill="1" applyBorder="1" applyAlignment="1">
      <alignment horizontal="left" vertical="center" wrapText="1"/>
    </xf>
    <xf numFmtId="176" fontId="23" fillId="2" borderId="3" xfId="0" applyNumberFormat="1" applyFont="1" applyFill="1" applyBorder="1" applyAlignment="1">
      <alignment horizontal="left" vertical="center" wrapText="1"/>
    </xf>
    <xf numFmtId="0" fontId="12" fillId="9" borderId="8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177" fontId="7" fillId="8" borderId="8" xfId="0" applyNumberFormat="1" applyFont="1" applyFill="1" applyBorder="1" applyAlignment="1">
      <alignment horizontal="left" vertical="center" wrapText="1"/>
    </xf>
    <xf numFmtId="14" fontId="10" fillId="7" borderId="9" xfId="0" applyNumberFormat="1" applyFont="1" applyFill="1" applyBorder="1" applyAlignment="1">
      <alignment horizontal="left" vertical="center" wrapText="1"/>
    </xf>
    <xf numFmtId="0" fontId="7" fillId="8" borderId="9" xfId="0" applyFont="1" applyFill="1" applyBorder="1" applyAlignment="1">
      <alignment horizontal="left" vertical="center" wrapText="1"/>
    </xf>
    <xf numFmtId="14" fontId="7" fillId="2" borderId="8" xfId="0" applyNumberFormat="1" applyFont="1" applyFill="1" applyBorder="1" applyAlignment="1">
      <alignment horizontal="left" vertical="center" wrapText="1"/>
    </xf>
    <xf numFmtId="0" fontId="10" fillId="5" borderId="8" xfId="0" applyFont="1" applyFill="1" applyBorder="1" applyAlignment="1">
      <alignment horizontal="left" vertical="center" wrapText="1"/>
    </xf>
    <xf numFmtId="177" fontId="19" fillId="3" borderId="8" xfId="0" applyNumberFormat="1" applyFont="1" applyFill="1" applyBorder="1" applyAlignment="1">
      <alignment horizontal="left" vertical="center" wrapText="1"/>
    </xf>
    <xf numFmtId="14" fontId="19" fillId="3" borderId="9" xfId="0" applyNumberFormat="1" applyFont="1" applyFill="1" applyBorder="1" applyAlignment="1">
      <alignment horizontal="left" vertical="center" wrapText="1"/>
    </xf>
    <xf numFmtId="0" fontId="19" fillId="3" borderId="9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77" fontId="7" fillId="0" borderId="8" xfId="0" applyNumberFormat="1" applyFont="1" applyBorder="1" applyAlignment="1">
      <alignment horizontal="left" vertical="center" wrapText="1"/>
    </xf>
    <xf numFmtId="14" fontId="18" fillId="3" borderId="9" xfId="0" applyNumberFormat="1" applyFont="1" applyFill="1" applyBorder="1" applyAlignment="1">
      <alignment horizontal="left" vertical="center" wrapText="1"/>
    </xf>
    <xf numFmtId="0" fontId="17" fillId="3" borderId="9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177" fontId="7" fillId="4" borderId="8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178" fontId="7" fillId="4" borderId="9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177" fontId="7" fillId="4" borderId="9" xfId="0" applyNumberFormat="1" applyFont="1" applyFill="1" applyBorder="1" applyAlignment="1">
      <alignment horizontal="left" vertical="center" wrapText="1"/>
    </xf>
    <xf numFmtId="14" fontId="7" fillId="4" borderId="9" xfId="0" applyNumberFormat="1" applyFont="1" applyFill="1" applyBorder="1" applyAlignment="1">
      <alignment horizontal="left" vertical="center" wrapText="1"/>
    </xf>
    <xf numFmtId="14" fontId="12" fillId="3" borderId="9" xfId="0" applyNumberFormat="1" applyFont="1" applyFill="1" applyBorder="1" applyAlignment="1">
      <alignment horizontal="left" vertical="center" wrapText="1"/>
    </xf>
    <xf numFmtId="177" fontId="10" fillId="5" borderId="9" xfId="0" applyNumberFormat="1" applyFont="1" applyFill="1" applyBorder="1" applyAlignment="1">
      <alignment horizontal="left" vertical="center" wrapText="1"/>
    </xf>
    <xf numFmtId="177" fontId="7" fillId="8" borderId="9" xfId="0" applyNumberFormat="1" applyFont="1" applyFill="1" applyBorder="1" applyAlignment="1">
      <alignment horizontal="left" vertical="center" wrapText="1"/>
    </xf>
    <xf numFmtId="177" fontId="19" fillId="3" borderId="9" xfId="0" applyNumberFormat="1" applyFont="1" applyFill="1" applyBorder="1" applyAlignment="1">
      <alignment horizontal="left" vertical="center" wrapText="1"/>
    </xf>
    <xf numFmtId="14" fontId="7" fillId="8" borderId="9" xfId="0" applyNumberFormat="1" applyFont="1" applyFill="1" applyBorder="1" applyAlignment="1">
      <alignment horizontal="left" vertical="center" wrapText="1"/>
    </xf>
    <xf numFmtId="14" fontId="7" fillId="2" borderId="9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top" wrapText="1"/>
    </xf>
    <xf numFmtId="0" fontId="11" fillId="2" borderId="16" xfId="0" applyFont="1" applyFill="1" applyBorder="1" applyAlignment="1">
      <alignment horizontal="left" vertical="center" wrapText="1"/>
    </xf>
    <xf numFmtId="177" fontId="7" fillId="4" borderId="1" xfId="0" applyNumberFormat="1" applyFont="1" applyFill="1" applyBorder="1" applyAlignment="1">
      <alignment horizontal="left" vertical="center" wrapText="1"/>
    </xf>
    <xf numFmtId="177" fontId="3" fillId="4" borderId="1" xfId="0" applyNumberFormat="1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19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20" fillId="2" borderId="0" xfId="0" applyFont="1" applyFill="1" applyAlignment="1">
      <alignment horizontal="left" vertical="center"/>
    </xf>
    <xf numFmtId="177" fontId="7" fillId="0" borderId="1" xfId="0" applyNumberFormat="1" applyFont="1" applyBorder="1" applyAlignment="1">
      <alignment horizontal="left" vertical="center" wrapText="1"/>
    </xf>
    <xf numFmtId="14" fontId="7" fillId="0" borderId="9" xfId="0" applyNumberFormat="1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/>
    </xf>
    <xf numFmtId="0" fontId="14" fillId="4" borderId="16" xfId="0" applyFont="1" applyFill="1" applyBorder="1" applyAlignment="1">
      <alignment horizontal="left" vertical="center"/>
    </xf>
    <xf numFmtId="0" fontId="15" fillId="0" borderId="16" xfId="0" applyFont="1" applyBorder="1" applyAlignment="1">
      <alignment horizontal="left" vertical="center" wrapText="1"/>
    </xf>
    <xf numFmtId="177" fontId="17" fillId="3" borderId="9" xfId="0" applyNumberFormat="1" applyFont="1" applyFill="1" applyBorder="1" applyAlignment="1">
      <alignment horizontal="left" vertical="center" wrapText="1"/>
    </xf>
    <xf numFmtId="177" fontId="7" fillId="4" borderId="9" xfId="0" applyNumberFormat="1" applyFont="1" applyFill="1" applyBorder="1" applyAlignment="1">
      <alignment horizontal="right" vertical="center" wrapText="1"/>
    </xf>
    <xf numFmtId="177" fontId="17" fillId="3" borderId="9" xfId="0" applyNumberFormat="1" applyFont="1" applyFill="1" applyBorder="1" applyAlignment="1">
      <alignment horizontal="right" vertical="center" wrapText="1"/>
    </xf>
    <xf numFmtId="0" fontId="24" fillId="0" borderId="29" xfId="0" applyFont="1" applyBorder="1" applyAlignment="1">
      <alignment horizontal="left" vertical="center"/>
    </xf>
    <xf numFmtId="0" fontId="12" fillId="3" borderId="30" xfId="0" applyFont="1" applyFill="1" applyBorder="1" applyAlignment="1">
      <alignment horizontal="left" vertical="center" wrapText="1"/>
    </xf>
    <xf numFmtId="177" fontId="7" fillId="0" borderId="9" xfId="0" applyNumberFormat="1" applyFont="1" applyBorder="1" applyAlignment="1">
      <alignment horizontal="left" vertical="center" wrapText="1"/>
    </xf>
    <xf numFmtId="177" fontId="17" fillId="0" borderId="8" xfId="0" applyNumberFormat="1" applyFont="1" applyBorder="1" applyAlignment="1">
      <alignment horizontal="left" vertical="center" wrapText="1"/>
    </xf>
    <xf numFmtId="14" fontId="18" fillId="0" borderId="9" xfId="0" applyNumberFormat="1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top" wrapText="1"/>
    </xf>
    <xf numFmtId="177" fontId="12" fillId="0" borderId="8" xfId="0" applyNumberFormat="1" applyFont="1" applyBorder="1" applyAlignment="1">
      <alignment horizontal="left" vertical="center" wrapText="1"/>
    </xf>
    <xf numFmtId="177" fontId="12" fillId="0" borderId="9" xfId="0" applyNumberFormat="1" applyFont="1" applyBorder="1" applyAlignment="1">
      <alignment horizontal="left" vertical="center" wrapText="1"/>
    </xf>
    <xf numFmtId="14" fontId="12" fillId="0" borderId="9" xfId="0" applyNumberFormat="1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176" fontId="16" fillId="2" borderId="16" xfId="0" applyNumberFormat="1" applyFont="1" applyFill="1" applyBorder="1" applyAlignment="1">
      <alignment horizontal="left" vertical="center" wrapText="1"/>
    </xf>
    <xf numFmtId="0" fontId="14" fillId="4" borderId="29" xfId="0" applyFont="1" applyFill="1" applyBorder="1" applyAlignment="1">
      <alignment horizontal="left" vertical="center"/>
    </xf>
    <xf numFmtId="0" fontId="7" fillId="0" borderId="11" xfId="0" applyFont="1" applyBorder="1" applyAlignment="1">
      <alignment horizontal="left" vertical="center" wrapText="1"/>
    </xf>
    <xf numFmtId="0" fontId="7" fillId="4" borderId="16" xfId="0" applyFont="1" applyFill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14" fillId="4" borderId="17" xfId="0" applyFont="1" applyFill="1" applyBorder="1" applyAlignment="1">
      <alignment horizontal="left" vertical="center"/>
    </xf>
    <xf numFmtId="0" fontId="7" fillId="4" borderId="17" xfId="0" applyFont="1" applyFill="1" applyBorder="1" applyAlignment="1">
      <alignment horizontal="left" vertical="center"/>
    </xf>
    <xf numFmtId="0" fontId="7" fillId="4" borderId="18" xfId="0" applyFont="1" applyFill="1" applyBorder="1" applyAlignment="1">
      <alignment horizontal="left" vertical="center"/>
    </xf>
    <xf numFmtId="177" fontId="7" fillId="4" borderId="12" xfId="0" applyNumberFormat="1" applyFont="1" applyFill="1" applyBorder="1" applyAlignment="1">
      <alignment horizontal="left" vertical="center" wrapText="1"/>
    </xf>
    <xf numFmtId="14" fontId="7" fillId="8" borderId="12" xfId="0" applyNumberFormat="1" applyFont="1" applyFill="1" applyBorder="1" applyAlignment="1">
      <alignment horizontal="left" vertical="center" wrapText="1"/>
    </xf>
    <xf numFmtId="14" fontId="10" fillId="7" borderId="12" xfId="0" applyNumberFormat="1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177" fontId="7" fillId="4" borderId="16" xfId="0" applyNumberFormat="1" applyFont="1" applyFill="1" applyBorder="1" applyAlignment="1">
      <alignment horizontal="left" vertical="center" wrapText="1"/>
    </xf>
    <xf numFmtId="14" fontId="7" fillId="8" borderId="16" xfId="0" applyNumberFormat="1" applyFont="1" applyFill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3" fontId="27" fillId="2" borderId="0" xfId="0" applyNumberFormat="1" applyFont="1" applyFill="1" applyAlignment="1">
      <alignment horizontal="left" vertical="top"/>
    </xf>
    <xf numFmtId="3" fontId="23" fillId="2" borderId="0" xfId="0" applyNumberFormat="1" applyFont="1" applyFill="1" applyAlignment="1">
      <alignment horizontal="left" vertical="center"/>
    </xf>
    <xf numFmtId="0" fontId="28" fillId="11" borderId="16" xfId="3" applyBorder="1" applyAlignment="1">
      <alignment horizontal="left" vertical="center"/>
    </xf>
    <xf numFmtId="0" fontId="28" fillId="11" borderId="9" xfId="3" applyBorder="1" applyAlignment="1">
      <alignment horizontal="left" vertical="center" wrapText="1"/>
    </xf>
    <xf numFmtId="0" fontId="28" fillId="0" borderId="16" xfId="3" applyFill="1" applyBorder="1" applyAlignment="1">
      <alignment horizontal="left" vertical="center"/>
    </xf>
    <xf numFmtId="177" fontId="12" fillId="0" borderId="16" xfId="0" applyNumberFormat="1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 wrapText="1"/>
    </xf>
    <xf numFmtId="0" fontId="28" fillId="0" borderId="8" xfId="3" applyFill="1" applyBorder="1" applyAlignment="1">
      <alignment horizontal="left" vertical="center" wrapText="1"/>
    </xf>
    <xf numFmtId="177" fontId="23" fillId="0" borderId="8" xfId="0" applyNumberFormat="1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 wrapText="1"/>
    </xf>
    <xf numFmtId="0" fontId="24" fillId="0" borderId="8" xfId="3" applyFont="1" applyFill="1" applyBorder="1" applyAlignment="1">
      <alignment horizontal="left" vertical="center" wrapText="1"/>
    </xf>
    <xf numFmtId="177" fontId="24" fillId="0" borderId="8" xfId="0" applyNumberFormat="1" applyFont="1" applyBorder="1" applyAlignment="1">
      <alignment horizontal="left" vertical="center" wrapText="1"/>
    </xf>
    <xf numFmtId="0" fontId="24" fillId="0" borderId="31" xfId="0" applyFont="1" applyBorder="1" applyAlignment="1">
      <alignment vertical="center" wrapText="1"/>
    </xf>
    <xf numFmtId="0" fontId="24" fillId="0" borderId="16" xfId="3" applyFont="1" applyFill="1" applyBorder="1" applyAlignment="1">
      <alignment horizontal="left" vertical="center"/>
    </xf>
    <xf numFmtId="177" fontId="24" fillId="0" borderId="16" xfId="0" applyNumberFormat="1" applyFont="1" applyBorder="1" applyAlignment="1">
      <alignment horizontal="left" vertical="center" wrapText="1"/>
    </xf>
    <xf numFmtId="177" fontId="24" fillId="0" borderId="1" xfId="0" applyNumberFormat="1" applyFont="1" applyBorder="1" applyAlignment="1">
      <alignment horizontal="left" vertical="center" wrapText="1"/>
    </xf>
    <xf numFmtId="177" fontId="24" fillId="0" borderId="9" xfId="0" applyNumberFormat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/>
    </xf>
    <xf numFmtId="177" fontId="24" fillId="0" borderId="21" xfId="0" applyNumberFormat="1" applyFont="1" applyBorder="1" applyAlignment="1">
      <alignment horizontal="left" vertical="center" wrapText="1"/>
    </xf>
    <xf numFmtId="0" fontId="24" fillId="0" borderId="20" xfId="0" applyFont="1" applyBorder="1" applyAlignment="1">
      <alignment horizontal="left" vertical="center" wrapText="1"/>
    </xf>
    <xf numFmtId="0" fontId="24" fillId="0" borderId="21" xfId="0" applyFont="1" applyBorder="1" applyAlignment="1">
      <alignment horizontal="left" vertical="center"/>
    </xf>
    <xf numFmtId="0" fontId="24" fillId="0" borderId="21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 wrapText="1"/>
    </xf>
    <xf numFmtId="0" fontId="23" fillId="3" borderId="8" xfId="0" applyFont="1" applyFill="1" applyBorder="1" applyAlignment="1">
      <alignment horizontal="left" vertical="center" wrapText="1"/>
    </xf>
    <xf numFmtId="0" fontId="24" fillId="3" borderId="16" xfId="0" applyFont="1" applyFill="1" applyBorder="1" applyAlignment="1">
      <alignment horizontal="left" vertical="center" wrapText="1"/>
    </xf>
    <xf numFmtId="0" fontId="28" fillId="3" borderId="8" xfId="3" applyFill="1" applyBorder="1" applyAlignment="1">
      <alignment horizontal="left" vertical="center" wrapText="1"/>
    </xf>
    <xf numFmtId="177" fontId="23" fillId="3" borderId="9" xfId="0" applyNumberFormat="1" applyFont="1" applyFill="1" applyBorder="1" applyAlignment="1">
      <alignment horizontal="left" vertical="center" wrapText="1"/>
    </xf>
    <xf numFmtId="177" fontId="23" fillId="3" borderId="1" xfId="0" applyNumberFormat="1" applyFont="1" applyFill="1" applyBorder="1" applyAlignment="1">
      <alignment horizontal="left" vertical="center" wrapText="1"/>
    </xf>
    <xf numFmtId="177" fontId="23" fillId="3" borderId="8" xfId="0" applyNumberFormat="1" applyFont="1" applyFill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3" fillId="3" borderId="16" xfId="0" applyFont="1" applyFill="1" applyBorder="1" applyAlignment="1">
      <alignment horizontal="left" vertical="center" wrapText="1"/>
    </xf>
    <xf numFmtId="0" fontId="23" fillId="3" borderId="16" xfId="0" applyFont="1" applyFill="1" applyBorder="1" applyAlignment="1">
      <alignment horizontal="left" vertical="center"/>
    </xf>
    <xf numFmtId="177" fontId="24" fillId="3" borderId="8" xfId="0" applyNumberFormat="1" applyFont="1" applyFill="1" applyBorder="1" applyAlignment="1">
      <alignment horizontal="left" vertical="center" wrapText="1"/>
    </xf>
    <xf numFmtId="177" fontId="24" fillId="3" borderId="1" xfId="0" applyNumberFormat="1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top"/>
    </xf>
    <xf numFmtId="0" fontId="9" fillId="2" borderId="0" xfId="0" applyFont="1" applyFill="1" applyAlignment="1">
      <alignment vertical="top"/>
    </xf>
    <xf numFmtId="0" fontId="13" fillId="2" borderId="0" xfId="0" applyFont="1" applyFill="1" applyAlignment="1">
      <alignment vertical="top"/>
    </xf>
    <xf numFmtId="176" fontId="16" fillId="2" borderId="16" xfId="0" applyNumberFormat="1" applyFont="1" applyFill="1" applyBorder="1" applyAlignment="1">
      <alignment horizontal="left" vertical="center" wrapText="1"/>
    </xf>
    <xf numFmtId="176" fontId="16" fillId="2" borderId="17" xfId="0" applyNumberFormat="1" applyFont="1" applyFill="1" applyBorder="1" applyAlignment="1">
      <alignment horizontal="left" vertical="center" wrapText="1"/>
    </xf>
    <xf numFmtId="0" fontId="8" fillId="2" borderId="26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176" fontId="7" fillId="2" borderId="27" xfId="0" applyNumberFormat="1" applyFont="1" applyFill="1" applyBorder="1" applyAlignment="1">
      <alignment horizontal="left" vertical="center" wrapText="1"/>
    </xf>
    <xf numFmtId="176" fontId="7" fillId="2" borderId="22" xfId="0" applyNumberFormat="1" applyFont="1" applyFill="1" applyBorder="1" applyAlignment="1">
      <alignment horizontal="left" vertical="center" wrapText="1"/>
    </xf>
    <xf numFmtId="176" fontId="7" fillId="2" borderId="5" xfId="0" applyNumberFormat="1" applyFont="1" applyFill="1" applyBorder="1" applyAlignment="1">
      <alignment horizontal="left" vertical="center" wrapText="1"/>
    </xf>
    <xf numFmtId="176" fontId="7" fillId="2" borderId="10" xfId="0" applyNumberFormat="1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20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179" fontId="23" fillId="2" borderId="16" xfId="0" quotePrefix="1" applyNumberFormat="1" applyFont="1" applyFill="1" applyBorder="1" applyAlignment="1">
      <alignment horizontal="left" vertical="center" wrapText="1"/>
    </xf>
    <xf numFmtId="179" fontId="23" fillId="2" borderId="16" xfId="0" quotePrefix="1" applyNumberFormat="1" applyFont="1" applyFill="1" applyBorder="1" applyAlignment="1">
      <alignment horizontal="left" vertical="center"/>
    </xf>
    <xf numFmtId="179" fontId="24" fillId="0" borderId="16" xfId="0" quotePrefix="1" applyNumberFormat="1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 wrapText="1"/>
    </xf>
    <xf numFmtId="176" fontId="23" fillId="2" borderId="17" xfId="0" applyNumberFormat="1" applyFont="1" applyFill="1" applyBorder="1" applyAlignment="1">
      <alignment horizontal="left" vertical="center" wrapText="1"/>
    </xf>
    <xf numFmtId="176" fontId="23" fillId="2" borderId="24" xfId="0" applyNumberFormat="1" applyFont="1" applyFill="1" applyBorder="1" applyAlignment="1">
      <alignment horizontal="left" vertical="center" wrapText="1"/>
    </xf>
    <xf numFmtId="176" fontId="23" fillId="2" borderId="23" xfId="0" applyNumberFormat="1" applyFont="1" applyFill="1" applyBorder="1" applyAlignment="1">
      <alignment horizontal="left" vertical="center" wrapText="1"/>
    </xf>
    <xf numFmtId="0" fontId="24" fillId="0" borderId="16" xfId="0" quotePrefix="1" applyFont="1" applyBorder="1" applyAlignment="1">
      <alignment horizontal="left" vertical="center"/>
    </xf>
    <xf numFmtId="0" fontId="24" fillId="0" borderId="16" xfId="0" applyFont="1" applyBorder="1" applyAlignment="1">
      <alignment horizontal="left" vertical="center"/>
    </xf>
  </cellXfs>
  <cellStyles count="4">
    <cellStyle name="나쁨" xfId="3" builtinId="27"/>
    <cellStyle name="표준" xfId="0" builtinId="0"/>
    <cellStyle name="표준 2 2" xfId="2" xr:uid="{6985D8DE-3015-B943-873A-C52BEFDFF89C}"/>
    <cellStyle name="표준 46" xfId="1" xr:uid="{DC75EA93-85D2-4754-912D-5D5BAA42F65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4"/>
  <sheetViews>
    <sheetView tabSelected="1" topLeftCell="A89" zoomScale="75" zoomScaleNormal="100" workbookViewId="0">
      <selection activeCell="D102" sqref="D102"/>
    </sheetView>
  </sheetViews>
  <sheetFormatPr baseColWidth="10" defaultColWidth="9.3984375" defaultRowHeight="16"/>
  <cols>
    <col min="1" max="1" width="5" style="1" customWidth="1"/>
    <col min="2" max="2" width="10.59765625" style="1" bestFit="1" customWidth="1"/>
    <col min="3" max="3" width="9.796875" style="1" bestFit="1" customWidth="1"/>
    <col min="4" max="4" width="34.796875" style="4" bestFit="1" customWidth="1"/>
    <col min="5" max="5" width="34.3984375" style="4" bestFit="1" customWidth="1"/>
    <col min="6" max="6" width="22.796875" style="5" bestFit="1" customWidth="1"/>
    <col min="7" max="7" width="22.59765625" style="5" bestFit="1" customWidth="1"/>
    <col min="8" max="8" width="14.59765625" style="5" bestFit="1" customWidth="1"/>
    <col min="9" max="9" width="57.796875" style="5" customWidth="1"/>
    <col min="10" max="10" width="15" style="5" bestFit="1" customWidth="1"/>
    <col min="11" max="11" width="13.3984375" style="5" bestFit="1" customWidth="1"/>
    <col min="12" max="12" width="15" style="5" bestFit="1" customWidth="1"/>
    <col min="13" max="13" width="19.59765625" style="1" bestFit="1" customWidth="1"/>
    <col min="14" max="14" width="3.3984375" style="1" customWidth="1"/>
    <col min="15" max="16384" width="9.3984375" style="1"/>
  </cols>
  <sheetData>
    <row r="1" spans="2:13" ht="17" thickBot="1"/>
    <row r="2" spans="2:13" ht="20" thickBot="1">
      <c r="B2" s="85" t="s">
        <v>98</v>
      </c>
      <c r="C2" s="85" t="s">
        <v>5</v>
      </c>
      <c r="D2" s="86" t="s">
        <v>8</v>
      </c>
      <c r="E2" s="85" t="s">
        <v>6</v>
      </c>
      <c r="F2" s="86" t="s">
        <v>105</v>
      </c>
      <c r="G2" s="86" t="s">
        <v>106</v>
      </c>
      <c r="H2" s="86" t="s">
        <v>30</v>
      </c>
      <c r="I2" s="86" t="s">
        <v>31</v>
      </c>
      <c r="J2" s="86" t="s">
        <v>95</v>
      </c>
      <c r="K2" s="86" t="s">
        <v>96</v>
      </c>
      <c r="L2" s="86" t="s">
        <v>103</v>
      </c>
      <c r="M2" s="86" t="s">
        <v>0</v>
      </c>
    </row>
    <row r="3" spans="2:13" ht="19">
      <c r="B3" s="215">
        <v>1</v>
      </c>
      <c r="C3" s="212" t="s">
        <v>2</v>
      </c>
      <c r="D3" s="87"/>
      <c r="E3" s="88" t="s">
        <v>32</v>
      </c>
      <c r="F3" s="89"/>
      <c r="G3" s="89"/>
      <c r="H3" s="7"/>
      <c r="I3" s="7"/>
      <c r="J3" s="89"/>
      <c r="K3" s="89"/>
      <c r="L3" s="89"/>
      <c r="M3" s="2"/>
    </row>
    <row r="4" spans="2:13" ht="19">
      <c r="B4" s="216"/>
      <c r="C4" s="213"/>
      <c r="D4" s="7" t="str">
        <f>MOP!D3</f>
        <v>Main Frame</v>
      </c>
      <c r="E4" s="7" t="str">
        <f>MOP!E3</f>
        <v>R1C001384</v>
      </c>
      <c r="F4" s="7" t="str">
        <f>MOP!N3</f>
        <v>세일엔지니어링</v>
      </c>
      <c r="G4" s="7" t="str">
        <f>MOP!O3</f>
        <v>세일엔지니어링</v>
      </c>
      <c r="H4" s="7">
        <f>MOP!L3</f>
        <v>440100</v>
      </c>
      <c r="I4" s="7">
        <f>MOP!M3</f>
        <v>22445100</v>
      </c>
      <c r="J4" s="89"/>
      <c r="K4" s="89"/>
      <c r="L4" s="89"/>
      <c r="M4" s="2"/>
    </row>
    <row r="5" spans="2:13" ht="19">
      <c r="B5" s="216"/>
      <c r="C5" s="213"/>
      <c r="D5" s="7" t="str">
        <f>MOP!D4</f>
        <v>Left Cover</v>
      </c>
      <c r="E5" s="7" t="str">
        <f>MOP!E4</f>
        <v>R1C001385</v>
      </c>
      <c r="F5" s="7" t="str">
        <f>MOP!N4</f>
        <v>세일엔지니어링</v>
      </c>
      <c r="G5" s="7" t="str">
        <f>MOP!O4</f>
        <v>세일엔지니어링</v>
      </c>
      <c r="H5" s="7" t="str">
        <f>MOP!L4</f>
        <v>-</v>
      </c>
      <c r="I5" s="7" t="str">
        <f>MOP!M4</f>
        <v>-</v>
      </c>
      <c r="J5" s="89"/>
      <c r="K5" s="89"/>
      <c r="L5" s="89"/>
      <c r="M5" s="2"/>
    </row>
    <row r="6" spans="2:13" ht="19">
      <c r="B6" s="216"/>
      <c r="C6" s="213"/>
      <c r="D6" s="7" t="str">
        <f>MOP!D5</f>
        <v>Right Cover</v>
      </c>
      <c r="E6" s="7" t="str">
        <f>MOP!E5</f>
        <v>R1C001386</v>
      </c>
      <c r="F6" s="7" t="str">
        <f>MOP!N5</f>
        <v>세일엔지니어링</v>
      </c>
      <c r="G6" s="7" t="str">
        <f>MOP!O5</f>
        <v>세일엔지니어링</v>
      </c>
      <c r="H6" s="7" t="str">
        <f>MOP!L5</f>
        <v>-</v>
      </c>
      <c r="I6" s="7" t="str">
        <f>MOP!M5</f>
        <v>-</v>
      </c>
      <c r="J6" s="89"/>
      <c r="K6" s="89"/>
      <c r="L6" s="89"/>
      <c r="M6" s="2"/>
    </row>
    <row r="7" spans="2:13" ht="19">
      <c r="B7" s="216"/>
      <c r="C7" s="213"/>
      <c r="D7" s="7" t="str">
        <f>MOP!D6</f>
        <v>Upper Cover</v>
      </c>
      <c r="E7" s="7" t="str">
        <f>MOP!E6</f>
        <v>R1C001387</v>
      </c>
      <c r="F7" s="7" t="str">
        <f>MOP!N6</f>
        <v>세일엔지니어링</v>
      </c>
      <c r="G7" s="7" t="str">
        <f>MOP!O6</f>
        <v>세일엔지니어링</v>
      </c>
      <c r="H7" s="7" t="str">
        <f>MOP!L6</f>
        <v>-</v>
      </c>
      <c r="I7" s="7" t="str">
        <f>MOP!M6</f>
        <v>-</v>
      </c>
      <c r="J7" s="89"/>
      <c r="K7" s="89"/>
      <c r="L7" s="89"/>
      <c r="M7" s="2"/>
    </row>
    <row r="8" spans="2:13" ht="19">
      <c r="B8" s="216"/>
      <c r="C8" s="213"/>
      <c r="D8" s="7" t="str">
        <f>MOP!D7</f>
        <v>Lower Cover</v>
      </c>
      <c r="E8" s="7" t="str">
        <f>MOP!E7</f>
        <v>R1B002159</v>
      </c>
      <c r="F8" s="7" t="str">
        <f>MOP!N7</f>
        <v>세일엔지니어링</v>
      </c>
      <c r="G8" s="7" t="str">
        <f>MOP!O7</f>
        <v>세일엔지니어링</v>
      </c>
      <c r="H8" s="7" t="str">
        <f>MOP!L7</f>
        <v>-</v>
      </c>
      <c r="I8" s="7" t="str">
        <f>MOP!M7</f>
        <v>-</v>
      </c>
      <c r="J8" s="89"/>
      <c r="K8" s="89"/>
      <c r="L8" s="89"/>
      <c r="M8" s="2"/>
    </row>
    <row r="9" spans="2:13" ht="19">
      <c r="B9" s="216"/>
      <c r="C9" s="213"/>
      <c r="D9" s="7" t="str">
        <f>MOP!D8</f>
        <v>Rear Cover</v>
      </c>
      <c r="E9" s="7" t="str">
        <f>MOP!E8</f>
        <v>R1B002160</v>
      </c>
      <c r="F9" s="7" t="str">
        <f>MOP!N8</f>
        <v>세일엔지니어링</v>
      </c>
      <c r="G9" s="7" t="str">
        <f>MOP!O8</f>
        <v>세일엔지니어링</v>
      </c>
      <c r="H9" s="7" t="str">
        <f>MOP!L8</f>
        <v>-</v>
      </c>
      <c r="I9" s="7" t="str">
        <f>MOP!M8</f>
        <v>-</v>
      </c>
      <c r="J9" s="89"/>
      <c r="K9" s="89"/>
      <c r="L9" s="89"/>
      <c r="M9" s="2"/>
    </row>
    <row r="10" spans="2:13" ht="19">
      <c r="B10" s="216"/>
      <c r="C10" s="213"/>
      <c r="D10" s="7" t="str">
        <f>MOP!D9</f>
        <v>Push Button</v>
      </c>
      <c r="E10" s="7" t="str">
        <f>MOP!E9</f>
        <v>84-1201.7</v>
      </c>
      <c r="F10" s="7" t="str">
        <f>MOP!N9</f>
        <v>아이닉스</v>
      </c>
      <c r="G10" s="7" t="str">
        <f>MOP!O9</f>
        <v>EAO</v>
      </c>
      <c r="H10" s="91">
        <f>MOP!L9</f>
        <v>28800</v>
      </c>
      <c r="I10" s="91">
        <f>MOP!M9</f>
        <v>6336000</v>
      </c>
      <c r="J10" s="89"/>
      <c r="K10" s="89"/>
      <c r="L10" s="89"/>
      <c r="M10" s="2"/>
    </row>
    <row r="11" spans="2:13" ht="19">
      <c r="B11" s="216"/>
      <c r="C11" s="213"/>
      <c r="D11" s="7" t="str">
        <f>MOP!D10</f>
        <v>Push Button</v>
      </c>
      <c r="E11" s="7" t="str">
        <f>MOP!E10</f>
        <v>84-7111.200</v>
      </c>
      <c r="F11" s="7" t="str">
        <f>MOP!N10</f>
        <v>아이닉스</v>
      </c>
      <c r="G11" s="7" t="str">
        <f>MOP!O10</f>
        <v>EAO</v>
      </c>
      <c r="H11" s="91">
        <f>MOP!L10</f>
        <v>4650</v>
      </c>
      <c r="I11" s="91">
        <f>MOP!M10</f>
        <v>1023000</v>
      </c>
      <c r="J11" s="89"/>
      <c r="K11" s="89"/>
      <c r="L11" s="89"/>
      <c r="M11" s="2"/>
    </row>
    <row r="12" spans="2:13" ht="19">
      <c r="B12" s="216"/>
      <c r="C12" s="213"/>
      <c r="D12" s="7" t="str">
        <f>MOP!D11</f>
        <v>Push Button</v>
      </c>
      <c r="E12" s="7" t="str">
        <f>MOP!E11</f>
        <v>84-8511.2320</v>
      </c>
      <c r="F12" s="7" t="str">
        <f>MOP!N11</f>
        <v>아이닉스</v>
      </c>
      <c r="G12" s="7" t="str">
        <f>MOP!O11</f>
        <v>EAO</v>
      </c>
      <c r="H12" s="91">
        <f>MOP!L11</f>
        <v>39000</v>
      </c>
      <c r="I12" s="91">
        <f>MOP!M11</f>
        <v>8580000</v>
      </c>
      <c r="J12" s="92"/>
      <c r="K12" s="92"/>
      <c r="L12" s="93"/>
      <c r="M12" s="2"/>
    </row>
    <row r="13" spans="2:13" ht="19">
      <c r="B13" s="216"/>
      <c r="C13" s="213"/>
      <c r="D13" s="105" t="str">
        <f>MOP!D12</f>
        <v>Microphone</v>
      </c>
      <c r="E13" s="105" t="str">
        <f>MOP!E12</f>
        <v>KCM-30(55 JACK)</v>
      </c>
      <c r="F13" s="105" t="str">
        <f>MOP!N12</f>
        <v>아이닉스</v>
      </c>
      <c r="G13" s="105" t="str">
        <f>MOP!O12</f>
        <v>REAN</v>
      </c>
      <c r="H13" s="91">
        <f>MOP!L12</f>
        <v>2800</v>
      </c>
      <c r="I13" s="91">
        <f>MOP!M12</f>
        <v>154000</v>
      </c>
      <c r="J13" s="92">
        <v>45497</v>
      </c>
      <c r="K13" s="92">
        <v>45497</v>
      </c>
      <c r="L13" s="93" t="s">
        <v>170</v>
      </c>
      <c r="M13" s="2"/>
    </row>
    <row r="14" spans="2:13" ht="38">
      <c r="B14" s="216"/>
      <c r="C14" s="213"/>
      <c r="D14" s="7" t="str">
        <f>MOP!D13</f>
        <v>LCD</v>
      </c>
      <c r="E14" s="7" t="str">
        <f>MOP!E13</f>
        <v>"HL035T002T-02(단종)
HL035T11-01 + RTC"</v>
      </c>
      <c r="F14" s="7" t="str">
        <f>MOP!N13</f>
        <v>티렉스아이엔씨</v>
      </c>
      <c r="G14" s="7" t="str">
        <f>MOP!O13</f>
        <v>Shenzhen</v>
      </c>
      <c r="H14" s="7">
        <f>MOP!L13</f>
        <v>23000</v>
      </c>
      <c r="I14" s="7">
        <f>MOP!M13</f>
        <v>1380000</v>
      </c>
      <c r="J14" s="94">
        <v>45503</v>
      </c>
      <c r="K14" s="89"/>
      <c r="L14" s="89"/>
      <c r="M14" s="2"/>
    </row>
    <row r="15" spans="2:13" ht="19">
      <c r="B15" s="216"/>
      <c r="C15" s="213"/>
      <c r="D15" s="7" t="str">
        <f>MOP!D14</f>
        <v>LCD Mount Bracket</v>
      </c>
      <c r="E15" s="7" t="str">
        <f>MOP!E14</f>
        <v>R1D005930</v>
      </c>
      <c r="F15" s="7" t="str">
        <f>MOP!N14</f>
        <v>세일엔지니어링</v>
      </c>
      <c r="G15" s="7" t="str">
        <f>MOP!O14</f>
        <v>세일엔지니어링</v>
      </c>
      <c r="H15" s="7" t="str">
        <f>MOP!L14</f>
        <v>-</v>
      </c>
      <c r="I15" s="7" t="str">
        <f>MOP!M14</f>
        <v>-</v>
      </c>
      <c r="J15" s="89"/>
      <c r="K15" s="89"/>
      <c r="L15" s="89"/>
      <c r="M15" s="2"/>
    </row>
    <row r="16" spans="2:13" ht="19">
      <c r="B16" s="216"/>
      <c r="C16" s="213"/>
      <c r="D16" s="7" t="str">
        <f>MOP!D15</f>
        <v>LCD Control Board</v>
      </c>
      <c r="E16" s="7" t="str">
        <f>MOP!E15</f>
        <v>R1C001402 Rev.1</v>
      </c>
      <c r="F16" s="7" t="str">
        <f>MOP!N15</f>
        <v>BEUPSYS</v>
      </c>
      <c r="G16" s="7" t="str">
        <f>MOP!O15</f>
        <v>BEUPSYS</v>
      </c>
      <c r="H16" s="7">
        <f>MOP!L15</f>
        <v>425213</v>
      </c>
      <c r="I16" s="7">
        <f>MOP!M15</f>
        <v>21685863</v>
      </c>
      <c r="J16" s="89"/>
      <c r="K16" s="89"/>
      <c r="L16" s="89"/>
      <c r="M16" s="2"/>
    </row>
    <row r="17" spans="2:13" ht="19">
      <c r="B17" s="216"/>
      <c r="C17" s="213"/>
      <c r="D17" s="7" t="str">
        <f>MOP!D16</f>
        <v>Main Control Board</v>
      </c>
      <c r="E17" s="7" t="str">
        <f>MOP!E16</f>
        <v>R1C001388</v>
      </c>
      <c r="F17" s="7" t="str">
        <f>MOP!N16</f>
        <v>BEUPSYS</v>
      </c>
      <c r="G17" s="7" t="str">
        <f>MOP!O16</f>
        <v>BEUPSYS</v>
      </c>
      <c r="H17" s="7">
        <f>MOP!L16</f>
        <v>473650</v>
      </c>
      <c r="I17" s="7">
        <f>MOP!M16</f>
        <v>24156150</v>
      </c>
      <c r="J17" s="89"/>
      <c r="K17" s="89"/>
      <c r="L17" s="89"/>
      <c r="M17" s="2"/>
    </row>
    <row r="18" spans="2:13" ht="19">
      <c r="B18" s="216"/>
      <c r="C18" s="213"/>
      <c r="D18" s="7" t="str">
        <f>MOP!D17</f>
        <v>Power Board</v>
      </c>
      <c r="E18" s="7" t="str">
        <f>MOP!E17</f>
        <v>R1C001574</v>
      </c>
      <c r="F18" s="7" t="str">
        <f>MOP!N17</f>
        <v>이지파워</v>
      </c>
      <c r="G18" s="7" t="str">
        <f>MOP!O17</f>
        <v>이지파워</v>
      </c>
      <c r="H18" s="7">
        <f>MOP!L17</f>
        <v>89000</v>
      </c>
      <c r="I18" s="7">
        <f>MOP!M17</f>
        <v>4539000</v>
      </c>
      <c r="J18" s="89"/>
      <c r="K18" s="89"/>
      <c r="L18" s="89"/>
      <c r="M18" s="2"/>
    </row>
    <row r="19" spans="2:13" ht="19">
      <c r="B19" s="216"/>
      <c r="C19" s="213"/>
      <c r="D19" s="105" t="str">
        <f>MOP!D18</f>
        <v>3P Connector Male</v>
      </c>
      <c r="E19" s="105" t="str">
        <f>MOP!E18</f>
        <v>770-213</v>
      </c>
      <c r="F19" s="105" t="str">
        <f>MOP!N18</f>
        <v>아이닉스</v>
      </c>
      <c r="G19" s="105" t="str">
        <f>MOP!O18</f>
        <v>WAGO</v>
      </c>
      <c r="H19" s="91">
        <f>MOP!L18</f>
        <v>2800</v>
      </c>
      <c r="I19" s="91">
        <f>MOP!M18</f>
        <v>154000</v>
      </c>
      <c r="J19" s="92">
        <v>45497</v>
      </c>
      <c r="K19" s="92">
        <v>45497</v>
      </c>
      <c r="L19" s="93" t="s">
        <v>170</v>
      </c>
      <c r="M19" s="2"/>
    </row>
    <row r="20" spans="2:13" ht="19">
      <c r="B20" s="216"/>
      <c r="C20" s="213"/>
      <c r="D20" s="13" t="str">
        <f>MOP!D19</f>
        <v>3P Connector Female</v>
      </c>
      <c r="E20" s="13" t="str">
        <f>MOP!E19</f>
        <v>770-293</v>
      </c>
      <c r="F20" s="13" t="str">
        <f>MOP!N19</f>
        <v>아이닉스</v>
      </c>
      <c r="G20" s="13" t="str">
        <f>MOP!O19</f>
        <v>WAGO</v>
      </c>
      <c r="H20" s="96">
        <f>MOP!L19</f>
        <v>4250</v>
      </c>
      <c r="I20" s="96">
        <f>MOP!M19</f>
        <v>233750</v>
      </c>
      <c r="J20" s="97"/>
      <c r="K20" s="97"/>
      <c r="L20" s="98"/>
      <c r="M20" s="12" t="s">
        <v>222</v>
      </c>
    </row>
    <row r="21" spans="2:13" ht="19">
      <c r="B21" s="216"/>
      <c r="C21" s="213"/>
      <c r="D21" s="105" t="str">
        <f>MOP!D20</f>
        <v>Locking</v>
      </c>
      <c r="E21" s="105" t="str">
        <f>MOP!E20</f>
        <v>770-101</v>
      </c>
      <c r="F21" s="105" t="str">
        <f>MOP!N20</f>
        <v>아이닉스</v>
      </c>
      <c r="G21" s="105" t="str">
        <f>MOP!O20</f>
        <v>WAGO</v>
      </c>
      <c r="H21" s="91">
        <f>MOP!L20</f>
        <v>350</v>
      </c>
      <c r="I21" s="91">
        <f>MOP!M20</f>
        <v>19250</v>
      </c>
      <c r="J21" s="92">
        <v>45497</v>
      </c>
      <c r="K21" s="92">
        <v>45497</v>
      </c>
      <c r="L21" s="93" t="s">
        <v>170</v>
      </c>
      <c r="M21" s="2"/>
    </row>
    <row r="22" spans="2:13" ht="19">
      <c r="B22" s="216"/>
      <c r="C22" s="213"/>
      <c r="D22" s="105" t="str">
        <f>MOP!D21</f>
        <v>4P Connector</v>
      </c>
      <c r="E22" s="105" t="str">
        <f>MOP!E21</f>
        <v>21 03 882 2405</v>
      </c>
      <c r="F22" s="105" t="str">
        <f>MOP!N21</f>
        <v>아이닉스</v>
      </c>
      <c r="G22" s="105" t="str">
        <f>MOP!O21</f>
        <v>HARTING</v>
      </c>
      <c r="H22" s="91">
        <f>MOP!L21</f>
        <v>32300</v>
      </c>
      <c r="I22" s="91">
        <f>MOP!M21</f>
        <v>1776500</v>
      </c>
      <c r="J22" s="92">
        <v>45497</v>
      </c>
      <c r="K22" s="92">
        <v>45497</v>
      </c>
      <c r="L22" s="93" t="s">
        <v>170</v>
      </c>
      <c r="M22" s="2"/>
    </row>
    <row r="23" spans="2:13" ht="19">
      <c r="B23" s="216"/>
      <c r="C23" s="213"/>
      <c r="D23" s="105" t="str">
        <f>MOP!D22</f>
        <v>Pin</v>
      </c>
      <c r="E23" s="105" t="str">
        <f>MOP!E22</f>
        <v>09 67 000 5476</v>
      </c>
      <c r="F23" s="105" t="str">
        <f>MOP!N22</f>
        <v>아이닉스</v>
      </c>
      <c r="G23" s="105" t="str">
        <f>MOP!O22</f>
        <v>HARTING</v>
      </c>
      <c r="H23" s="91">
        <f>MOP!L22</f>
        <v>1300</v>
      </c>
      <c r="I23" s="91">
        <f>MOP!M22</f>
        <v>286000</v>
      </c>
      <c r="J23" s="92">
        <v>45497</v>
      </c>
      <c r="K23" s="92">
        <v>45497</v>
      </c>
      <c r="L23" s="93" t="s">
        <v>170</v>
      </c>
      <c r="M23" s="2"/>
    </row>
    <row r="24" spans="2:13" ht="19">
      <c r="B24" s="216"/>
      <c r="C24" s="213"/>
      <c r="D24" s="105" t="str">
        <f>MOP!D23</f>
        <v>12P Connector</v>
      </c>
      <c r="E24" s="105" t="str">
        <f>MOP!E23</f>
        <v>UTG11412S</v>
      </c>
      <c r="F24" s="105" t="str">
        <f>MOP!N23</f>
        <v>아이닉스</v>
      </c>
      <c r="G24" s="105" t="str">
        <f>MOP!O23</f>
        <v>SOURIAU</v>
      </c>
      <c r="H24" s="91">
        <f>MOP!L23</f>
        <v>23900</v>
      </c>
      <c r="I24" s="91">
        <f>MOP!M23</f>
        <v>1195000</v>
      </c>
      <c r="J24" s="92">
        <v>45497</v>
      </c>
      <c r="K24" s="92">
        <v>45497</v>
      </c>
      <c r="L24" s="93" t="s">
        <v>170</v>
      </c>
      <c r="M24" s="2"/>
    </row>
    <row r="25" spans="2:13" ht="19">
      <c r="B25" s="216"/>
      <c r="C25" s="213"/>
      <c r="D25" s="105" t="str">
        <f>MOP!D24</f>
        <v>Pin</v>
      </c>
      <c r="E25" s="105" t="str">
        <f>MOP!E24</f>
        <v>RC16M23K</v>
      </c>
      <c r="F25" s="105" t="str">
        <f>MOP!N24</f>
        <v>아이닉스</v>
      </c>
      <c r="G25" s="105" t="str">
        <f>MOP!O24</f>
        <v>SOURIAU</v>
      </c>
      <c r="H25" s="91">
        <f>MOP!L24</f>
        <v>1250</v>
      </c>
      <c r="I25" s="91">
        <f>MOP!M24</f>
        <v>750000</v>
      </c>
      <c r="J25" s="92">
        <v>45497</v>
      </c>
      <c r="K25" s="92">
        <v>45497</v>
      </c>
      <c r="L25" s="93" t="s">
        <v>170</v>
      </c>
      <c r="M25" s="2"/>
    </row>
    <row r="26" spans="2:13" ht="19">
      <c r="B26" s="216"/>
      <c r="C26" s="213"/>
      <c r="D26" s="105" t="str">
        <f>MOP!D25</f>
        <v>Cable Clamp</v>
      </c>
      <c r="E26" s="105" t="str">
        <f>MOP!E25</f>
        <v>UTG14AC</v>
      </c>
      <c r="F26" s="105" t="str">
        <f>MOP!N25</f>
        <v>아이닉스</v>
      </c>
      <c r="G26" s="105" t="str">
        <f>MOP!O25</f>
        <v>SOURIAU</v>
      </c>
      <c r="H26" s="91">
        <f>MOP!L25</f>
        <v>12000</v>
      </c>
      <c r="I26" s="91">
        <f>MOP!M25</f>
        <v>660000</v>
      </c>
      <c r="J26" s="92">
        <v>45497</v>
      </c>
      <c r="K26" s="92">
        <v>45497</v>
      </c>
      <c r="L26" s="93" t="s">
        <v>170</v>
      </c>
      <c r="M26" s="2"/>
    </row>
    <row r="27" spans="2:13" ht="19">
      <c r="B27" s="216"/>
      <c r="C27" s="213"/>
      <c r="D27" s="7" t="str">
        <f>MOP!D26</f>
        <v>Name Plate, AL, T1</v>
      </c>
      <c r="E27" s="7" t="str">
        <f>MOP!E26</f>
        <v>R1C001342_6</v>
      </c>
      <c r="F27" s="7" t="str">
        <f>MOP!N26</f>
        <v>-</v>
      </c>
      <c r="G27" s="7" t="str">
        <f>MOP!O26</f>
        <v>-</v>
      </c>
      <c r="H27" s="100" t="str">
        <f>MOP!L26</f>
        <v>-</v>
      </c>
      <c r="I27" s="100" t="str">
        <f>MOP!M26</f>
        <v>-</v>
      </c>
      <c r="J27" s="99"/>
      <c r="K27" s="99"/>
      <c r="L27" s="99"/>
      <c r="M27" s="2"/>
    </row>
    <row r="28" spans="2:13" ht="19">
      <c r="B28" s="216"/>
      <c r="C28" s="213"/>
      <c r="D28" s="13" t="str">
        <f>MOP!D27</f>
        <v>SPEAKER</v>
      </c>
      <c r="E28" s="13" t="str">
        <f>MOP!E27</f>
        <v>PMB4070N-0240 / 8 Ω 5W</v>
      </c>
      <c r="F28" s="13" t="str">
        <f>MOP!N27</f>
        <v>아이닉스</v>
      </c>
      <c r="G28" s="13" t="str">
        <f>MOP!O27</f>
        <v>-</v>
      </c>
      <c r="H28" s="13">
        <f>MOP!L27</f>
        <v>4800</v>
      </c>
      <c r="I28" s="13">
        <f>MOP!M27</f>
        <v>264000</v>
      </c>
      <c r="J28" s="101"/>
      <c r="K28" s="101"/>
      <c r="L28" s="102"/>
      <c r="M28" s="12" t="s">
        <v>222</v>
      </c>
    </row>
    <row r="29" spans="2:13" ht="18">
      <c r="B29" s="216"/>
      <c r="C29" s="213"/>
      <c r="D29" s="139"/>
      <c r="E29" s="139"/>
      <c r="F29" s="139"/>
      <c r="G29" s="139"/>
      <c r="H29" s="139"/>
      <c r="I29" s="139"/>
      <c r="J29" s="140"/>
      <c r="K29" s="140"/>
      <c r="L29" s="141"/>
      <c r="M29" s="142"/>
    </row>
    <row r="30" spans="2:13" ht="19">
      <c r="B30" s="217"/>
      <c r="C30" s="214"/>
      <c r="D30" s="103" t="s">
        <v>172</v>
      </c>
      <c r="E30" s="103"/>
      <c r="F30" s="104" t="s">
        <v>158</v>
      </c>
      <c r="G30" s="104" t="s">
        <v>158</v>
      </c>
      <c r="H30" s="105"/>
      <c r="I30" s="105">
        <f>MOP!M51</f>
        <v>112860</v>
      </c>
      <c r="J30" s="92">
        <v>45497</v>
      </c>
      <c r="K30" s="92">
        <v>45497</v>
      </c>
      <c r="L30" s="104"/>
      <c r="M30" s="10"/>
    </row>
    <row r="31" spans="2:13" ht="19">
      <c r="B31" s="218">
        <v>2</v>
      </c>
      <c r="C31" s="219" t="s">
        <v>7</v>
      </c>
      <c r="D31" s="106"/>
      <c r="E31" s="107" t="s">
        <v>1</v>
      </c>
      <c r="F31" s="90"/>
      <c r="G31" s="90"/>
      <c r="H31" s="8"/>
      <c r="I31" s="8"/>
      <c r="J31" s="90"/>
      <c r="K31" s="90"/>
      <c r="L31" s="90"/>
      <c r="M31" s="3"/>
    </row>
    <row r="32" spans="2:13" ht="19">
      <c r="B32" s="216"/>
      <c r="C32" s="220"/>
      <c r="D32" s="8" t="str">
        <f>MSR!D3</f>
        <v>PWR Board</v>
      </c>
      <c r="E32" s="8" t="str">
        <f>MSR!E3</f>
        <v>R1C001323</v>
      </c>
      <c r="F32" s="8" t="str">
        <f>MSR!N3</f>
        <v>이지파워</v>
      </c>
      <c r="G32" s="8" t="str">
        <f>MSR!O3</f>
        <v>이지파워</v>
      </c>
      <c r="H32" s="8">
        <f>MSR!L3</f>
        <v>136000</v>
      </c>
      <c r="I32" s="8">
        <f>MSR!M3</f>
        <v>6936000</v>
      </c>
      <c r="J32" s="90"/>
      <c r="K32" s="90"/>
      <c r="L32" s="90"/>
      <c r="M32" s="3"/>
    </row>
    <row r="33" spans="2:13" ht="19">
      <c r="B33" s="216"/>
      <c r="C33" s="220"/>
      <c r="D33" s="8" t="str">
        <f>MSR!D4</f>
        <v>M_TX Board</v>
      </c>
      <c r="E33" s="8" t="str">
        <f>MSR!E4</f>
        <v>R1B002190</v>
      </c>
      <c r="F33" s="8" t="str">
        <f>MSR!N4</f>
        <v>BEUPSYS</v>
      </c>
      <c r="G33" s="8" t="str">
        <f>MSR!O4</f>
        <v>BEUPSYS</v>
      </c>
      <c r="H33" s="8">
        <f>MSR!L4</f>
        <v>610566</v>
      </c>
      <c r="I33" s="8">
        <f>MSR!M4</f>
        <v>31138866</v>
      </c>
      <c r="J33" s="90"/>
      <c r="K33" s="90"/>
      <c r="L33" s="90"/>
      <c r="M33" s="3"/>
    </row>
    <row r="34" spans="2:13" ht="19">
      <c r="B34" s="216"/>
      <c r="C34" s="220"/>
      <c r="D34" s="8" t="str">
        <f>MSR!D5</f>
        <v>Hub Board</v>
      </c>
      <c r="E34" s="8" t="str">
        <f>MSR!E5</f>
        <v>R1B002192</v>
      </c>
      <c r="F34" s="8" t="str">
        <f>MSR!N5</f>
        <v>BEUPSYS</v>
      </c>
      <c r="G34" s="8" t="str">
        <f>MSR!O5</f>
        <v>BEUPSYS</v>
      </c>
      <c r="H34" s="8">
        <f>MSR!L5</f>
        <v>664363</v>
      </c>
      <c r="I34" s="8">
        <f>MSR!M5</f>
        <v>33882513</v>
      </c>
      <c r="J34" s="90"/>
      <c r="K34" s="90"/>
      <c r="L34" s="90"/>
      <c r="M34" s="3"/>
    </row>
    <row r="35" spans="2:13" ht="19">
      <c r="B35" s="216"/>
      <c r="C35" s="220"/>
      <c r="D35" s="8" t="str">
        <f>MSR!D6</f>
        <v>TCIU Board</v>
      </c>
      <c r="E35" s="8" t="str">
        <f>MSR!E6</f>
        <v>R1B002187</v>
      </c>
      <c r="F35" s="8" t="str">
        <f>MSR!N6</f>
        <v>BEUPSYS</v>
      </c>
      <c r="G35" s="8" t="str">
        <f>MSR!O6</f>
        <v>BEUPSYS</v>
      </c>
      <c r="H35" s="8">
        <f>MSR!L6</f>
        <v>1129222</v>
      </c>
      <c r="I35" s="8">
        <f>MSR!M6</f>
        <v>57590322</v>
      </c>
      <c r="J35" s="90"/>
      <c r="K35" s="90"/>
      <c r="L35" s="90"/>
      <c r="M35" s="3"/>
    </row>
    <row r="36" spans="2:13" ht="19">
      <c r="B36" s="216"/>
      <c r="C36" s="220"/>
      <c r="D36" s="8" t="str">
        <f>MSR!D7</f>
        <v>PA_PBX Board</v>
      </c>
      <c r="E36" s="8" t="str">
        <f>MSR!E7</f>
        <v>R1B002188</v>
      </c>
      <c r="F36" s="8" t="str">
        <f>MSR!N7</f>
        <v>BEUPSYS</v>
      </c>
      <c r="G36" s="8" t="str">
        <f>MSR!O7</f>
        <v>BEUPSYS</v>
      </c>
      <c r="H36" s="8">
        <f>MSR!L7</f>
        <v>289000</v>
      </c>
      <c r="I36" s="8">
        <f>MSR!M7</f>
        <v>14739000</v>
      </c>
      <c r="J36" s="90"/>
      <c r="K36" s="90"/>
      <c r="L36" s="90"/>
      <c r="M36" s="3"/>
    </row>
    <row r="37" spans="2:13" ht="19">
      <c r="B37" s="216"/>
      <c r="C37" s="220"/>
      <c r="D37" s="8" t="str">
        <f>MSR!D8</f>
        <v>PA_ETX Board</v>
      </c>
      <c r="E37" s="8" t="str">
        <f>MSR!E8</f>
        <v>R1B002189</v>
      </c>
      <c r="F37" s="8" t="str">
        <f>MSR!N8</f>
        <v>BEUPSYS</v>
      </c>
      <c r="G37" s="8" t="str">
        <f>MSR!O8</f>
        <v>BEUPSYS</v>
      </c>
      <c r="H37" s="8">
        <f>MSR!L8</f>
        <v>474791</v>
      </c>
      <c r="I37" s="8">
        <f>MSR!M8</f>
        <v>24214341</v>
      </c>
      <c r="J37" s="90"/>
      <c r="K37" s="90"/>
      <c r="L37" s="90"/>
      <c r="M37" s="3"/>
    </row>
    <row r="38" spans="2:13" ht="19">
      <c r="B38" s="216"/>
      <c r="C38" s="220"/>
      <c r="D38" s="8" t="str">
        <f>MSR!D9</f>
        <v>NVR Board</v>
      </c>
      <c r="E38" s="8" t="str">
        <f>MSR!E9</f>
        <v>R1B002193 Rev.1</v>
      </c>
      <c r="F38" s="8" t="str">
        <f>MSR!N9</f>
        <v>BEUPSYS</v>
      </c>
      <c r="G38" s="8" t="str">
        <f>MSR!O9</f>
        <v>BEUPSYS</v>
      </c>
      <c r="H38" s="8">
        <v>913923</v>
      </c>
      <c r="I38" s="8">
        <f>MSR!M9</f>
        <v>46610073</v>
      </c>
      <c r="J38" s="90"/>
      <c r="K38" s="90"/>
      <c r="L38" s="90">
        <v>51</v>
      </c>
      <c r="M38" s="3"/>
    </row>
    <row r="39" spans="2:13" ht="38">
      <c r="B39" s="216"/>
      <c r="C39" s="220"/>
      <c r="D39" s="134" t="str">
        <f>MSR!D10</f>
        <v>CPU
TC170/i5-6300U</v>
      </c>
      <c r="E39" s="111" t="str">
        <f>MSR!E10</f>
        <v>-</v>
      </c>
      <c r="F39" s="111" t="str">
        <f>MSR!N10</f>
        <v>이엔엠테크놀로지</v>
      </c>
      <c r="G39" s="111" t="str">
        <f>MSR!O10</f>
        <v>CONGA</v>
      </c>
      <c r="H39" s="109">
        <f>MSR!L10</f>
        <v>763</v>
      </c>
      <c r="I39" s="109">
        <f>MSR!M10</f>
        <v>45780</v>
      </c>
      <c r="J39" s="90"/>
      <c r="K39" s="90"/>
      <c r="L39" s="90"/>
      <c r="M39" s="3"/>
    </row>
    <row r="40" spans="2:13" ht="38">
      <c r="B40" s="216"/>
      <c r="C40" s="220"/>
      <c r="D40" s="134" t="str">
        <f>MSR!D11</f>
        <v>CPU BRACKET 
TC170/CSP-B</v>
      </c>
      <c r="E40" s="111" t="str">
        <f>MSR!E11</f>
        <v>-</v>
      </c>
      <c r="F40" s="111" t="str">
        <f>MSR!N11</f>
        <v>이엔엠테크놀로지</v>
      </c>
      <c r="G40" s="111" t="str">
        <f>MSR!O11</f>
        <v>CONGA</v>
      </c>
      <c r="H40" s="109">
        <f>MSR!L11</f>
        <v>43.3</v>
      </c>
      <c r="I40" s="109">
        <f>MSR!M11</f>
        <v>2598</v>
      </c>
      <c r="J40" s="90"/>
      <c r="K40" s="90"/>
      <c r="L40" s="90"/>
      <c r="M40" s="3"/>
    </row>
    <row r="41" spans="2:13" ht="57">
      <c r="B41" s="216"/>
      <c r="C41" s="220"/>
      <c r="D41" s="135" t="str">
        <f>MSR!D12</f>
        <v>DDR4
(DDR4 4GB SODIMM 2400MT/S)</v>
      </c>
      <c r="E41" s="133" t="str">
        <f>MSR!E12</f>
        <v>-</v>
      </c>
      <c r="F41" s="133" t="str">
        <f>MSR!N12</f>
        <v>이노디스크</v>
      </c>
      <c r="G41" s="133" t="str">
        <f>MSR!O12</f>
        <v>이노디스크</v>
      </c>
      <c r="H41" s="82">
        <f>MSR!L12</f>
        <v>36000</v>
      </c>
      <c r="I41" s="82">
        <f>MSR!M12</f>
        <v>2160000</v>
      </c>
      <c r="J41" s="90"/>
      <c r="K41" s="90"/>
      <c r="L41" s="90"/>
      <c r="M41" s="12" t="s">
        <v>222</v>
      </c>
    </row>
    <row r="42" spans="2:13" ht="19">
      <c r="B42" s="216"/>
      <c r="C42" s="220"/>
      <c r="D42" s="8" t="str">
        <f>MSR!D13</f>
        <v>SSD Board</v>
      </c>
      <c r="E42" s="8" t="str">
        <f>MSR!E13</f>
        <v>R1B002191</v>
      </c>
      <c r="F42" s="8" t="str">
        <f>MSR!N13</f>
        <v>BEUPSYS</v>
      </c>
      <c r="G42" s="8" t="str">
        <f>MSR!O13</f>
        <v>BEUPSYS</v>
      </c>
      <c r="H42" s="8">
        <f>MSR!L13</f>
        <v>339000</v>
      </c>
      <c r="I42" s="8">
        <f>MSR!M13</f>
        <v>34578000</v>
      </c>
      <c r="J42" s="90"/>
      <c r="K42" s="90"/>
      <c r="L42" s="90"/>
      <c r="M42" s="3"/>
    </row>
    <row r="43" spans="2:13" ht="19">
      <c r="B43" s="216"/>
      <c r="C43" s="220"/>
      <c r="D43" s="111" t="str">
        <f>MSR!D14</f>
        <v>MSR Back Plane</v>
      </c>
      <c r="E43" s="111" t="str">
        <f>MSR!E14</f>
        <v>R1D007456</v>
      </c>
      <c r="F43" s="111" t="str">
        <f>MSR!N14</f>
        <v>앤츠</v>
      </c>
      <c r="G43" s="111" t="str">
        <f>MSR!O14</f>
        <v>앤츠</v>
      </c>
      <c r="H43" s="111">
        <f>MSR!L14</f>
        <v>300000</v>
      </c>
      <c r="I43" s="111">
        <f>MSR!M14</f>
        <v>16500000</v>
      </c>
      <c r="J43" s="112">
        <v>45499</v>
      </c>
      <c r="K43" s="112">
        <v>45499</v>
      </c>
      <c r="L43" s="108" t="s">
        <v>170</v>
      </c>
      <c r="M43" s="3"/>
    </row>
    <row r="44" spans="2:13" ht="19">
      <c r="B44" s="216"/>
      <c r="C44" s="220"/>
      <c r="D44" s="111" t="str">
        <f>MSR!D15</f>
        <v>Frame</v>
      </c>
      <c r="E44" s="111" t="str">
        <f>MSR!E15</f>
        <v>R1B002086</v>
      </c>
      <c r="F44" s="111" t="str">
        <f>MSR!N15</f>
        <v>USK</v>
      </c>
      <c r="G44" s="111" t="str">
        <f>MSR!O15</f>
        <v>USK</v>
      </c>
      <c r="H44" s="111">
        <f>MSR!L15</f>
        <v>630000</v>
      </c>
      <c r="I44" s="111">
        <f>MSR!M15</f>
        <v>32130000</v>
      </c>
      <c r="J44" s="112">
        <v>45497</v>
      </c>
      <c r="K44" s="112">
        <v>45497</v>
      </c>
      <c r="L44" s="108">
        <v>51</v>
      </c>
      <c r="M44" s="3"/>
    </row>
    <row r="45" spans="2:13" ht="19">
      <c r="B45" s="216"/>
      <c r="C45" s="220"/>
      <c r="D45" s="8" t="str">
        <f>MSR!D16</f>
        <v>Name Plate, AL, T1</v>
      </c>
      <c r="E45" s="8" t="str">
        <f>MSR!E16</f>
        <v>R1C001342_4</v>
      </c>
      <c r="F45" s="8" t="str">
        <f>MSR!N16</f>
        <v>-</v>
      </c>
      <c r="G45" s="8" t="str">
        <f>MSR!O16</f>
        <v>-</v>
      </c>
      <c r="H45" s="8" t="str">
        <f>MSR!L16</f>
        <v>-</v>
      </c>
      <c r="I45" s="8" t="str">
        <f>MSR!M16</f>
        <v>-</v>
      </c>
      <c r="J45" s="90"/>
      <c r="K45" s="90"/>
      <c r="L45" s="90"/>
      <c r="M45" s="3"/>
    </row>
    <row r="46" spans="2:13" ht="19">
      <c r="B46" s="216"/>
      <c r="C46" s="220"/>
      <c r="D46" s="133" t="str">
        <f>MSR!D17</f>
        <v>SSD(2T)</v>
      </c>
      <c r="E46" s="133" t="str">
        <f>MSR!E17</f>
        <v>-</v>
      </c>
      <c r="F46" s="133" t="str">
        <f>MSR!N17</f>
        <v>이노디스크</v>
      </c>
      <c r="G46" s="133" t="str">
        <f>MSR!O17</f>
        <v>이노디스크</v>
      </c>
      <c r="H46" s="82">
        <f>MSR!L17</f>
        <v>490000</v>
      </c>
      <c r="I46" s="82">
        <f>MSR!M17</f>
        <v>50960000</v>
      </c>
      <c r="J46" s="113"/>
      <c r="K46" s="113"/>
      <c r="L46" s="31"/>
      <c r="M46" s="12" t="s">
        <v>222</v>
      </c>
    </row>
    <row r="47" spans="2:13" ht="18">
      <c r="B47" s="216"/>
      <c r="C47" s="220"/>
      <c r="D47" s="139"/>
      <c r="E47" s="139"/>
      <c r="F47" s="139"/>
      <c r="G47" s="139"/>
      <c r="H47" s="143"/>
      <c r="I47" s="144"/>
      <c r="J47" s="145"/>
      <c r="K47" s="145"/>
      <c r="L47" s="146"/>
      <c r="M47" s="142"/>
    </row>
    <row r="48" spans="2:13" ht="19">
      <c r="B48" s="217"/>
      <c r="C48" s="221"/>
      <c r="D48" s="103" t="s">
        <v>172</v>
      </c>
      <c r="E48" s="103"/>
      <c r="F48" s="104" t="s">
        <v>158</v>
      </c>
      <c r="G48" s="104" t="s">
        <v>158</v>
      </c>
      <c r="H48" s="105"/>
      <c r="I48" s="111">
        <f>MSR!M42</f>
        <v>19889390</v>
      </c>
      <c r="J48" s="92">
        <v>45497</v>
      </c>
      <c r="K48" s="92">
        <v>45497</v>
      </c>
      <c r="L48" s="104"/>
      <c r="M48" s="10"/>
    </row>
    <row r="49" spans="2:13" ht="19">
      <c r="B49" s="218">
        <v>3</v>
      </c>
      <c r="C49" s="219" t="s">
        <v>4</v>
      </c>
      <c r="D49" s="106"/>
      <c r="E49" s="107" t="s">
        <v>3</v>
      </c>
      <c r="F49" s="90"/>
      <c r="G49" s="90"/>
      <c r="H49" s="8"/>
      <c r="I49" s="8"/>
      <c r="J49" s="90"/>
      <c r="K49" s="90"/>
      <c r="L49" s="90"/>
      <c r="M49" s="3"/>
    </row>
    <row r="50" spans="2:13" ht="19">
      <c r="B50" s="216"/>
      <c r="C50" s="220"/>
      <c r="D50" s="8" t="str">
        <f>CTM!D3</f>
        <v>Main Frame</v>
      </c>
      <c r="E50" s="8" t="str">
        <f>CTM!E3</f>
        <v>R1B002140</v>
      </c>
      <c r="F50" s="8" t="str">
        <f>CTM!N3</f>
        <v>세일엔지니어링</v>
      </c>
      <c r="G50" s="8" t="str">
        <f>CTM!O3</f>
        <v>세일엔지니어링</v>
      </c>
      <c r="H50" s="8">
        <f>CTM!L3</f>
        <v>304800</v>
      </c>
      <c r="I50" s="8">
        <f>CTM!M3</f>
        <v>15544800</v>
      </c>
      <c r="J50" s="90"/>
      <c r="K50" s="90"/>
      <c r="L50" s="90"/>
      <c r="M50" s="3"/>
    </row>
    <row r="51" spans="2:13" ht="19">
      <c r="B51" s="216"/>
      <c r="C51" s="220"/>
      <c r="D51" s="8" t="str">
        <f>CTM!D4</f>
        <v>Lower Cover</v>
      </c>
      <c r="E51" s="8" t="str">
        <f>CTM!E4</f>
        <v>R1C001370</v>
      </c>
      <c r="F51" s="8" t="str">
        <f>CTM!N4</f>
        <v>세일엔지니어링</v>
      </c>
      <c r="G51" s="8" t="str">
        <f>CTM!O4</f>
        <v>세일엔지니어링</v>
      </c>
      <c r="H51" s="8" t="str">
        <f>CTM!L4</f>
        <v>-</v>
      </c>
      <c r="I51" s="8" t="str">
        <f>CTM!M4</f>
        <v>-</v>
      </c>
      <c r="J51" s="90"/>
      <c r="K51" s="90"/>
      <c r="L51" s="90"/>
      <c r="M51" s="3"/>
    </row>
    <row r="52" spans="2:13" ht="19">
      <c r="B52" s="216"/>
      <c r="C52" s="220"/>
      <c r="D52" s="8" t="str">
        <f>CTM!D5</f>
        <v>Rear Cover</v>
      </c>
      <c r="E52" s="8" t="str">
        <f>CTM!E5</f>
        <v>R1B002142</v>
      </c>
      <c r="F52" s="8" t="str">
        <f>CTM!N5</f>
        <v>세일엔지니어링</v>
      </c>
      <c r="G52" s="8" t="str">
        <f>CTM!O5</f>
        <v>세일엔지니어링</v>
      </c>
      <c r="H52" s="8" t="str">
        <f>CTM!L5</f>
        <v>-</v>
      </c>
      <c r="I52" s="8" t="str">
        <f>CTM!M5</f>
        <v>-</v>
      </c>
      <c r="J52" s="90"/>
      <c r="K52" s="90"/>
      <c r="L52" s="90"/>
      <c r="M52" s="3"/>
    </row>
    <row r="53" spans="2:13" ht="19">
      <c r="B53" s="216"/>
      <c r="C53" s="220"/>
      <c r="D53" s="111" t="str">
        <f>CTM!D6</f>
        <v>10.4" LCD</v>
      </c>
      <c r="E53" s="111" t="str">
        <f>CTM!E6</f>
        <v>RES40001002</v>
      </c>
      <c r="F53" s="111" t="str">
        <f>CTM!N6</f>
        <v>티렉스아이엔씨</v>
      </c>
      <c r="G53" s="111" t="str">
        <f>CTM!O6</f>
        <v>CPT</v>
      </c>
      <c r="H53" s="111">
        <f>CTM!L6</f>
        <v>185000</v>
      </c>
      <c r="I53" s="111">
        <f>CTM!M6</f>
        <v>11100000</v>
      </c>
      <c r="J53" s="112">
        <v>45497</v>
      </c>
      <c r="K53" s="112">
        <v>45497</v>
      </c>
      <c r="L53" s="108" t="s">
        <v>169</v>
      </c>
      <c r="M53" s="11" t="s">
        <v>101</v>
      </c>
    </row>
    <row r="54" spans="2:13" ht="19">
      <c r="B54" s="216"/>
      <c r="C54" s="220"/>
      <c r="D54" s="8" t="str">
        <f>CTM!D7</f>
        <v>Control Board Bracket</v>
      </c>
      <c r="E54" s="8" t="str">
        <f>CTM!E7</f>
        <v>R1C001371</v>
      </c>
      <c r="F54" s="8" t="str">
        <f>CTM!N7</f>
        <v>세일엔지니어링</v>
      </c>
      <c r="G54" s="8" t="str">
        <f>CTM!O7</f>
        <v>세일엔지니어링</v>
      </c>
      <c r="H54" s="8" t="str">
        <f>CTM!L7</f>
        <v>-</v>
      </c>
      <c r="I54" s="114" t="s">
        <v>200</v>
      </c>
      <c r="J54" s="90"/>
      <c r="K54" s="90"/>
      <c r="L54" s="90"/>
      <c r="M54" s="3"/>
    </row>
    <row r="55" spans="2:13" ht="19">
      <c r="B55" s="216"/>
      <c r="C55" s="220"/>
      <c r="D55" s="8" t="str">
        <f>CTM!D8</f>
        <v>Control Board</v>
      </c>
      <c r="E55" s="8" t="str">
        <f>CTM!E8</f>
        <v>R1C001372 Rev.1</v>
      </c>
      <c r="F55" s="8" t="str">
        <f>CTM!N8</f>
        <v>BEUPSYS</v>
      </c>
      <c r="G55" s="8" t="str">
        <f>CTM!O8</f>
        <v>BEUPSYS</v>
      </c>
      <c r="H55" s="8">
        <f>CTM!L8</f>
        <v>923923</v>
      </c>
      <c r="I55" s="114" t="s">
        <v>200</v>
      </c>
      <c r="J55" s="90"/>
      <c r="K55" s="90"/>
      <c r="L55" s="90"/>
      <c r="M55" s="3"/>
    </row>
    <row r="56" spans="2:13" ht="19">
      <c r="B56" s="216"/>
      <c r="C56" s="220"/>
      <c r="D56" s="134" t="str">
        <f>CTM!D9</f>
        <v xml:space="preserve">CPU TCA3/i-E3845 </v>
      </c>
      <c r="E56" s="111" t="str">
        <f>CTM!E9</f>
        <v>-</v>
      </c>
      <c r="F56" s="111" t="str">
        <f>CTM!N9</f>
        <v>이엔엠테크놀로지</v>
      </c>
      <c r="G56" s="111" t="str">
        <f>CTM!O9</f>
        <v>CONGA</v>
      </c>
      <c r="H56" s="109">
        <f>CTM!L9</f>
        <v>327</v>
      </c>
      <c r="I56" s="109">
        <f>CTM!M9</f>
        <v>22890</v>
      </c>
      <c r="J56" s="112">
        <v>45684</v>
      </c>
      <c r="K56" s="112">
        <v>45442</v>
      </c>
      <c r="L56" s="112" t="s">
        <v>104</v>
      </c>
      <c r="M56" s="3" t="s">
        <v>101</v>
      </c>
    </row>
    <row r="57" spans="2:13" ht="19">
      <c r="B57" s="216"/>
      <c r="C57" s="220"/>
      <c r="D57" s="134" t="str">
        <f>CTM!D10</f>
        <v xml:space="preserve">CPU BRACKET TCA3/CSP-B </v>
      </c>
      <c r="E57" s="111" t="str">
        <f>CTM!E10</f>
        <v>-</v>
      </c>
      <c r="F57" s="111" t="str">
        <f>CTM!N10</f>
        <v>이엔엠테크놀로지</v>
      </c>
      <c r="G57" s="111" t="str">
        <f>CTM!O10</f>
        <v>CONGA</v>
      </c>
      <c r="H57" s="109">
        <f>CTM!L10</f>
        <v>40.6</v>
      </c>
      <c r="I57" s="109">
        <f>CTM!M10</f>
        <v>2842</v>
      </c>
      <c r="J57" s="112">
        <v>45684</v>
      </c>
      <c r="K57" s="112">
        <v>45442</v>
      </c>
      <c r="L57" s="112" t="s">
        <v>104</v>
      </c>
      <c r="M57" s="3" t="s">
        <v>101</v>
      </c>
    </row>
    <row r="58" spans="2:13" ht="57">
      <c r="B58" s="216"/>
      <c r="C58" s="220"/>
      <c r="D58" s="135" t="str">
        <f>CTM!D11</f>
        <v>DDR4
(DDR3L 4GB SODIMM 1600MT/S)</v>
      </c>
      <c r="E58" s="133" t="str">
        <f>CTM!E11</f>
        <v>-</v>
      </c>
      <c r="F58" s="133" t="str">
        <f>CTM!N11</f>
        <v>이노디스크</v>
      </c>
      <c r="G58" s="133" t="str">
        <f>CTM!O11</f>
        <v>이노디스크</v>
      </c>
      <c r="H58" s="82">
        <f>CTM!L11</f>
        <v>36000</v>
      </c>
      <c r="I58" s="82">
        <f>CTM!M11</f>
        <v>2520000</v>
      </c>
      <c r="J58" s="113"/>
      <c r="K58" s="113"/>
      <c r="L58" s="113"/>
      <c r="M58" s="12" t="s">
        <v>222</v>
      </c>
    </row>
    <row r="59" spans="2:13" ht="19">
      <c r="B59" s="216"/>
      <c r="C59" s="220"/>
      <c r="D59" s="8" t="str">
        <f>CTM!D12</f>
        <v>Power Board</v>
      </c>
      <c r="E59" s="8" t="str">
        <f>CTM!E12</f>
        <v>R1C001369</v>
      </c>
      <c r="F59" s="8" t="str">
        <f>CTM!N12</f>
        <v>이지파워</v>
      </c>
      <c r="G59" s="8" t="str">
        <f>CTM!O12</f>
        <v>이지파워</v>
      </c>
      <c r="H59" s="8">
        <f>CTM!L12</f>
        <v>112000</v>
      </c>
      <c r="I59" s="8">
        <f>CTM!M12</f>
        <v>6720000</v>
      </c>
      <c r="J59" s="90"/>
      <c r="K59" s="90"/>
      <c r="L59" s="90"/>
      <c r="M59" s="3"/>
    </row>
    <row r="60" spans="2:13" ht="19">
      <c r="B60" s="216"/>
      <c r="C60" s="220"/>
      <c r="D60" s="111" t="str">
        <f>CTM!D13</f>
        <v>3P Connector</v>
      </c>
      <c r="E60" s="111" t="str">
        <f>CTM!E13</f>
        <v>770-213</v>
      </c>
      <c r="F60" s="111" t="str">
        <f>CTM!N13</f>
        <v>아이닉스</v>
      </c>
      <c r="G60" s="111" t="str">
        <f>CTM!O13</f>
        <v>WAGO</v>
      </c>
      <c r="H60" s="115">
        <f>CTM!L13</f>
        <v>2800</v>
      </c>
      <c r="I60" s="115">
        <f>CTM!M13</f>
        <v>154000</v>
      </c>
      <c r="J60" s="92">
        <v>45497</v>
      </c>
      <c r="K60" s="92">
        <v>45497</v>
      </c>
      <c r="L60" s="93" t="s">
        <v>170</v>
      </c>
      <c r="M60" s="11"/>
    </row>
    <row r="61" spans="2:13" ht="19">
      <c r="B61" s="216"/>
      <c r="C61" s="220"/>
      <c r="D61" s="111" t="str">
        <f>CTM!D14</f>
        <v>Locking</v>
      </c>
      <c r="E61" s="111" t="str">
        <f>CTM!E14</f>
        <v>770-101</v>
      </c>
      <c r="F61" s="111" t="str">
        <f>CTM!N14</f>
        <v>아이닉스</v>
      </c>
      <c r="G61" s="111" t="str">
        <f>CTM!O14</f>
        <v>WAGO</v>
      </c>
      <c r="H61" s="115">
        <f>CTM!L14</f>
        <v>350</v>
      </c>
      <c r="I61" s="115">
        <f>CTM!M14</f>
        <v>19250</v>
      </c>
      <c r="J61" s="92">
        <v>45497</v>
      </c>
      <c r="K61" s="92">
        <v>45497</v>
      </c>
      <c r="L61" s="93" t="s">
        <v>170</v>
      </c>
      <c r="M61" s="11"/>
    </row>
    <row r="62" spans="2:13" ht="19">
      <c r="B62" s="216"/>
      <c r="C62" s="220"/>
      <c r="D62" s="111" t="str">
        <f>CTM!D15</f>
        <v>4P Connector</v>
      </c>
      <c r="E62" s="111" t="str">
        <f>CTM!E15</f>
        <v>21 03 882 2405</v>
      </c>
      <c r="F62" s="111" t="str">
        <f>CTM!N15</f>
        <v>아이닉스</v>
      </c>
      <c r="G62" s="111" t="str">
        <f>CTM!O15</f>
        <v>HARTING</v>
      </c>
      <c r="H62" s="115">
        <f>CTM!L15</f>
        <v>32300</v>
      </c>
      <c r="I62" s="115">
        <f>CTM!M15</f>
        <v>6589200</v>
      </c>
      <c r="J62" s="92">
        <v>45497</v>
      </c>
      <c r="K62" s="92">
        <v>45497</v>
      </c>
      <c r="L62" s="93" t="s">
        <v>170</v>
      </c>
      <c r="M62" s="11"/>
    </row>
    <row r="63" spans="2:13" ht="19">
      <c r="B63" s="216"/>
      <c r="C63" s="220"/>
      <c r="D63" s="111" t="str">
        <f>CTM!D16</f>
        <v>Pin</v>
      </c>
      <c r="E63" s="111" t="str">
        <f>CTM!E16</f>
        <v>09 67 000 5476</v>
      </c>
      <c r="F63" s="111" t="str">
        <f>CTM!N16</f>
        <v>아이닉스</v>
      </c>
      <c r="G63" s="111" t="str">
        <f>CTM!O16</f>
        <v>HARTING</v>
      </c>
      <c r="H63" s="115">
        <f>CTM!L16</f>
        <v>1300</v>
      </c>
      <c r="I63" s="115">
        <f>CTM!M16</f>
        <v>1060800</v>
      </c>
      <c r="J63" s="92">
        <v>45497</v>
      </c>
      <c r="K63" s="92">
        <v>45497</v>
      </c>
      <c r="L63" s="93" t="s">
        <v>170</v>
      </c>
      <c r="M63" s="11"/>
    </row>
    <row r="64" spans="2:13" ht="19">
      <c r="B64" s="216"/>
      <c r="C64" s="220"/>
      <c r="D64" s="111" t="str">
        <f>CTM!D17</f>
        <v>Cable Gland</v>
      </c>
      <c r="E64" s="111" t="str">
        <f>CTM!E17</f>
        <v>DAM-25</v>
      </c>
      <c r="F64" s="111" t="str">
        <f>CTM!N17</f>
        <v>아이닉스</v>
      </c>
      <c r="G64" s="111" t="str">
        <f>CTM!O17</f>
        <v>DONGA</v>
      </c>
      <c r="H64" s="115">
        <f>CTM!L17</f>
        <v>1000</v>
      </c>
      <c r="I64" s="115">
        <f>CTM!M17</f>
        <v>110000</v>
      </c>
      <c r="J64" s="92">
        <v>45497</v>
      </c>
      <c r="K64" s="92">
        <v>45497</v>
      </c>
      <c r="L64" s="93" t="s">
        <v>170</v>
      </c>
      <c r="M64" s="11"/>
    </row>
    <row r="65" spans="2:13" ht="19">
      <c r="B65" s="216"/>
      <c r="C65" s="220"/>
      <c r="D65" s="133" t="str">
        <f>CTM!D18</f>
        <v>USB Adapter</v>
      </c>
      <c r="E65" s="133" t="str">
        <f>CTM!E18</f>
        <v>ECF504-12AAS (600mm)</v>
      </c>
      <c r="F65" s="133" t="str">
        <f>CTM!N18</f>
        <v>아이닉스</v>
      </c>
      <c r="G65" s="133" t="str">
        <f>CTM!O18</f>
        <v>L-COM</v>
      </c>
      <c r="H65" s="116">
        <f>CTM!L18</f>
        <v>28900</v>
      </c>
      <c r="I65" s="116">
        <f>CTM!M18</f>
        <v>1589500</v>
      </c>
      <c r="J65" s="97"/>
      <c r="K65" s="97"/>
      <c r="L65" s="98"/>
      <c r="M65" s="12" t="s">
        <v>222</v>
      </c>
    </row>
    <row r="66" spans="2:13" ht="19">
      <c r="B66" s="216"/>
      <c r="C66" s="220"/>
      <c r="D66" s="8" t="str">
        <f>CTM!D19</f>
        <v>Name Plate</v>
      </c>
      <c r="E66" s="8" t="str">
        <f>CTM!E19</f>
        <v>R1C001342_12</v>
      </c>
      <c r="F66" s="8" t="str">
        <f>CTM!N19</f>
        <v>-</v>
      </c>
      <c r="G66" s="8" t="str">
        <f>CTM!O19</f>
        <v>-</v>
      </c>
      <c r="H66" s="8" t="str">
        <f>CTM!L19</f>
        <v>-</v>
      </c>
      <c r="I66" s="8" t="str">
        <f>CTM!M19</f>
        <v>-</v>
      </c>
      <c r="J66" s="90"/>
      <c r="K66" s="90"/>
      <c r="L66" s="90"/>
      <c r="M66" s="3"/>
    </row>
    <row r="67" spans="2:13" ht="18">
      <c r="B67" s="216"/>
      <c r="C67" s="220"/>
      <c r="D67" s="7"/>
      <c r="E67" s="7"/>
      <c r="F67" s="7"/>
      <c r="G67" s="7"/>
      <c r="H67" s="7"/>
      <c r="I67" s="8"/>
      <c r="J67" s="90"/>
      <c r="K67" s="90"/>
      <c r="L67" s="89"/>
      <c r="M67" s="2"/>
    </row>
    <row r="68" spans="2:13" ht="19">
      <c r="B68" s="217"/>
      <c r="C68" s="221"/>
      <c r="D68" s="103" t="s">
        <v>172</v>
      </c>
      <c r="E68" s="103"/>
      <c r="F68" s="104" t="s">
        <v>158</v>
      </c>
      <c r="G68" s="104" t="s">
        <v>158</v>
      </c>
      <c r="H68" s="105"/>
      <c r="I68" s="111">
        <f>CTM!M34</f>
        <v>310200</v>
      </c>
      <c r="J68" s="92">
        <v>45497</v>
      </c>
      <c r="K68" s="92">
        <v>45497</v>
      </c>
      <c r="L68" s="104"/>
      <c r="M68" s="10"/>
    </row>
    <row r="69" spans="2:13" ht="18">
      <c r="B69" s="218"/>
      <c r="C69" s="219"/>
      <c r="D69" s="106"/>
      <c r="E69" s="107"/>
      <c r="F69" s="90"/>
      <c r="G69" s="90"/>
      <c r="H69" s="8"/>
      <c r="I69" s="8"/>
      <c r="J69" s="90"/>
      <c r="K69" s="90"/>
      <c r="L69" s="90"/>
      <c r="M69" s="3"/>
    </row>
    <row r="70" spans="2:13" ht="18">
      <c r="B70" s="216"/>
      <c r="C70" s="220"/>
      <c r="D70" s="115"/>
      <c r="E70" s="115"/>
      <c r="F70" s="115"/>
      <c r="G70" s="115"/>
      <c r="H70" s="115"/>
      <c r="I70" s="115"/>
      <c r="J70" s="117"/>
      <c r="K70" s="117"/>
      <c r="L70" s="117"/>
      <c r="M70" s="3"/>
    </row>
    <row r="71" spans="2:13" ht="18">
      <c r="B71" s="216"/>
      <c r="C71" s="220"/>
      <c r="D71" s="115"/>
      <c r="E71" s="115"/>
      <c r="F71" s="115"/>
      <c r="G71" s="115"/>
      <c r="H71" s="115"/>
      <c r="I71" s="115"/>
      <c r="J71" s="93"/>
      <c r="K71" s="93"/>
      <c r="L71" s="93"/>
      <c r="M71" s="3"/>
    </row>
    <row r="72" spans="2:13" ht="18">
      <c r="B72" s="216"/>
      <c r="C72" s="220"/>
      <c r="D72" s="115"/>
      <c r="E72" s="115"/>
      <c r="F72" s="115"/>
      <c r="G72" s="115"/>
      <c r="H72" s="115"/>
      <c r="I72" s="115"/>
      <c r="J72" s="93"/>
      <c r="K72" s="93"/>
      <c r="L72" s="93"/>
      <c r="M72" s="3"/>
    </row>
    <row r="73" spans="2:13" ht="18">
      <c r="B73" s="216"/>
      <c r="C73" s="220"/>
      <c r="D73" s="115"/>
      <c r="E73" s="115"/>
      <c r="F73" s="115"/>
      <c r="G73" s="115"/>
      <c r="H73" s="115"/>
      <c r="I73" s="115"/>
      <c r="J73" s="93"/>
      <c r="K73" s="93"/>
      <c r="L73" s="93"/>
      <c r="M73" s="3"/>
    </row>
    <row r="74" spans="2:13" ht="18">
      <c r="B74" s="216"/>
      <c r="C74" s="220"/>
      <c r="D74" s="138"/>
      <c r="E74" s="138"/>
      <c r="F74" s="138"/>
      <c r="G74" s="138"/>
      <c r="H74" s="8"/>
      <c r="I74" s="8"/>
      <c r="J74" s="118"/>
      <c r="K74" s="90"/>
      <c r="L74" s="90"/>
      <c r="M74" s="3"/>
    </row>
    <row r="75" spans="2:13" ht="18">
      <c r="B75" s="216"/>
      <c r="C75" s="220"/>
      <c r="D75" s="138"/>
      <c r="E75" s="138"/>
      <c r="F75" s="138"/>
      <c r="G75" s="138"/>
      <c r="H75" s="8"/>
      <c r="I75" s="8"/>
      <c r="J75" s="90"/>
      <c r="K75" s="90"/>
      <c r="L75" s="90"/>
      <c r="M75" s="3"/>
    </row>
    <row r="76" spans="2:13" ht="18">
      <c r="B76" s="216"/>
      <c r="C76" s="220"/>
      <c r="D76" s="115"/>
      <c r="E76" s="115"/>
      <c r="F76" s="115"/>
      <c r="G76" s="115"/>
      <c r="H76" s="115"/>
      <c r="I76" s="115"/>
      <c r="J76" s="92"/>
      <c r="K76" s="92"/>
      <c r="L76" s="93"/>
      <c r="M76" s="3"/>
    </row>
    <row r="77" spans="2:13" ht="18">
      <c r="B77" s="216"/>
      <c r="C77" s="220"/>
      <c r="D77" s="115"/>
      <c r="E77" s="115"/>
      <c r="F77" s="115"/>
      <c r="G77" s="115"/>
      <c r="H77" s="115"/>
      <c r="I77" s="115"/>
      <c r="J77" s="92"/>
      <c r="K77" s="92"/>
      <c r="L77" s="93"/>
      <c r="M77" s="3"/>
    </row>
    <row r="78" spans="2:13" ht="18">
      <c r="B78" s="216"/>
      <c r="C78" s="220"/>
      <c r="D78" s="115"/>
      <c r="E78" s="115"/>
      <c r="F78" s="115"/>
      <c r="G78" s="115"/>
      <c r="H78" s="115"/>
      <c r="I78" s="115"/>
      <c r="J78" s="92"/>
      <c r="K78" s="92"/>
      <c r="L78" s="93"/>
      <c r="M78" s="3"/>
    </row>
    <row r="79" spans="2:13" ht="18">
      <c r="B79" s="216"/>
      <c r="C79" s="220"/>
      <c r="D79" s="115"/>
      <c r="E79" s="115"/>
      <c r="F79" s="115"/>
      <c r="G79" s="115"/>
      <c r="H79" s="115"/>
      <c r="I79" s="115"/>
      <c r="J79" s="92"/>
      <c r="K79" s="92"/>
      <c r="L79" s="93"/>
      <c r="M79" s="3"/>
    </row>
    <row r="80" spans="2:13" ht="18">
      <c r="B80" s="216"/>
      <c r="C80" s="220"/>
      <c r="D80" s="115"/>
      <c r="E80" s="115"/>
      <c r="F80" s="115"/>
      <c r="G80" s="115"/>
      <c r="H80" s="115"/>
      <c r="I80" s="115"/>
      <c r="J80" s="92"/>
      <c r="K80" s="92"/>
      <c r="L80" s="93"/>
      <c r="M80" s="3"/>
    </row>
    <row r="81" spans="2:13" ht="18">
      <c r="B81" s="216"/>
      <c r="C81" s="220"/>
      <c r="D81" s="115"/>
      <c r="E81" s="115"/>
      <c r="F81" s="115"/>
      <c r="G81" s="115"/>
      <c r="H81" s="115"/>
      <c r="I81" s="115"/>
      <c r="J81" s="92"/>
      <c r="K81" s="92"/>
      <c r="L81" s="93"/>
      <c r="M81" s="3"/>
    </row>
    <row r="82" spans="2:13" ht="18">
      <c r="B82" s="216"/>
      <c r="C82" s="220"/>
      <c r="D82" s="115"/>
      <c r="E82" s="115"/>
      <c r="F82" s="115"/>
      <c r="G82" s="115"/>
      <c r="H82" s="115"/>
      <c r="I82" s="115"/>
      <c r="J82" s="92"/>
      <c r="K82" s="92"/>
      <c r="L82" s="93"/>
      <c r="M82" s="3"/>
    </row>
    <row r="83" spans="2:13" ht="18">
      <c r="B83" s="216"/>
      <c r="C83" s="220"/>
      <c r="D83" s="115"/>
      <c r="E83" s="115"/>
      <c r="F83" s="115"/>
      <c r="G83" s="115"/>
      <c r="H83" s="115"/>
      <c r="I83" s="115"/>
      <c r="J83" s="92"/>
      <c r="K83" s="92"/>
      <c r="L83" s="93"/>
      <c r="M83" s="3"/>
    </row>
    <row r="84" spans="2:13" ht="18">
      <c r="B84" s="216"/>
      <c r="C84" s="220"/>
      <c r="D84" s="138"/>
      <c r="E84" s="138"/>
      <c r="F84" s="138"/>
      <c r="G84" s="138"/>
      <c r="H84" s="8"/>
      <c r="I84" s="8"/>
      <c r="J84" s="118"/>
      <c r="K84" s="90"/>
      <c r="L84" s="90"/>
      <c r="M84" s="3"/>
    </row>
    <row r="85" spans="2:13" ht="18">
      <c r="B85" s="216"/>
      <c r="C85" s="220"/>
      <c r="D85" s="138"/>
      <c r="E85" s="138"/>
      <c r="F85" s="138"/>
      <c r="G85" s="138"/>
      <c r="H85" s="8"/>
      <c r="I85" s="8"/>
      <c r="J85" s="90"/>
      <c r="K85" s="90"/>
      <c r="L85" s="90"/>
      <c r="M85" s="3"/>
    </row>
    <row r="86" spans="2:13" ht="18">
      <c r="B86" s="216"/>
      <c r="C86" s="220"/>
      <c r="D86" s="100"/>
      <c r="E86" s="100"/>
      <c r="F86" s="100"/>
      <c r="G86" s="100"/>
      <c r="H86" s="7"/>
      <c r="I86" s="7"/>
      <c r="J86" s="90"/>
      <c r="K86" s="90"/>
      <c r="L86" s="89"/>
      <c r="M86" s="2"/>
    </row>
    <row r="87" spans="2:13" ht="18">
      <c r="B87" s="217"/>
      <c r="C87" s="221"/>
      <c r="D87" s="103"/>
      <c r="E87" s="103"/>
      <c r="F87" s="104"/>
      <c r="G87" s="104"/>
      <c r="H87" s="105"/>
      <c r="I87" s="105"/>
      <c r="J87" s="92"/>
      <c r="K87" s="92"/>
      <c r="L87" s="104"/>
      <c r="M87" s="2"/>
    </row>
    <row r="88" spans="2:13" ht="19" customHeight="1">
      <c r="B88" s="210" t="s">
        <v>171</v>
      </c>
      <c r="C88" s="120">
        <v>1</v>
      </c>
      <c r="D88" s="119" t="s">
        <v>215</v>
      </c>
      <c r="E88" s="119" t="s">
        <v>216</v>
      </c>
      <c r="F88" s="110" t="s">
        <v>158</v>
      </c>
      <c r="G88" s="110" t="s">
        <v>176</v>
      </c>
      <c r="H88" s="121">
        <v>3900</v>
      </c>
      <c r="I88" s="122">
        <f>H88*800</f>
        <v>3120000</v>
      </c>
      <c r="J88" s="117">
        <v>45497</v>
      </c>
      <c r="K88" s="92">
        <v>45497</v>
      </c>
      <c r="L88" s="123"/>
      <c r="M88" s="9" t="s">
        <v>178</v>
      </c>
    </row>
    <row r="89" spans="2:13" ht="19">
      <c r="B89" s="210"/>
      <c r="C89" s="120">
        <v>2</v>
      </c>
      <c r="D89" s="119" t="s">
        <v>215</v>
      </c>
      <c r="E89" s="119" t="s">
        <v>173</v>
      </c>
      <c r="F89" s="110" t="s">
        <v>158</v>
      </c>
      <c r="G89" s="110" t="s">
        <v>176</v>
      </c>
      <c r="H89" s="121">
        <v>2600</v>
      </c>
      <c r="I89" s="122">
        <f>H89*2500</f>
        <v>6500000</v>
      </c>
      <c r="J89" s="117">
        <v>45497</v>
      </c>
      <c r="K89" s="92">
        <v>45497</v>
      </c>
      <c r="L89" s="123"/>
      <c r="M89" s="9" t="s">
        <v>179</v>
      </c>
    </row>
    <row r="90" spans="2:13" ht="20" thickBot="1">
      <c r="B90" s="210"/>
      <c r="C90" s="120">
        <v>3</v>
      </c>
      <c r="D90" s="119" t="s">
        <v>215</v>
      </c>
      <c r="E90" s="119" t="s">
        <v>219</v>
      </c>
      <c r="F90" s="110" t="s">
        <v>158</v>
      </c>
      <c r="G90" s="110" t="s">
        <v>220</v>
      </c>
      <c r="H90" s="121">
        <v>18900</v>
      </c>
      <c r="I90" s="121">
        <f>H90*500</f>
        <v>9450000</v>
      </c>
      <c r="J90" s="117">
        <v>45497</v>
      </c>
      <c r="K90" s="92">
        <v>45497</v>
      </c>
      <c r="L90" s="124"/>
      <c r="M90" s="9" t="s">
        <v>180</v>
      </c>
    </row>
    <row r="91" spans="2:13" ht="21" thickBot="1">
      <c r="B91" s="210"/>
      <c r="C91" s="120">
        <v>4</v>
      </c>
      <c r="D91" s="125" t="s">
        <v>218</v>
      </c>
      <c r="E91" s="125" t="s">
        <v>221</v>
      </c>
      <c r="F91" s="149" t="s">
        <v>213</v>
      </c>
      <c r="G91" s="126" t="s">
        <v>225</v>
      </c>
      <c r="H91" s="127"/>
      <c r="I91" s="127">
        <v>1240000</v>
      </c>
      <c r="J91" s="128">
        <v>45506</v>
      </c>
      <c r="K91" s="129"/>
      <c r="L91" s="129"/>
      <c r="M91" s="130" t="s">
        <v>214</v>
      </c>
    </row>
    <row r="92" spans="2:13" ht="33" thickBot="1">
      <c r="B92" s="210"/>
      <c r="C92" s="120">
        <v>5</v>
      </c>
      <c r="D92" s="131" t="s">
        <v>212</v>
      </c>
      <c r="E92" s="131"/>
      <c r="F92" s="131" t="s">
        <v>175</v>
      </c>
      <c r="G92" s="148" t="s">
        <v>175</v>
      </c>
      <c r="H92" s="111"/>
      <c r="I92" s="111" t="e">
        <f>#REF!</f>
        <v>#REF!</v>
      </c>
      <c r="J92" s="117">
        <v>45499</v>
      </c>
      <c r="K92" s="117">
        <v>45499</v>
      </c>
      <c r="L92" s="129"/>
      <c r="M92" s="132" t="s">
        <v>226</v>
      </c>
    </row>
    <row r="93" spans="2:13" ht="33" thickBot="1">
      <c r="B93" s="210"/>
      <c r="C93" s="120">
        <v>6</v>
      </c>
      <c r="D93" s="33" t="s">
        <v>217</v>
      </c>
      <c r="E93" s="152" t="s">
        <v>235</v>
      </c>
      <c r="F93" s="151" t="s">
        <v>174</v>
      </c>
      <c r="G93" s="151" t="s">
        <v>174</v>
      </c>
      <c r="H93" s="138"/>
      <c r="I93" s="23">
        <v>1680000</v>
      </c>
      <c r="J93" s="128"/>
      <c r="K93" s="128"/>
      <c r="L93" s="129"/>
      <c r="M93" s="132" t="s">
        <v>234</v>
      </c>
    </row>
    <row r="94" spans="2:13" ht="33" thickBot="1">
      <c r="B94" s="210"/>
      <c r="C94" s="120">
        <v>7</v>
      </c>
      <c r="D94" s="151" t="str">
        <f>MOP!D13</f>
        <v>LCD</v>
      </c>
      <c r="E94" s="152" t="str">
        <f>MOP!E13</f>
        <v>"HL035T002T-02(단종)
HL035T11-01 + RTC"</v>
      </c>
      <c r="F94" s="152" t="str">
        <f>MOP!N13</f>
        <v>티렉스아이엔씨</v>
      </c>
      <c r="G94" s="152" t="str">
        <f>MOP!O13</f>
        <v>Shenzhen</v>
      </c>
      <c r="H94" s="138">
        <f>MOP!L13</f>
        <v>23000</v>
      </c>
      <c r="I94" s="138">
        <f>MOP!M13</f>
        <v>1380000</v>
      </c>
      <c r="J94" s="128"/>
      <c r="K94" s="128"/>
      <c r="L94" s="129"/>
      <c r="M94" s="132" t="s">
        <v>234</v>
      </c>
    </row>
    <row r="95" spans="2:13" ht="32">
      <c r="B95" s="211"/>
      <c r="C95" s="153">
        <v>8</v>
      </c>
      <c r="D95" s="154" t="s">
        <v>156</v>
      </c>
      <c r="E95" s="154" t="s">
        <v>224</v>
      </c>
      <c r="F95" s="155" t="s">
        <v>157</v>
      </c>
      <c r="G95" s="156" t="s">
        <v>223</v>
      </c>
      <c r="H95" s="157" t="e">
        <f>#REF!</f>
        <v>#REF!</v>
      </c>
      <c r="I95" s="157" t="e">
        <f>#REF!</f>
        <v>#REF!</v>
      </c>
      <c r="J95" s="158">
        <v>45497</v>
      </c>
      <c r="K95" s="159">
        <v>45497</v>
      </c>
      <c r="L95" s="160"/>
      <c r="M95" s="161" t="s">
        <v>226</v>
      </c>
    </row>
    <row r="96" spans="2:13" ht="19">
      <c r="B96" s="147" t="s">
        <v>236</v>
      </c>
      <c r="C96" s="120">
        <v>1</v>
      </c>
      <c r="D96" s="131" t="s">
        <v>237</v>
      </c>
      <c r="E96" s="131"/>
      <c r="F96" s="150" t="s">
        <v>228</v>
      </c>
      <c r="G96" s="150" t="s">
        <v>228</v>
      </c>
      <c r="H96" s="162"/>
      <c r="I96" s="162">
        <v>85000000</v>
      </c>
      <c r="J96" s="163" t="s">
        <v>238</v>
      </c>
      <c r="K96" s="163"/>
      <c r="L96" s="164"/>
      <c r="M96" s="132"/>
    </row>
    <row r="98" spans="3:9" ht="18">
      <c r="I98" s="14"/>
    </row>
    <row r="100" spans="3:9">
      <c r="C100" s="207"/>
      <c r="I100" s="6"/>
    </row>
    <row r="102" spans="3:9">
      <c r="C102" s="207"/>
      <c r="D102" s="4" t="s">
        <v>248</v>
      </c>
      <c r="E102" s="208"/>
    </row>
    <row r="103" spans="3:9">
      <c r="E103" s="208"/>
    </row>
    <row r="104" spans="3:9">
      <c r="E104" s="209"/>
    </row>
  </sheetData>
  <mergeCells count="9">
    <mergeCell ref="B88:B95"/>
    <mergeCell ref="C3:C30"/>
    <mergeCell ref="B3:B30"/>
    <mergeCell ref="B31:B48"/>
    <mergeCell ref="C31:C48"/>
    <mergeCell ref="B49:B68"/>
    <mergeCell ref="C49:C68"/>
    <mergeCell ref="B69:B87"/>
    <mergeCell ref="C69:C8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DD49-761E-4F96-B204-B50CDF875A07}">
  <dimension ref="B1:Q51"/>
  <sheetViews>
    <sheetView zoomScale="85" workbookViewId="0">
      <selection sqref="A1:XFD1"/>
    </sheetView>
  </sheetViews>
  <sheetFormatPr baseColWidth="10" defaultColWidth="9.3984375" defaultRowHeight="18"/>
  <cols>
    <col min="1" max="1" width="5" style="25" customWidth="1"/>
    <col min="2" max="2" width="11.59765625" style="25" customWidth="1"/>
    <col min="3" max="3" width="8.3984375" style="25" bestFit="1" customWidth="1"/>
    <col min="4" max="4" width="31" style="25" bestFit="1" customWidth="1"/>
    <col min="5" max="5" width="34.3984375" style="25" bestFit="1" customWidth="1"/>
    <col min="6" max="8" width="15.796875" style="25" bestFit="1" customWidth="1"/>
    <col min="9" max="9" width="18" style="25" bestFit="1" customWidth="1"/>
    <col min="10" max="10" width="15.796875" style="25" bestFit="1" customWidth="1"/>
    <col min="11" max="11" width="15.796875" style="25" customWidth="1"/>
    <col min="12" max="12" width="13" style="25" bestFit="1" customWidth="1"/>
    <col min="13" max="13" width="16.19921875" style="25" bestFit="1" customWidth="1"/>
    <col min="14" max="15" width="20" style="25" bestFit="1" customWidth="1"/>
    <col min="16" max="16" width="16.3984375" style="25" bestFit="1" customWidth="1"/>
    <col min="17" max="17" width="19.19921875" style="25" bestFit="1" customWidth="1"/>
    <col min="18" max="18" width="3.3984375" style="25" customWidth="1"/>
    <col min="19" max="16384" width="9.3984375" style="25"/>
  </cols>
  <sheetData>
    <row r="1" spans="2:17" ht="39" thickBot="1">
      <c r="B1" s="67" t="s">
        <v>230</v>
      </c>
      <c r="C1" s="67" t="s">
        <v>5</v>
      </c>
      <c r="D1" s="15" t="s">
        <v>8</v>
      </c>
      <c r="E1" s="63" t="s">
        <v>6</v>
      </c>
      <c r="F1" s="67" t="s">
        <v>88</v>
      </c>
      <c r="G1" s="67" t="s">
        <v>94</v>
      </c>
      <c r="H1" s="67" t="s">
        <v>89</v>
      </c>
      <c r="I1" s="67" t="s">
        <v>87</v>
      </c>
      <c r="J1" s="67" t="s">
        <v>241</v>
      </c>
      <c r="K1" s="67" t="s">
        <v>239</v>
      </c>
      <c r="L1" s="15" t="s">
        <v>30</v>
      </c>
      <c r="M1" s="15" t="s">
        <v>31</v>
      </c>
      <c r="N1" s="15" t="s">
        <v>105</v>
      </c>
      <c r="O1" s="15" t="s">
        <v>229</v>
      </c>
      <c r="P1" s="15" t="s">
        <v>90</v>
      </c>
      <c r="Q1" s="15" t="s">
        <v>0</v>
      </c>
    </row>
    <row r="2" spans="2:17" ht="19">
      <c r="B2" s="68">
        <v>1</v>
      </c>
      <c r="C2" s="16" t="s">
        <v>2</v>
      </c>
      <c r="D2" s="60"/>
      <c r="E2" s="64" t="s">
        <v>32</v>
      </c>
      <c r="F2" s="17"/>
      <c r="G2" s="17"/>
      <c r="H2" s="17"/>
      <c r="I2" s="69"/>
      <c r="J2" s="69"/>
      <c r="K2" s="69"/>
      <c r="L2" s="18"/>
      <c r="M2" s="18"/>
      <c r="N2" s="39"/>
      <c r="O2" s="39"/>
      <c r="P2" s="39"/>
      <c r="Q2" s="45"/>
    </row>
    <row r="3" spans="2:17" ht="19">
      <c r="B3" s="68"/>
      <c r="C3" s="16">
        <v>1</v>
      </c>
      <c r="D3" s="60" t="s">
        <v>9</v>
      </c>
      <c r="E3" s="65" t="s">
        <v>33</v>
      </c>
      <c r="F3" s="66"/>
      <c r="G3" s="66"/>
      <c r="H3" s="66"/>
      <c r="I3" s="26">
        <v>1</v>
      </c>
      <c r="J3" s="26">
        <v>51</v>
      </c>
      <c r="K3" s="174">
        <f>I3*J3</f>
        <v>51</v>
      </c>
      <c r="L3" s="175">
        <v>440100</v>
      </c>
      <c r="M3" s="20">
        <f>I3*J3*L3</f>
        <v>22445100</v>
      </c>
      <c r="N3" s="39" t="s">
        <v>99</v>
      </c>
      <c r="O3" s="70" t="s">
        <v>99</v>
      </c>
      <c r="P3" s="43"/>
      <c r="Q3" s="42"/>
    </row>
    <row r="4" spans="2:17" ht="19">
      <c r="B4" s="68"/>
      <c r="C4" s="16">
        <v>2</v>
      </c>
      <c r="D4" s="60" t="s">
        <v>10</v>
      </c>
      <c r="E4" s="65" t="s">
        <v>34</v>
      </c>
      <c r="F4" s="66"/>
      <c r="G4" s="66"/>
      <c r="H4" s="66"/>
      <c r="I4" s="26">
        <v>1</v>
      </c>
      <c r="J4" s="26">
        <v>51</v>
      </c>
      <c r="K4" s="174">
        <f t="shared" ref="K4:K30" si="0">I4*J4</f>
        <v>51</v>
      </c>
      <c r="L4" s="175" t="s">
        <v>201</v>
      </c>
      <c r="M4" s="19" t="s">
        <v>201</v>
      </c>
      <c r="N4" s="39" t="s">
        <v>99</v>
      </c>
      <c r="O4" s="70" t="s">
        <v>99</v>
      </c>
      <c r="P4" s="43"/>
      <c r="Q4" s="42"/>
    </row>
    <row r="5" spans="2:17" ht="19">
      <c r="B5" s="68"/>
      <c r="C5" s="16">
        <v>3</v>
      </c>
      <c r="D5" s="178" t="s">
        <v>11</v>
      </c>
      <c r="E5" s="179" t="s">
        <v>35</v>
      </c>
      <c r="F5" s="180"/>
      <c r="G5" s="180"/>
      <c r="H5" s="180"/>
      <c r="I5" s="38">
        <v>1</v>
      </c>
      <c r="J5" s="38">
        <v>51</v>
      </c>
      <c r="K5" s="181">
        <f t="shared" si="0"/>
        <v>51</v>
      </c>
      <c r="L5" s="182" t="s">
        <v>201</v>
      </c>
      <c r="M5" s="182" t="s">
        <v>201</v>
      </c>
      <c r="N5" s="177" t="s">
        <v>99</v>
      </c>
      <c r="O5" s="177" t="s">
        <v>99</v>
      </c>
      <c r="P5" s="176"/>
      <c r="Q5" s="42"/>
    </row>
    <row r="6" spans="2:17" ht="19">
      <c r="B6" s="68"/>
      <c r="C6" s="16">
        <v>4</v>
      </c>
      <c r="D6" s="178" t="s">
        <v>12</v>
      </c>
      <c r="E6" s="179" t="s">
        <v>36</v>
      </c>
      <c r="F6" s="180"/>
      <c r="G6" s="180"/>
      <c r="H6" s="180"/>
      <c r="I6" s="38">
        <v>1</v>
      </c>
      <c r="J6" s="38">
        <v>51</v>
      </c>
      <c r="K6" s="181">
        <f t="shared" si="0"/>
        <v>51</v>
      </c>
      <c r="L6" s="182" t="s">
        <v>201</v>
      </c>
      <c r="M6" s="182" t="s">
        <v>201</v>
      </c>
      <c r="N6" s="177" t="s">
        <v>99</v>
      </c>
      <c r="O6" s="177" t="s">
        <v>99</v>
      </c>
      <c r="P6" s="176"/>
      <c r="Q6" s="42"/>
    </row>
    <row r="7" spans="2:17" ht="19">
      <c r="B7" s="68"/>
      <c r="C7" s="16">
        <v>5</v>
      </c>
      <c r="D7" s="178" t="s">
        <v>13</v>
      </c>
      <c r="E7" s="179" t="s">
        <v>37</v>
      </c>
      <c r="F7" s="180"/>
      <c r="G7" s="180"/>
      <c r="H7" s="180"/>
      <c r="I7" s="38">
        <v>1</v>
      </c>
      <c r="J7" s="38">
        <v>51</v>
      </c>
      <c r="K7" s="181">
        <f t="shared" si="0"/>
        <v>51</v>
      </c>
      <c r="L7" s="182" t="s">
        <v>201</v>
      </c>
      <c r="M7" s="182" t="s">
        <v>201</v>
      </c>
      <c r="N7" s="177" t="s">
        <v>99</v>
      </c>
      <c r="O7" s="177" t="s">
        <v>99</v>
      </c>
      <c r="P7" s="176"/>
      <c r="Q7" s="42"/>
    </row>
    <row r="8" spans="2:17" ht="19">
      <c r="B8" s="68"/>
      <c r="C8" s="16">
        <v>6</v>
      </c>
      <c r="D8" s="178" t="s">
        <v>14</v>
      </c>
      <c r="E8" s="179" t="s">
        <v>38</v>
      </c>
      <c r="F8" s="180"/>
      <c r="G8" s="180"/>
      <c r="H8" s="180"/>
      <c r="I8" s="38">
        <v>1</v>
      </c>
      <c r="J8" s="38">
        <v>51</v>
      </c>
      <c r="K8" s="181">
        <f t="shared" si="0"/>
        <v>51</v>
      </c>
      <c r="L8" s="182" t="s">
        <v>201</v>
      </c>
      <c r="M8" s="182" t="s">
        <v>201</v>
      </c>
      <c r="N8" s="177" t="s">
        <v>99</v>
      </c>
      <c r="O8" s="177" t="s">
        <v>99</v>
      </c>
      <c r="P8" s="38"/>
      <c r="Q8" s="201"/>
    </row>
    <row r="9" spans="2:17" ht="19">
      <c r="B9" s="68"/>
      <c r="C9" s="16">
        <v>7</v>
      </c>
      <c r="D9" s="183" t="s">
        <v>15</v>
      </c>
      <c r="E9" s="33" t="s">
        <v>39</v>
      </c>
      <c r="F9" s="33"/>
      <c r="G9" s="33"/>
      <c r="H9" s="33"/>
      <c r="I9" s="33">
        <v>4</v>
      </c>
      <c r="J9" s="33">
        <v>55</v>
      </c>
      <c r="K9" s="184">
        <f t="shared" si="0"/>
        <v>220</v>
      </c>
      <c r="L9" s="185">
        <v>28800</v>
      </c>
      <c r="M9" s="185">
        <f t="shared" ref="M9:M11" si="1">I9*J9*L9</f>
        <v>6336000</v>
      </c>
      <c r="N9" s="173" t="s">
        <v>158</v>
      </c>
      <c r="O9" s="173" t="s">
        <v>163</v>
      </c>
      <c r="P9" s="33"/>
      <c r="Q9" s="33"/>
    </row>
    <row r="10" spans="2:17" ht="19">
      <c r="B10" s="68"/>
      <c r="C10" s="16">
        <v>8</v>
      </c>
      <c r="D10" s="183" t="s">
        <v>15</v>
      </c>
      <c r="E10" s="33" t="s">
        <v>126</v>
      </c>
      <c r="F10" s="33"/>
      <c r="G10" s="33"/>
      <c r="H10" s="33"/>
      <c r="I10" s="33">
        <v>4</v>
      </c>
      <c r="J10" s="33">
        <v>55</v>
      </c>
      <c r="K10" s="184">
        <f t="shared" si="0"/>
        <v>220</v>
      </c>
      <c r="L10" s="185">
        <v>4650</v>
      </c>
      <c r="M10" s="185">
        <f t="shared" si="1"/>
        <v>1023000</v>
      </c>
      <c r="N10" s="173" t="s">
        <v>158</v>
      </c>
      <c r="O10" s="173" t="s">
        <v>163</v>
      </c>
      <c r="P10" s="33"/>
      <c r="Q10" s="33"/>
    </row>
    <row r="11" spans="2:17" ht="19">
      <c r="B11" s="68"/>
      <c r="C11" s="16">
        <v>9</v>
      </c>
      <c r="D11" s="183" t="s">
        <v>15</v>
      </c>
      <c r="E11" s="33" t="s">
        <v>240</v>
      </c>
      <c r="F11" s="33"/>
      <c r="G11" s="33"/>
      <c r="H11" s="33"/>
      <c r="I11" s="33">
        <v>4</v>
      </c>
      <c r="J11" s="33">
        <v>55</v>
      </c>
      <c r="K11" s="184">
        <f t="shared" si="0"/>
        <v>220</v>
      </c>
      <c r="L11" s="185">
        <v>39000</v>
      </c>
      <c r="M11" s="185">
        <f t="shared" si="1"/>
        <v>8580000</v>
      </c>
      <c r="N11" s="173" t="s">
        <v>158</v>
      </c>
      <c r="O11" s="173" t="s">
        <v>163</v>
      </c>
      <c r="P11" s="33"/>
      <c r="Q11" s="33"/>
    </row>
    <row r="12" spans="2:17" ht="19">
      <c r="B12" s="68"/>
      <c r="C12" s="16">
        <v>10</v>
      </c>
      <c r="D12" s="178" t="s">
        <v>16</v>
      </c>
      <c r="E12" s="179" t="s">
        <v>107</v>
      </c>
      <c r="F12" s="180"/>
      <c r="G12" s="180"/>
      <c r="H12" s="180"/>
      <c r="I12" s="38">
        <v>1</v>
      </c>
      <c r="J12" s="38">
        <v>55</v>
      </c>
      <c r="K12" s="181">
        <f t="shared" si="0"/>
        <v>55</v>
      </c>
      <c r="L12" s="182">
        <v>2800</v>
      </c>
      <c r="M12" s="186">
        <f t="shared" ref="M12:M27" si="2">I12*J12*L12</f>
        <v>154000</v>
      </c>
      <c r="N12" s="180" t="s">
        <v>158</v>
      </c>
      <c r="O12" s="180" t="s">
        <v>164</v>
      </c>
      <c r="P12" s="38"/>
      <c r="Q12" s="201"/>
    </row>
    <row r="13" spans="2:17" ht="38">
      <c r="B13" s="68"/>
      <c r="C13" s="16">
        <v>11</v>
      </c>
      <c r="D13" s="178" t="s">
        <v>17</v>
      </c>
      <c r="E13" s="180" t="s">
        <v>231</v>
      </c>
      <c r="F13" s="180"/>
      <c r="G13" s="180"/>
      <c r="H13" s="180"/>
      <c r="I13" s="38">
        <v>1</v>
      </c>
      <c r="J13" s="38">
        <v>60</v>
      </c>
      <c r="K13" s="181">
        <f t="shared" si="0"/>
        <v>60</v>
      </c>
      <c r="L13" s="182">
        <v>23000</v>
      </c>
      <c r="M13" s="186">
        <f t="shared" si="2"/>
        <v>1380000</v>
      </c>
      <c r="N13" s="180" t="s">
        <v>157</v>
      </c>
      <c r="O13" s="180" t="s">
        <v>165</v>
      </c>
      <c r="P13" s="38"/>
      <c r="Q13" s="33" t="s">
        <v>214</v>
      </c>
    </row>
    <row r="14" spans="2:17" ht="19">
      <c r="B14" s="68"/>
      <c r="C14" s="16">
        <v>12</v>
      </c>
      <c r="D14" s="178" t="s">
        <v>18</v>
      </c>
      <c r="E14" s="179" t="s">
        <v>40</v>
      </c>
      <c r="F14" s="180"/>
      <c r="G14" s="180"/>
      <c r="H14" s="180"/>
      <c r="I14" s="38">
        <v>1</v>
      </c>
      <c r="J14" s="38">
        <v>51</v>
      </c>
      <c r="K14" s="181">
        <f t="shared" si="0"/>
        <v>51</v>
      </c>
      <c r="L14" s="182" t="s">
        <v>201</v>
      </c>
      <c r="M14" s="182" t="s">
        <v>201</v>
      </c>
      <c r="N14" s="180" t="s">
        <v>99</v>
      </c>
      <c r="O14" s="180" t="s">
        <v>99</v>
      </c>
      <c r="P14" s="38"/>
      <c r="Q14" s="201"/>
    </row>
    <row r="15" spans="2:17" ht="19">
      <c r="B15" s="68"/>
      <c r="C15" s="16">
        <v>13</v>
      </c>
      <c r="D15" s="178" t="s">
        <v>19</v>
      </c>
      <c r="E15" s="179" t="s">
        <v>93</v>
      </c>
      <c r="F15" s="180"/>
      <c r="G15" s="180"/>
      <c r="H15" s="180"/>
      <c r="I15" s="38">
        <v>1</v>
      </c>
      <c r="J15" s="38">
        <v>51</v>
      </c>
      <c r="K15" s="181">
        <f t="shared" si="0"/>
        <v>51</v>
      </c>
      <c r="L15" s="187">
        <v>425213</v>
      </c>
      <c r="M15" s="186">
        <f t="shared" si="2"/>
        <v>21685863</v>
      </c>
      <c r="N15" s="180" t="s">
        <v>228</v>
      </c>
      <c r="O15" s="180" t="s">
        <v>228</v>
      </c>
      <c r="P15" s="38"/>
      <c r="Q15" s="201"/>
    </row>
    <row r="16" spans="2:17" ht="19">
      <c r="B16" s="68"/>
      <c r="C16" s="16">
        <v>14</v>
      </c>
      <c r="D16" s="178" t="s">
        <v>20</v>
      </c>
      <c r="E16" s="179" t="s">
        <v>41</v>
      </c>
      <c r="F16" s="180"/>
      <c r="G16" s="180"/>
      <c r="H16" s="180"/>
      <c r="I16" s="38">
        <v>1</v>
      </c>
      <c r="J16" s="38">
        <v>51</v>
      </c>
      <c r="K16" s="181">
        <f t="shared" si="0"/>
        <v>51</v>
      </c>
      <c r="L16" s="187">
        <v>473650</v>
      </c>
      <c r="M16" s="186">
        <f t="shared" si="2"/>
        <v>24156150</v>
      </c>
      <c r="N16" s="180" t="s">
        <v>228</v>
      </c>
      <c r="O16" s="180" t="s">
        <v>228</v>
      </c>
      <c r="P16" s="38"/>
      <c r="Q16" s="201"/>
    </row>
    <row r="17" spans="2:17" ht="19">
      <c r="B17" s="68"/>
      <c r="C17" s="16">
        <v>15</v>
      </c>
      <c r="D17" s="178" t="s">
        <v>21</v>
      </c>
      <c r="E17" s="179" t="s">
        <v>42</v>
      </c>
      <c r="F17" s="180"/>
      <c r="G17" s="180"/>
      <c r="H17" s="180"/>
      <c r="I17" s="38">
        <v>1</v>
      </c>
      <c r="J17" s="38">
        <v>51</v>
      </c>
      <c r="K17" s="181">
        <f t="shared" si="0"/>
        <v>51</v>
      </c>
      <c r="L17" s="182">
        <v>89000</v>
      </c>
      <c r="M17" s="186">
        <f t="shared" si="2"/>
        <v>4539000</v>
      </c>
      <c r="N17" s="180" t="s">
        <v>100</v>
      </c>
      <c r="O17" s="180" t="s">
        <v>100</v>
      </c>
      <c r="P17" s="38"/>
      <c r="Q17" s="201"/>
    </row>
    <row r="18" spans="2:17" ht="19">
      <c r="B18" s="68"/>
      <c r="C18" s="16">
        <v>16</v>
      </c>
      <c r="D18" s="178" t="s">
        <v>22</v>
      </c>
      <c r="E18" s="179" t="s">
        <v>43</v>
      </c>
      <c r="F18" s="180"/>
      <c r="G18" s="180"/>
      <c r="H18" s="180"/>
      <c r="I18" s="38">
        <v>1</v>
      </c>
      <c r="J18" s="38">
        <v>55</v>
      </c>
      <c r="K18" s="181">
        <f t="shared" si="0"/>
        <v>55</v>
      </c>
      <c r="L18" s="187">
        <v>2800</v>
      </c>
      <c r="M18" s="186">
        <f t="shared" si="2"/>
        <v>154000</v>
      </c>
      <c r="N18" s="180" t="s">
        <v>158</v>
      </c>
      <c r="O18" s="180" t="s">
        <v>159</v>
      </c>
      <c r="P18" s="38"/>
      <c r="Q18" s="201"/>
    </row>
    <row r="19" spans="2:17" ht="19">
      <c r="B19" s="68"/>
      <c r="C19" s="16">
        <v>17</v>
      </c>
      <c r="D19" s="178" t="s">
        <v>23</v>
      </c>
      <c r="E19" s="179" t="s">
        <v>44</v>
      </c>
      <c r="F19" s="180"/>
      <c r="G19" s="180"/>
      <c r="H19" s="180"/>
      <c r="I19" s="188">
        <v>1</v>
      </c>
      <c r="J19" s="38">
        <v>55</v>
      </c>
      <c r="K19" s="181">
        <f t="shared" si="0"/>
        <v>55</v>
      </c>
      <c r="L19" s="182">
        <v>4250</v>
      </c>
      <c r="M19" s="186">
        <f t="shared" si="2"/>
        <v>233750</v>
      </c>
      <c r="N19" s="180" t="s">
        <v>158</v>
      </c>
      <c r="O19" s="180" t="s">
        <v>159</v>
      </c>
      <c r="P19" s="188"/>
      <c r="Q19" s="201"/>
    </row>
    <row r="20" spans="2:17" ht="19">
      <c r="B20" s="68"/>
      <c r="C20" s="16">
        <v>18</v>
      </c>
      <c r="D20" s="178" t="s">
        <v>24</v>
      </c>
      <c r="E20" s="179" t="s">
        <v>45</v>
      </c>
      <c r="F20" s="180"/>
      <c r="G20" s="180"/>
      <c r="H20" s="180"/>
      <c r="I20" s="188">
        <v>1</v>
      </c>
      <c r="J20" s="38">
        <v>55</v>
      </c>
      <c r="K20" s="181">
        <f t="shared" si="0"/>
        <v>55</v>
      </c>
      <c r="L20" s="182">
        <v>350</v>
      </c>
      <c r="M20" s="186">
        <f t="shared" si="2"/>
        <v>19250</v>
      </c>
      <c r="N20" s="180" t="s">
        <v>158</v>
      </c>
      <c r="O20" s="180" t="s">
        <v>159</v>
      </c>
      <c r="P20" s="188"/>
      <c r="Q20" s="201"/>
    </row>
    <row r="21" spans="2:17" ht="19">
      <c r="B21" s="68"/>
      <c r="C21" s="16">
        <v>19</v>
      </c>
      <c r="D21" s="178" t="s">
        <v>25</v>
      </c>
      <c r="E21" s="179" t="s">
        <v>46</v>
      </c>
      <c r="F21" s="180"/>
      <c r="G21" s="180"/>
      <c r="H21" s="180"/>
      <c r="I21" s="188">
        <v>1</v>
      </c>
      <c r="J21" s="38">
        <v>55</v>
      </c>
      <c r="K21" s="181">
        <f t="shared" si="0"/>
        <v>55</v>
      </c>
      <c r="L21" s="187">
        <v>32300</v>
      </c>
      <c r="M21" s="186">
        <f t="shared" si="2"/>
        <v>1776500</v>
      </c>
      <c r="N21" s="180" t="s">
        <v>158</v>
      </c>
      <c r="O21" s="180" t="s">
        <v>160</v>
      </c>
      <c r="P21" s="188"/>
      <c r="Q21" s="201"/>
    </row>
    <row r="22" spans="2:17" ht="19">
      <c r="B22" s="68"/>
      <c r="C22" s="16">
        <v>20</v>
      </c>
      <c r="D22" s="178" t="s">
        <v>26</v>
      </c>
      <c r="E22" s="179" t="s">
        <v>47</v>
      </c>
      <c r="F22" s="180"/>
      <c r="G22" s="180"/>
      <c r="H22" s="180"/>
      <c r="I22" s="188">
        <v>4</v>
      </c>
      <c r="J22" s="38">
        <v>55</v>
      </c>
      <c r="K22" s="181">
        <f t="shared" si="0"/>
        <v>220</v>
      </c>
      <c r="L22" s="187">
        <v>1300</v>
      </c>
      <c r="M22" s="186">
        <f t="shared" si="2"/>
        <v>286000</v>
      </c>
      <c r="N22" s="180" t="s">
        <v>158</v>
      </c>
      <c r="O22" s="180" t="s">
        <v>160</v>
      </c>
      <c r="P22" s="188"/>
      <c r="Q22" s="201"/>
    </row>
    <row r="23" spans="2:17" ht="19">
      <c r="B23" s="68"/>
      <c r="C23" s="16">
        <v>21</v>
      </c>
      <c r="D23" s="178" t="s">
        <v>27</v>
      </c>
      <c r="E23" s="179" t="s">
        <v>48</v>
      </c>
      <c r="F23" s="180"/>
      <c r="G23" s="180"/>
      <c r="H23" s="180"/>
      <c r="I23" s="188">
        <v>1</v>
      </c>
      <c r="J23" s="38">
        <v>50</v>
      </c>
      <c r="K23" s="181">
        <f t="shared" si="0"/>
        <v>50</v>
      </c>
      <c r="L23" s="182">
        <v>23900</v>
      </c>
      <c r="M23" s="186">
        <f t="shared" si="2"/>
        <v>1195000</v>
      </c>
      <c r="N23" s="180" t="s">
        <v>158</v>
      </c>
      <c r="O23" s="180" t="s">
        <v>162</v>
      </c>
      <c r="P23" s="188"/>
      <c r="Q23" s="33" t="s">
        <v>211</v>
      </c>
    </row>
    <row r="24" spans="2:17" ht="19">
      <c r="B24" s="68"/>
      <c r="C24" s="16">
        <v>22</v>
      </c>
      <c r="D24" s="178" t="s">
        <v>26</v>
      </c>
      <c r="E24" s="179" t="s">
        <v>49</v>
      </c>
      <c r="F24" s="180"/>
      <c r="G24" s="180"/>
      <c r="H24" s="180"/>
      <c r="I24" s="188">
        <v>12</v>
      </c>
      <c r="J24" s="38">
        <v>50</v>
      </c>
      <c r="K24" s="181">
        <f t="shared" si="0"/>
        <v>600</v>
      </c>
      <c r="L24" s="182">
        <v>1250</v>
      </c>
      <c r="M24" s="186">
        <f t="shared" si="2"/>
        <v>750000</v>
      </c>
      <c r="N24" s="180" t="s">
        <v>158</v>
      </c>
      <c r="O24" s="180" t="s">
        <v>162</v>
      </c>
      <c r="P24" s="188"/>
      <c r="Q24" s="201"/>
    </row>
    <row r="25" spans="2:17" ht="19">
      <c r="B25" s="68"/>
      <c r="C25" s="16">
        <v>23</v>
      </c>
      <c r="D25" s="178" t="s">
        <v>28</v>
      </c>
      <c r="E25" s="179" t="s">
        <v>50</v>
      </c>
      <c r="F25" s="180"/>
      <c r="G25" s="180"/>
      <c r="H25" s="180"/>
      <c r="I25" s="188">
        <v>1</v>
      </c>
      <c r="J25" s="38">
        <v>55</v>
      </c>
      <c r="K25" s="181">
        <f t="shared" si="0"/>
        <v>55</v>
      </c>
      <c r="L25" s="189">
        <v>12000</v>
      </c>
      <c r="M25" s="186">
        <f t="shared" si="2"/>
        <v>660000</v>
      </c>
      <c r="N25" s="180" t="s">
        <v>158</v>
      </c>
      <c r="O25" s="180" t="s">
        <v>162</v>
      </c>
      <c r="P25" s="188"/>
      <c r="Q25" s="201"/>
    </row>
    <row r="26" spans="2:17" ht="19">
      <c r="B26" s="68"/>
      <c r="C26" s="16">
        <v>24</v>
      </c>
      <c r="D26" s="190" t="s">
        <v>29</v>
      </c>
      <c r="E26" s="191" t="s">
        <v>51</v>
      </c>
      <c r="F26" s="192"/>
      <c r="G26" s="192"/>
      <c r="H26" s="192"/>
      <c r="I26" s="193">
        <v>1</v>
      </c>
      <c r="J26" s="177">
        <v>55</v>
      </c>
      <c r="K26" s="181">
        <f t="shared" si="0"/>
        <v>55</v>
      </c>
      <c r="L26" s="182" t="s">
        <v>201</v>
      </c>
      <c r="M26" s="182" t="s">
        <v>201</v>
      </c>
      <c r="N26" s="193" t="s">
        <v>201</v>
      </c>
      <c r="O26" s="180" t="s">
        <v>201</v>
      </c>
      <c r="P26" s="193"/>
      <c r="Q26" s="202"/>
    </row>
    <row r="27" spans="2:17" ht="19">
      <c r="B27" s="68"/>
      <c r="C27" s="16">
        <v>25</v>
      </c>
      <c r="D27" s="173" t="s">
        <v>108</v>
      </c>
      <c r="E27" s="33" t="s">
        <v>199</v>
      </c>
      <c r="F27" s="33"/>
      <c r="G27" s="33"/>
      <c r="H27" s="33"/>
      <c r="I27" s="33">
        <v>1</v>
      </c>
      <c r="J27" s="38">
        <v>55</v>
      </c>
      <c r="K27" s="181">
        <f t="shared" si="0"/>
        <v>55</v>
      </c>
      <c r="L27" s="182">
        <v>4800</v>
      </c>
      <c r="M27" s="186">
        <f t="shared" si="2"/>
        <v>264000</v>
      </c>
      <c r="N27" s="33" t="s">
        <v>158</v>
      </c>
      <c r="O27" s="180" t="s">
        <v>201</v>
      </c>
      <c r="P27" s="33"/>
      <c r="Q27" s="201"/>
    </row>
    <row r="28" spans="2:17" ht="19">
      <c r="B28" s="68"/>
      <c r="C28" s="16">
        <v>26</v>
      </c>
      <c r="D28" s="194" t="s">
        <v>82</v>
      </c>
      <c r="E28" s="28" t="s">
        <v>83</v>
      </c>
      <c r="F28" s="195"/>
      <c r="G28" s="195"/>
      <c r="H28" s="195"/>
      <c r="I28" s="196">
        <v>1</v>
      </c>
      <c r="J28" s="28">
        <v>55</v>
      </c>
      <c r="K28" s="197">
        <f t="shared" si="0"/>
        <v>55</v>
      </c>
      <c r="L28" s="198"/>
      <c r="M28" s="199"/>
      <c r="N28" s="195"/>
      <c r="O28" s="195"/>
      <c r="P28" s="56"/>
      <c r="Q28" s="71" t="s">
        <v>247</v>
      </c>
    </row>
    <row r="29" spans="2:17" ht="19">
      <c r="B29" s="68"/>
      <c r="C29" s="16">
        <v>27</v>
      </c>
      <c r="D29" s="194" t="s">
        <v>82</v>
      </c>
      <c r="E29" s="28" t="s">
        <v>244</v>
      </c>
      <c r="F29" s="195"/>
      <c r="G29" s="195"/>
      <c r="H29" s="195"/>
      <c r="I29" s="56">
        <v>1</v>
      </c>
      <c r="J29" s="28">
        <v>55</v>
      </c>
      <c r="K29" s="197">
        <f t="shared" si="0"/>
        <v>55</v>
      </c>
      <c r="L29" s="200"/>
      <c r="M29" s="199"/>
      <c r="N29" s="195"/>
      <c r="O29" s="195"/>
      <c r="P29" s="56"/>
      <c r="Q29" s="71" t="s">
        <v>247</v>
      </c>
    </row>
    <row r="30" spans="2:17" ht="19">
      <c r="B30" s="68"/>
      <c r="C30" s="22">
        <v>28</v>
      </c>
      <c r="D30" s="203" t="s">
        <v>245</v>
      </c>
      <c r="E30" s="204" t="s">
        <v>246</v>
      </c>
      <c r="F30" s="204"/>
      <c r="G30" s="204"/>
      <c r="H30" s="204"/>
      <c r="I30" s="204">
        <v>1</v>
      </c>
      <c r="J30" s="28">
        <v>55</v>
      </c>
      <c r="K30" s="197">
        <f t="shared" si="0"/>
        <v>55</v>
      </c>
      <c r="L30" s="205">
        <v>4000</v>
      </c>
      <c r="M30" s="206">
        <f t="shared" ref="M30" si="3">I30*J30*L30</f>
        <v>220000</v>
      </c>
      <c r="N30" s="204" t="s">
        <v>201</v>
      </c>
      <c r="O30" s="195"/>
      <c r="P30" s="204"/>
      <c r="Q30" s="71" t="s">
        <v>247</v>
      </c>
    </row>
    <row r="33" spans="2:17">
      <c r="B33" s="222" t="s">
        <v>232</v>
      </c>
      <c r="C33" s="22">
        <v>1</v>
      </c>
      <c r="D33" s="33" t="s">
        <v>217</v>
      </c>
      <c r="E33" s="33"/>
      <c r="F33" s="33"/>
      <c r="G33" s="33"/>
      <c r="H33" s="33"/>
      <c r="I33" s="33">
        <v>1</v>
      </c>
      <c r="J33" s="33">
        <v>55</v>
      </c>
      <c r="K33" s="167">
        <f>I33*J33</f>
        <v>55</v>
      </c>
      <c r="L33" s="23"/>
      <c r="M33" s="23">
        <v>1680000</v>
      </c>
      <c r="N33" s="33" t="s">
        <v>174</v>
      </c>
      <c r="O33" s="33" t="s">
        <v>174</v>
      </c>
      <c r="P33" s="33"/>
      <c r="Q33" s="71" t="s">
        <v>214</v>
      </c>
    </row>
    <row r="34" spans="2:17">
      <c r="B34" s="223"/>
      <c r="C34" s="22">
        <v>2</v>
      </c>
      <c r="D34" s="33" t="s">
        <v>119</v>
      </c>
      <c r="E34" s="33" t="s">
        <v>120</v>
      </c>
      <c r="F34" s="33"/>
      <c r="G34" s="33"/>
      <c r="H34" s="33"/>
      <c r="I34" s="33">
        <v>1</v>
      </c>
      <c r="J34" s="33">
        <v>55</v>
      </c>
      <c r="K34" s="167">
        <f t="shared" ref="K34:K50" si="4">I34*J34</f>
        <v>55</v>
      </c>
      <c r="L34" s="23"/>
      <c r="M34" s="23">
        <f t="shared" ref="M34:M50" si="5">I34*J34*L34</f>
        <v>0</v>
      </c>
      <c r="N34" s="33" t="s">
        <v>175</v>
      </c>
      <c r="O34" s="33"/>
      <c r="P34" s="33"/>
      <c r="Q34" s="33"/>
    </row>
    <row r="35" spans="2:17">
      <c r="B35" s="223"/>
      <c r="C35" s="22">
        <v>3</v>
      </c>
      <c r="D35" s="33" t="s">
        <v>121</v>
      </c>
      <c r="E35" s="33" t="s">
        <v>122</v>
      </c>
      <c r="F35" s="33"/>
      <c r="G35" s="33"/>
      <c r="H35" s="33"/>
      <c r="I35" s="33">
        <v>1</v>
      </c>
      <c r="J35" s="33">
        <v>55</v>
      </c>
      <c r="K35" s="167">
        <f t="shared" si="4"/>
        <v>55</v>
      </c>
      <c r="L35" s="23"/>
      <c r="M35" s="23">
        <f t="shared" si="5"/>
        <v>0</v>
      </c>
      <c r="N35" s="33" t="s">
        <v>175</v>
      </c>
      <c r="O35" s="33"/>
      <c r="P35" s="33"/>
      <c r="Q35" s="33"/>
    </row>
    <row r="36" spans="2:17">
      <c r="B36" s="223"/>
      <c r="C36" s="22">
        <v>4</v>
      </c>
      <c r="D36" s="33" t="s">
        <v>123</v>
      </c>
      <c r="E36" s="33" t="s">
        <v>139</v>
      </c>
      <c r="F36" s="33"/>
      <c r="G36" s="33"/>
      <c r="H36" s="33"/>
      <c r="I36" s="33">
        <v>1</v>
      </c>
      <c r="J36" s="33">
        <v>55</v>
      </c>
      <c r="K36" s="167">
        <f t="shared" si="4"/>
        <v>55</v>
      </c>
      <c r="L36" s="23"/>
      <c r="M36" s="23">
        <f t="shared" si="5"/>
        <v>0</v>
      </c>
      <c r="N36" s="33" t="s">
        <v>175</v>
      </c>
      <c r="O36" s="33"/>
      <c r="P36" s="33"/>
      <c r="Q36" s="33"/>
    </row>
    <row r="37" spans="2:17" ht="19">
      <c r="B37" s="223"/>
      <c r="C37" s="22">
        <v>5</v>
      </c>
      <c r="D37" s="33" t="s">
        <v>124</v>
      </c>
      <c r="E37" s="33" t="s">
        <v>125</v>
      </c>
      <c r="F37" s="33"/>
      <c r="G37" s="33"/>
      <c r="H37" s="33"/>
      <c r="I37" s="33">
        <v>1</v>
      </c>
      <c r="J37" s="33">
        <v>55</v>
      </c>
      <c r="K37" s="167">
        <f t="shared" si="4"/>
        <v>55</v>
      </c>
      <c r="L37" s="23"/>
      <c r="M37" s="23">
        <f t="shared" si="5"/>
        <v>0</v>
      </c>
      <c r="N37" s="74" t="s">
        <v>158</v>
      </c>
      <c r="O37" s="74"/>
      <c r="P37" s="33"/>
      <c r="Q37" s="33"/>
    </row>
    <row r="38" spans="2:17" ht="19">
      <c r="B38" s="223"/>
      <c r="C38" s="22">
        <v>9</v>
      </c>
      <c r="D38" s="33" t="s">
        <v>118</v>
      </c>
      <c r="E38" s="33" t="s">
        <v>127</v>
      </c>
      <c r="F38" s="33"/>
      <c r="G38" s="33"/>
      <c r="H38" s="33"/>
      <c r="I38" s="33">
        <v>1</v>
      </c>
      <c r="J38" s="33">
        <v>55</v>
      </c>
      <c r="K38" s="167">
        <f t="shared" si="4"/>
        <v>55</v>
      </c>
      <c r="L38" s="23">
        <v>50</v>
      </c>
      <c r="M38" s="23">
        <f t="shared" si="5"/>
        <v>2750</v>
      </c>
      <c r="N38" s="74" t="s">
        <v>158</v>
      </c>
      <c r="O38" s="74"/>
      <c r="P38" s="33"/>
      <c r="Q38" s="33"/>
    </row>
    <row r="39" spans="2:17" ht="19">
      <c r="B39" s="223"/>
      <c r="C39" s="22">
        <v>10</v>
      </c>
      <c r="D39" s="33" t="s">
        <v>118</v>
      </c>
      <c r="E39" s="33" t="s">
        <v>128</v>
      </c>
      <c r="F39" s="33"/>
      <c r="G39" s="33"/>
      <c r="H39" s="33"/>
      <c r="I39" s="33">
        <v>2</v>
      </c>
      <c r="J39" s="33">
        <v>55</v>
      </c>
      <c r="K39" s="167">
        <f t="shared" si="4"/>
        <v>110</v>
      </c>
      <c r="L39" s="23">
        <v>50</v>
      </c>
      <c r="M39" s="23">
        <f t="shared" si="5"/>
        <v>5500</v>
      </c>
      <c r="N39" s="74" t="s">
        <v>158</v>
      </c>
      <c r="O39" s="74"/>
      <c r="P39" s="33"/>
      <c r="Q39" s="33"/>
    </row>
    <row r="40" spans="2:17" ht="19">
      <c r="B40" s="223"/>
      <c r="C40" s="22">
        <v>11</v>
      </c>
      <c r="D40" s="33" t="s">
        <v>118</v>
      </c>
      <c r="E40" s="33" t="s">
        <v>129</v>
      </c>
      <c r="F40" s="33"/>
      <c r="G40" s="33"/>
      <c r="H40" s="33"/>
      <c r="I40" s="33">
        <v>1</v>
      </c>
      <c r="J40" s="33">
        <v>55</v>
      </c>
      <c r="K40" s="167">
        <f t="shared" si="4"/>
        <v>55</v>
      </c>
      <c r="L40" s="23">
        <v>70</v>
      </c>
      <c r="M40" s="23">
        <f t="shared" si="5"/>
        <v>3850</v>
      </c>
      <c r="N40" s="74" t="s">
        <v>158</v>
      </c>
      <c r="O40" s="74"/>
      <c r="P40" s="33"/>
      <c r="Q40" s="33"/>
    </row>
    <row r="41" spans="2:17" ht="19">
      <c r="B41" s="223"/>
      <c r="C41" s="22">
        <v>12</v>
      </c>
      <c r="D41" s="33" t="s">
        <v>118</v>
      </c>
      <c r="E41" s="33" t="s">
        <v>130</v>
      </c>
      <c r="F41" s="33"/>
      <c r="G41" s="33"/>
      <c r="H41" s="33"/>
      <c r="I41" s="33">
        <v>2</v>
      </c>
      <c r="J41" s="33">
        <v>55</v>
      </c>
      <c r="K41" s="167">
        <f t="shared" si="4"/>
        <v>110</v>
      </c>
      <c r="L41" s="23">
        <v>80</v>
      </c>
      <c r="M41" s="23">
        <f t="shared" si="5"/>
        <v>8800</v>
      </c>
      <c r="N41" s="74" t="s">
        <v>158</v>
      </c>
      <c r="O41" s="74"/>
      <c r="P41" s="33"/>
      <c r="Q41" s="33"/>
    </row>
    <row r="42" spans="2:17" ht="19">
      <c r="B42" s="223"/>
      <c r="C42" s="22">
        <v>13</v>
      </c>
      <c r="D42" s="33" t="s">
        <v>118</v>
      </c>
      <c r="E42" s="33" t="s">
        <v>131</v>
      </c>
      <c r="F42" s="33"/>
      <c r="G42" s="33"/>
      <c r="H42" s="33"/>
      <c r="I42" s="33">
        <v>1</v>
      </c>
      <c r="J42" s="33">
        <v>55</v>
      </c>
      <c r="K42" s="167">
        <f t="shared" si="4"/>
        <v>55</v>
      </c>
      <c r="L42" s="23">
        <v>120</v>
      </c>
      <c r="M42" s="23">
        <f t="shared" si="5"/>
        <v>6600</v>
      </c>
      <c r="N42" s="74" t="s">
        <v>158</v>
      </c>
      <c r="O42" s="74"/>
      <c r="P42" s="33"/>
      <c r="Q42" s="33"/>
    </row>
    <row r="43" spans="2:17" ht="19">
      <c r="B43" s="223"/>
      <c r="C43" s="22">
        <v>14</v>
      </c>
      <c r="D43" s="33" t="s">
        <v>118</v>
      </c>
      <c r="E43" s="33" t="s">
        <v>132</v>
      </c>
      <c r="F43" s="33"/>
      <c r="G43" s="33"/>
      <c r="H43" s="33"/>
      <c r="I43" s="33">
        <v>1</v>
      </c>
      <c r="J43" s="33">
        <v>55</v>
      </c>
      <c r="K43" s="167">
        <f t="shared" si="4"/>
        <v>55</v>
      </c>
      <c r="L43" s="23">
        <v>120</v>
      </c>
      <c r="M43" s="23">
        <f t="shared" si="5"/>
        <v>6600</v>
      </c>
      <c r="N43" s="74" t="s">
        <v>158</v>
      </c>
      <c r="O43" s="74"/>
      <c r="P43" s="33"/>
      <c r="Q43" s="33"/>
    </row>
    <row r="44" spans="2:17" ht="19">
      <c r="B44" s="223"/>
      <c r="C44" s="22">
        <v>15</v>
      </c>
      <c r="D44" s="33" t="s">
        <v>118</v>
      </c>
      <c r="E44" s="33" t="s">
        <v>133</v>
      </c>
      <c r="F44" s="33"/>
      <c r="G44" s="33"/>
      <c r="H44" s="33"/>
      <c r="I44" s="33">
        <v>1</v>
      </c>
      <c r="J44" s="33">
        <v>55</v>
      </c>
      <c r="K44" s="167">
        <f t="shared" si="4"/>
        <v>55</v>
      </c>
      <c r="L44" s="23">
        <v>140</v>
      </c>
      <c r="M44" s="23">
        <f t="shared" si="5"/>
        <v>7700</v>
      </c>
      <c r="N44" s="74" t="s">
        <v>158</v>
      </c>
      <c r="O44" s="74"/>
      <c r="P44" s="33"/>
      <c r="Q44" s="33"/>
    </row>
    <row r="45" spans="2:17" ht="19">
      <c r="B45" s="223"/>
      <c r="C45" s="22">
        <v>16</v>
      </c>
      <c r="D45" s="33" t="s">
        <v>118</v>
      </c>
      <c r="E45" s="33" t="s">
        <v>134</v>
      </c>
      <c r="F45" s="33"/>
      <c r="G45" s="33"/>
      <c r="H45" s="33"/>
      <c r="I45" s="33">
        <v>1</v>
      </c>
      <c r="J45" s="33">
        <v>55</v>
      </c>
      <c r="K45" s="167">
        <f t="shared" si="4"/>
        <v>55</v>
      </c>
      <c r="L45" s="23">
        <v>200</v>
      </c>
      <c r="M45" s="23">
        <f t="shared" si="5"/>
        <v>11000</v>
      </c>
      <c r="N45" s="74" t="s">
        <v>158</v>
      </c>
      <c r="O45" s="74"/>
      <c r="P45" s="33"/>
      <c r="Q45" s="33"/>
    </row>
    <row r="46" spans="2:17" ht="19">
      <c r="B46" s="223"/>
      <c r="C46" s="22">
        <v>17</v>
      </c>
      <c r="D46" s="33" t="s">
        <v>135</v>
      </c>
      <c r="E46" s="33" t="s">
        <v>136</v>
      </c>
      <c r="F46" s="33"/>
      <c r="G46" s="33"/>
      <c r="H46" s="33"/>
      <c r="I46" s="33">
        <v>67</v>
      </c>
      <c r="J46" s="33">
        <v>55</v>
      </c>
      <c r="K46" s="167">
        <f t="shared" si="4"/>
        <v>3685</v>
      </c>
      <c r="L46" s="23">
        <v>11</v>
      </c>
      <c r="M46" s="23">
        <f t="shared" si="5"/>
        <v>40535</v>
      </c>
      <c r="N46" s="74" t="s">
        <v>158</v>
      </c>
      <c r="O46" s="74"/>
      <c r="P46" s="33"/>
      <c r="Q46" s="33"/>
    </row>
    <row r="47" spans="2:17" ht="19">
      <c r="B47" s="223"/>
      <c r="C47" s="22">
        <v>18</v>
      </c>
      <c r="D47" s="33" t="s">
        <v>118</v>
      </c>
      <c r="E47" s="33" t="s">
        <v>137</v>
      </c>
      <c r="F47" s="33"/>
      <c r="G47" s="33"/>
      <c r="H47" s="33"/>
      <c r="I47" s="33">
        <v>1</v>
      </c>
      <c r="J47" s="33">
        <v>55</v>
      </c>
      <c r="K47" s="167">
        <f t="shared" si="4"/>
        <v>55</v>
      </c>
      <c r="L47" s="23">
        <v>45</v>
      </c>
      <c r="M47" s="23">
        <f t="shared" si="5"/>
        <v>2475</v>
      </c>
      <c r="N47" s="74" t="s">
        <v>158</v>
      </c>
      <c r="O47" s="74"/>
      <c r="P47" s="33"/>
      <c r="Q47" s="33"/>
    </row>
    <row r="48" spans="2:17" ht="19">
      <c r="B48" s="223"/>
      <c r="C48" s="22">
        <v>19</v>
      </c>
      <c r="D48" s="33" t="s">
        <v>135</v>
      </c>
      <c r="E48" s="33" t="s">
        <v>138</v>
      </c>
      <c r="F48" s="33"/>
      <c r="G48" s="33"/>
      <c r="H48" s="33"/>
      <c r="I48" s="33">
        <v>5</v>
      </c>
      <c r="J48" s="33">
        <v>55</v>
      </c>
      <c r="K48" s="167">
        <f t="shared" si="4"/>
        <v>275</v>
      </c>
      <c r="L48" s="23">
        <v>25</v>
      </c>
      <c r="M48" s="23">
        <f t="shared" si="5"/>
        <v>6875</v>
      </c>
      <c r="N48" s="74" t="s">
        <v>158</v>
      </c>
      <c r="O48" s="74"/>
      <c r="P48" s="33"/>
      <c r="Q48" s="33"/>
    </row>
    <row r="49" spans="2:17" ht="19">
      <c r="B49" s="223"/>
      <c r="C49" s="22">
        <v>20</v>
      </c>
      <c r="D49" s="33" t="s">
        <v>118</v>
      </c>
      <c r="E49" s="33">
        <v>22011052</v>
      </c>
      <c r="F49" s="33"/>
      <c r="G49" s="33"/>
      <c r="H49" s="33"/>
      <c r="I49" s="33">
        <v>1</v>
      </c>
      <c r="J49" s="33">
        <v>55</v>
      </c>
      <c r="K49" s="167">
        <f t="shared" si="4"/>
        <v>55</v>
      </c>
      <c r="L49" s="23">
        <v>60</v>
      </c>
      <c r="M49" s="23">
        <f t="shared" si="5"/>
        <v>3300</v>
      </c>
      <c r="N49" s="74" t="s">
        <v>158</v>
      </c>
      <c r="O49" s="74"/>
      <c r="P49" s="33"/>
      <c r="Q49" s="33"/>
    </row>
    <row r="50" spans="2:17" ht="19">
      <c r="B50" s="223"/>
      <c r="C50" s="22">
        <v>21</v>
      </c>
      <c r="D50" s="33" t="s">
        <v>135</v>
      </c>
      <c r="E50" s="33" t="s">
        <v>141</v>
      </c>
      <c r="F50" s="33"/>
      <c r="G50" s="33"/>
      <c r="H50" s="33"/>
      <c r="I50" s="33">
        <v>5</v>
      </c>
      <c r="J50" s="33">
        <v>55</v>
      </c>
      <c r="K50" s="167">
        <f t="shared" si="4"/>
        <v>275</v>
      </c>
      <c r="L50" s="23">
        <v>25</v>
      </c>
      <c r="M50" s="23">
        <f t="shared" si="5"/>
        <v>6875</v>
      </c>
      <c r="N50" s="74" t="s">
        <v>158</v>
      </c>
      <c r="O50" s="74"/>
      <c r="P50" s="33"/>
      <c r="Q50" s="33"/>
    </row>
    <row r="51" spans="2:17">
      <c r="L51" s="24">
        <f>SUM(L38:L50)</f>
        <v>996</v>
      </c>
      <c r="M51" s="24">
        <f>SUM(M38:M50)</f>
        <v>112860</v>
      </c>
    </row>
  </sheetData>
  <mergeCells count="1">
    <mergeCell ref="B33:B50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9CC8-7466-4AE8-8E3E-40061B3AE359}">
  <dimension ref="B1:Q47"/>
  <sheetViews>
    <sheetView workbookViewId="0">
      <selection sqref="A1:XFD1"/>
    </sheetView>
  </sheetViews>
  <sheetFormatPr baseColWidth="10" defaultColWidth="9.3984375" defaultRowHeight="18"/>
  <cols>
    <col min="1" max="1" width="5" style="25" customWidth="1"/>
    <col min="2" max="2" width="9.19921875" style="25" bestFit="1" customWidth="1"/>
    <col min="3" max="3" width="7.3984375" style="25" bestFit="1" customWidth="1"/>
    <col min="4" max="4" width="41.3984375" style="25" bestFit="1" customWidth="1"/>
    <col min="5" max="5" width="22.796875" style="25" bestFit="1" customWidth="1"/>
    <col min="6" max="8" width="12" style="25" bestFit="1" customWidth="1"/>
    <col min="9" max="9" width="14.59765625" style="25" bestFit="1" customWidth="1"/>
    <col min="10" max="10" width="12" style="25" bestFit="1" customWidth="1"/>
    <col min="11" max="11" width="12" style="25" customWidth="1"/>
    <col min="12" max="12" width="14.59765625" style="25" customWidth="1"/>
    <col min="13" max="13" width="18.3984375" style="25" bestFit="1" customWidth="1"/>
    <col min="14" max="14" width="22.796875" style="25" bestFit="1" customWidth="1"/>
    <col min="15" max="15" width="22.796875" style="25" customWidth="1"/>
    <col min="16" max="16" width="12.796875" style="25" bestFit="1" customWidth="1"/>
    <col min="17" max="17" width="19.19921875" style="25" bestFit="1" customWidth="1"/>
    <col min="18" max="18" width="3.3984375" style="25" customWidth="1"/>
    <col min="19" max="16384" width="9.3984375" style="25"/>
  </cols>
  <sheetData>
    <row r="1" spans="2:17" ht="39" thickBot="1">
      <c r="B1" s="75" t="s">
        <v>230</v>
      </c>
      <c r="C1" s="75" t="s">
        <v>5</v>
      </c>
      <c r="D1" s="76" t="s">
        <v>8</v>
      </c>
      <c r="E1" s="63" t="s">
        <v>6</v>
      </c>
      <c r="F1" s="67" t="s">
        <v>88</v>
      </c>
      <c r="G1" s="67" t="s">
        <v>94</v>
      </c>
      <c r="H1" s="67" t="s">
        <v>89</v>
      </c>
      <c r="I1" s="67" t="s">
        <v>87</v>
      </c>
      <c r="J1" s="67" t="s">
        <v>241</v>
      </c>
      <c r="K1" s="67" t="s">
        <v>239</v>
      </c>
      <c r="L1" s="15" t="s">
        <v>30</v>
      </c>
      <c r="M1" s="15" t="s">
        <v>31</v>
      </c>
      <c r="N1" s="15" t="s">
        <v>105</v>
      </c>
      <c r="O1" s="15" t="s">
        <v>229</v>
      </c>
      <c r="P1" s="15" t="s">
        <v>90</v>
      </c>
      <c r="Q1" s="15" t="s">
        <v>0</v>
      </c>
    </row>
    <row r="2" spans="2:17" ht="19">
      <c r="B2" s="226">
        <v>2</v>
      </c>
      <c r="C2" s="37" t="s">
        <v>7</v>
      </c>
      <c r="D2" s="53"/>
      <c r="E2" s="77" t="s">
        <v>1</v>
      </c>
      <c r="F2" s="17"/>
      <c r="G2" s="17"/>
      <c r="H2" s="17"/>
      <c r="I2" s="27"/>
      <c r="J2" s="27"/>
      <c r="K2" s="27"/>
      <c r="L2" s="39"/>
      <c r="M2" s="39"/>
      <c r="N2" s="39"/>
      <c r="O2" s="39"/>
      <c r="P2" s="39"/>
      <c r="Q2" s="42"/>
    </row>
    <row r="3" spans="2:17" ht="19">
      <c r="B3" s="227"/>
      <c r="C3" s="37">
        <v>1</v>
      </c>
      <c r="D3" s="53" t="s">
        <v>52</v>
      </c>
      <c r="E3" s="77" t="s">
        <v>53</v>
      </c>
      <c r="F3" s="66"/>
      <c r="G3" s="66"/>
      <c r="H3" s="66"/>
      <c r="I3" s="26">
        <v>1</v>
      </c>
      <c r="J3" s="26">
        <v>51</v>
      </c>
      <c r="K3" s="168">
        <f>J3*I3</f>
        <v>51</v>
      </c>
      <c r="L3" s="21">
        <v>136000</v>
      </c>
      <c r="M3" s="20">
        <f>I3*J3*L3</f>
        <v>6936000</v>
      </c>
      <c r="N3" s="39" t="s">
        <v>100</v>
      </c>
      <c r="O3" s="90" t="s">
        <v>100</v>
      </c>
      <c r="P3" s="43"/>
      <c r="Q3" s="42"/>
    </row>
    <row r="4" spans="2:17" ht="19">
      <c r="B4" s="227"/>
      <c r="C4" s="37">
        <v>2</v>
      </c>
      <c r="D4" s="53" t="s">
        <v>54</v>
      </c>
      <c r="E4" s="77" t="s">
        <v>55</v>
      </c>
      <c r="F4" s="66"/>
      <c r="G4" s="66"/>
      <c r="H4" s="66"/>
      <c r="I4" s="26">
        <v>1</v>
      </c>
      <c r="J4" s="26">
        <v>51</v>
      </c>
      <c r="K4" s="168">
        <f t="shared" ref="K4:K17" si="0">J4*I4</f>
        <v>51</v>
      </c>
      <c r="L4" s="21">
        <v>610566</v>
      </c>
      <c r="M4" s="20">
        <f t="shared" ref="M4:M9" si="1">I4*J4*L4</f>
        <v>31138866</v>
      </c>
      <c r="N4" s="72" t="s">
        <v>227</v>
      </c>
      <c r="O4" s="95" t="s">
        <v>227</v>
      </c>
      <c r="P4" s="43"/>
      <c r="Q4" s="42"/>
    </row>
    <row r="5" spans="2:17" ht="19">
      <c r="B5" s="227"/>
      <c r="C5" s="37">
        <v>3</v>
      </c>
      <c r="D5" s="53" t="s">
        <v>56</v>
      </c>
      <c r="E5" s="77" t="s">
        <v>57</v>
      </c>
      <c r="F5" s="66"/>
      <c r="G5" s="66"/>
      <c r="H5" s="66"/>
      <c r="I5" s="26">
        <v>1</v>
      </c>
      <c r="J5" s="26">
        <v>51</v>
      </c>
      <c r="K5" s="168">
        <f t="shared" si="0"/>
        <v>51</v>
      </c>
      <c r="L5" s="21">
        <v>664363</v>
      </c>
      <c r="M5" s="20">
        <f t="shared" si="1"/>
        <v>33882513</v>
      </c>
      <c r="N5" s="72" t="s">
        <v>227</v>
      </c>
      <c r="O5" s="95" t="s">
        <v>227</v>
      </c>
      <c r="P5" s="43"/>
      <c r="Q5" s="42"/>
    </row>
    <row r="6" spans="2:17" ht="19">
      <c r="B6" s="227"/>
      <c r="C6" s="37">
        <v>4</v>
      </c>
      <c r="D6" s="53" t="s">
        <v>58</v>
      </c>
      <c r="E6" s="77" t="s">
        <v>59</v>
      </c>
      <c r="F6" s="66"/>
      <c r="G6" s="66"/>
      <c r="H6" s="66"/>
      <c r="I6" s="26">
        <v>1</v>
      </c>
      <c r="J6" s="26">
        <v>51</v>
      </c>
      <c r="K6" s="168">
        <f t="shared" si="0"/>
        <v>51</v>
      </c>
      <c r="L6" s="21">
        <v>1129222</v>
      </c>
      <c r="M6" s="20">
        <f t="shared" si="1"/>
        <v>57590322</v>
      </c>
      <c r="N6" s="72" t="s">
        <v>227</v>
      </c>
      <c r="O6" s="95" t="s">
        <v>227</v>
      </c>
      <c r="P6" s="43"/>
      <c r="Q6" s="42"/>
    </row>
    <row r="7" spans="2:17" ht="19">
      <c r="B7" s="227"/>
      <c r="C7" s="37">
        <v>5</v>
      </c>
      <c r="D7" s="53" t="s">
        <v>60</v>
      </c>
      <c r="E7" s="77" t="s">
        <v>61</v>
      </c>
      <c r="F7" s="66"/>
      <c r="G7" s="66"/>
      <c r="H7" s="66"/>
      <c r="I7" s="26">
        <v>1</v>
      </c>
      <c r="J7" s="26">
        <v>51</v>
      </c>
      <c r="K7" s="168">
        <f t="shared" si="0"/>
        <v>51</v>
      </c>
      <c r="L7" s="21">
        <v>289000</v>
      </c>
      <c r="M7" s="20">
        <f t="shared" si="1"/>
        <v>14739000</v>
      </c>
      <c r="N7" s="72" t="s">
        <v>227</v>
      </c>
      <c r="O7" s="95" t="s">
        <v>227</v>
      </c>
      <c r="P7" s="43"/>
      <c r="Q7" s="42"/>
    </row>
    <row r="8" spans="2:17" ht="19">
      <c r="B8" s="227"/>
      <c r="C8" s="37">
        <v>6</v>
      </c>
      <c r="D8" s="53" t="s">
        <v>62</v>
      </c>
      <c r="E8" s="77" t="s">
        <v>63</v>
      </c>
      <c r="F8" s="66"/>
      <c r="G8" s="66"/>
      <c r="H8" s="66"/>
      <c r="I8" s="26">
        <v>1</v>
      </c>
      <c r="J8" s="26">
        <v>51</v>
      </c>
      <c r="K8" s="168">
        <f t="shared" si="0"/>
        <v>51</v>
      </c>
      <c r="L8" s="21">
        <v>474791</v>
      </c>
      <c r="M8" s="20">
        <f t="shared" si="1"/>
        <v>24214341</v>
      </c>
      <c r="N8" s="72" t="s">
        <v>227</v>
      </c>
      <c r="O8" s="95" t="s">
        <v>227</v>
      </c>
      <c r="P8" s="43"/>
      <c r="Q8" s="42"/>
    </row>
    <row r="9" spans="2:17" ht="19">
      <c r="B9" s="227"/>
      <c r="C9" s="37">
        <v>7</v>
      </c>
      <c r="D9" s="54" t="s">
        <v>64</v>
      </c>
      <c r="E9" s="78" t="s">
        <v>91</v>
      </c>
      <c r="F9" s="66"/>
      <c r="G9" s="66"/>
      <c r="H9" s="66"/>
      <c r="I9" s="26">
        <v>1</v>
      </c>
      <c r="J9" s="26">
        <v>51</v>
      </c>
      <c r="K9" s="168">
        <f t="shared" si="0"/>
        <v>51</v>
      </c>
      <c r="L9" s="21">
        <v>913923</v>
      </c>
      <c r="M9" s="20">
        <f t="shared" si="1"/>
        <v>46610073</v>
      </c>
      <c r="N9" s="72" t="s">
        <v>227</v>
      </c>
      <c r="O9" s="95" t="s">
        <v>227</v>
      </c>
      <c r="P9" s="43"/>
      <c r="Q9" s="42"/>
    </row>
    <row r="10" spans="2:17" ht="19">
      <c r="B10" s="227"/>
      <c r="C10" s="37"/>
      <c r="D10" s="61" t="s">
        <v>208</v>
      </c>
      <c r="E10" s="79" t="s">
        <v>201</v>
      </c>
      <c r="F10" s="66"/>
      <c r="G10" s="66"/>
      <c r="H10" s="66"/>
      <c r="I10" s="26">
        <v>1</v>
      </c>
      <c r="J10" s="26">
        <v>60</v>
      </c>
      <c r="K10" s="168">
        <f t="shared" si="0"/>
        <v>60</v>
      </c>
      <c r="L10" s="80">
        <v>763</v>
      </c>
      <c r="M10" s="80">
        <f>L10*(J10*I10)</f>
        <v>45780</v>
      </c>
      <c r="N10" s="81" t="s">
        <v>102</v>
      </c>
      <c r="O10" s="108" t="s">
        <v>181</v>
      </c>
      <c r="P10" s="43"/>
      <c r="Q10" s="42"/>
    </row>
    <row r="11" spans="2:17" ht="19">
      <c r="B11" s="227"/>
      <c r="C11" s="37"/>
      <c r="D11" s="61" t="s">
        <v>209</v>
      </c>
      <c r="E11" s="79" t="s">
        <v>201</v>
      </c>
      <c r="F11" s="66"/>
      <c r="G11" s="66"/>
      <c r="H11" s="66"/>
      <c r="I11" s="26">
        <v>1</v>
      </c>
      <c r="J11" s="26">
        <v>60</v>
      </c>
      <c r="K11" s="168">
        <f t="shared" si="0"/>
        <v>60</v>
      </c>
      <c r="L11" s="80">
        <v>43.3</v>
      </c>
      <c r="M11" s="80">
        <f>L11*(J11*I11)</f>
        <v>2598</v>
      </c>
      <c r="N11" s="81" t="s">
        <v>102</v>
      </c>
      <c r="O11" s="108" t="s">
        <v>181</v>
      </c>
      <c r="P11" s="43"/>
      <c r="Q11" s="42"/>
    </row>
    <row r="12" spans="2:17" ht="19">
      <c r="B12" s="227"/>
      <c r="C12" s="37"/>
      <c r="D12" s="62" t="s">
        <v>210</v>
      </c>
      <c r="E12" s="46" t="s">
        <v>201</v>
      </c>
      <c r="F12" s="73"/>
      <c r="G12" s="73"/>
      <c r="H12" s="73"/>
      <c r="I12" s="29">
        <v>1</v>
      </c>
      <c r="J12" s="29">
        <v>60</v>
      </c>
      <c r="K12" s="168">
        <f t="shared" si="0"/>
        <v>60</v>
      </c>
      <c r="L12" s="82">
        <v>36000</v>
      </c>
      <c r="M12" s="82">
        <f>L12*(J12*I12)</f>
        <v>2160000</v>
      </c>
      <c r="N12" s="31" t="s">
        <v>202</v>
      </c>
      <c r="O12" s="31" t="s">
        <v>202</v>
      </c>
      <c r="P12" s="29"/>
      <c r="Q12" s="47"/>
    </row>
    <row r="13" spans="2:17" ht="19">
      <c r="B13" s="227"/>
      <c r="C13" s="37">
        <v>8</v>
      </c>
      <c r="D13" s="53" t="s">
        <v>65</v>
      </c>
      <c r="E13" s="77" t="s">
        <v>66</v>
      </c>
      <c r="F13" s="66"/>
      <c r="G13" s="66"/>
      <c r="H13" s="66"/>
      <c r="I13" s="26">
        <v>2</v>
      </c>
      <c r="J13" s="26">
        <v>51</v>
      </c>
      <c r="K13" s="168">
        <f t="shared" si="0"/>
        <v>102</v>
      </c>
      <c r="L13" s="21">
        <v>339000</v>
      </c>
      <c r="M13" s="20">
        <f t="shared" ref="M13" si="2">I13*J13*L13</f>
        <v>34578000</v>
      </c>
      <c r="N13" s="95" t="s">
        <v>227</v>
      </c>
      <c r="O13" s="95" t="s">
        <v>227</v>
      </c>
      <c r="P13" s="43"/>
      <c r="Q13" s="42"/>
    </row>
    <row r="14" spans="2:17" ht="19">
      <c r="B14" s="227"/>
      <c r="C14" s="37">
        <v>9</v>
      </c>
      <c r="D14" s="53" t="s">
        <v>67</v>
      </c>
      <c r="E14" s="77" t="s">
        <v>68</v>
      </c>
      <c r="F14" s="66"/>
      <c r="G14" s="66"/>
      <c r="H14" s="66"/>
      <c r="I14" s="26">
        <v>1</v>
      </c>
      <c r="J14" s="26">
        <v>55</v>
      </c>
      <c r="K14" s="168">
        <f t="shared" si="0"/>
        <v>55</v>
      </c>
      <c r="L14" s="21">
        <v>300000</v>
      </c>
      <c r="M14" s="20">
        <f>I14*J14*L14</f>
        <v>16500000</v>
      </c>
      <c r="N14" s="39" t="s">
        <v>166</v>
      </c>
      <c r="O14" s="108" t="s">
        <v>166</v>
      </c>
      <c r="P14" s="43"/>
      <c r="Q14" s="42"/>
    </row>
    <row r="15" spans="2:17" ht="19">
      <c r="B15" s="227"/>
      <c r="C15" s="37">
        <v>10</v>
      </c>
      <c r="D15" s="53" t="s">
        <v>69</v>
      </c>
      <c r="E15" s="77" t="s">
        <v>70</v>
      </c>
      <c r="F15" s="66"/>
      <c r="G15" s="66"/>
      <c r="H15" s="66"/>
      <c r="I15" s="26">
        <v>1</v>
      </c>
      <c r="J15" s="26">
        <v>51</v>
      </c>
      <c r="K15" s="168">
        <f t="shared" si="0"/>
        <v>51</v>
      </c>
      <c r="L15" s="21">
        <v>630000</v>
      </c>
      <c r="M15" s="20">
        <f>I15*J15*L15</f>
        <v>32130000</v>
      </c>
      <c r="N15" s="39" t="s">
        <v>97</v>
      </c>
      <c r="O15" s="108" t="s">
        <v>97</v>
      </c>
      <c r="P15" s="43"/>
      <c r="Q15" s="42"/>
    </row>
    <row r="16" spans="2:17" ht="19">
      <c r="B16" s="227"/>
      <c r="C16" s="37">
        <v>11</v>
      </c>
      <c r="D16" s="53" t="s">
        <v>29</v>
      </c>
      <c r="E16" s="77" t="s">
        <v>71</v>
      </c>
      <c r="F16" s="66"/>
      <c r="G16" s="66"/>
      <c r="H16" s="66"/>
      <c r="I16" s="26">
        <v>1</v>
      </c>
      <c r="J16" s="26">
        <v>51</v>
      </c>
      <c r="K16" s="168">
        <f t="shared" si="0"/>
        <v>51</v>
      </c>
      <c r="L16" s="40" t="s">
        <v>201</v>
      </c>
      <c r="M16" s="30" t="s">
        <v>201</v>
      </c>
      <c r="N16" s="40" t="s">
        <v>201</v>
      </c>
      <c r="O16" s="90" t="s">
        <v>201</v>
      </c>
      <c r="P16" s="40"/>
      <c r="Q16" s="44"/>
    </row>
    <row r="17" spans="2:17" ht="19">
      <c r="B17" s="228"/>
      <c r="C17" s="37">
        <v>12</v>
      </c>
      <c r="D17" s="55" t="s">
        <v>203</v>
      </c>
      <c r="E17" s="46" t="s">
        <v>201</v>
      </c>
      <c r="F17" s="31"/>
      <c r="G17" s="31"/>
      <c r="H17" s="82"/>
      <c r="I17" s="29">
        <v>2</v>
      </c>
      <c r="J17" s="31">
        <v>52</v>
      </c>
      <c r="K17" s="168">
        <f t="shared" si="0"/>
        <v>104</v>
      </c>
      <c r="L17" s="32">
        <v>490000</v>
      </c>
      <c r="M17" s="32">
        <f>I17*J17*L17</f>
        <v>50960000</v>
      </c>
      <c r="N17" s="31" t="s">
        <v>202</v>
      </c>
      <c r="O17" s="31" t="s">
        <v>202</v>
      </c>
      <c r="P17" s="49"/>
      <c r="Q17" s="47"/>
    </row>
    <row r="21" spans="2:17">
      <c r="B21" s="224" t="s">
        <v>196</v>
      </c>
      <c r="C21" s="33">
        <v>1</v>
      </c>
      <c r="D21" s="52" t="s">
        <v>58</v>
      </c>
      <c r="E21" s="33"/>
      <c r="F21" s="33"/>
      <c r="G21" s="33"/>
      <c r="H21" s="33"/>
      <c r="I21" s="33"/>
      <c r="J21" s="33"/>
      <c r="K21" s="167"/>
      <c r="L21" s="33"/>
      <c r="M21" s="23"/>
      <c r="N21" s="33"/>
      <c r="O21" s="33"/>
      <c r="P21" s="33"/>
      <c r="Q21" s="33" t="s">
        <v>142</v>
      </c>
    </row>
    <row r="22" spans="2:17" ht="19">
      <c r="B22" s="225"/>
      <c r="C22" s="34" t="s">
        <v>112</v>
      </c>
      <c r="D22" s="33" t="s">
        <v>109</v>
      </c>
      <c r="E22" s="33" t="s">
        <v>111</v>
      </c>
      <c r="F22" s="33"/>
      <c r="G22" s="33"/>
      <c r="H22" s="33"/>
      <c r="I22" s="33">
        <v>8</v>
      </c>
      <c r="J22" s="33">
        <v>53</v>
      </c>
      <c r="K22" s="167">
        <f>I22*J22</f>
        <v>424</v>
      </c>
      <c r="L22" s="23">
        <v>21500</v>
      </c>
      <c r="M22" s="23">
        <f t="shared" ref="M22:M41" si="3">I22*J22*L22</f>
        <v>9116000</v>
      </c>
      <c r="N22" s="74" t="s">
        <v>158</v>
      </c>
      <c r="O22" s="74"/>
      <c r="P22" s="33"/>
      <c r="Q22" s="33"/>
    </row>
    <row r="23" spans="2:17" ht="19">
      <c r="B23" s="225"/>
      <c r="C23" s="35" t="s">
        <v>182</v>
      </c>
      <c r="D23" s="33" t="s">
        <v>118</v>
      </c>
      <c r="E23" s="33" t="s">
        <v>128</v>
      </c>
      <c r="F23" s="33"/>
      <c r="G23" s="33"/>
      <c r="H23" s="33"/>
      <c r="I23" s="33">
        <v>7</v>
      </c>
      <c r="J23" s="33">
        <v>55</v>
      </c>
      <c r="K23" s="167">
        <f t="shared" ref="K23:K41" si="4">I23*J23</f>
        <v>385</v>
      </c>
      <c r="L23" s="23">
        <v>50</v>
      </c>
      <c r="M23" s="23">
        <f t="shared" si="3"/>
        <v>19250</v>
      </c>
      <c r="N23" s="74" t="s">
        <v>158</v>
      </c>
      <c r="O23" s="74"/>
      <c r="P23" s="33"/>
      <c r="Q23" s="33"/>
    </row>
    <row r="24" spans="2:17" ht="19">
      <c r="B24" s="225"/>
      <c r="C24" s="35" t="s">
        <v>183</v>
      </c>
      <c r="D24" s="33" t="s">
        <v>118</v>
      </c>
      <c r="E24" s="33" t="s">
        <v>131</v>
      </c>
      <c r="F24" s="33"/>
      <c r="G24" s="33"/>
      <c r="H24" s="33"/>
      <c r="I24" s="33">
        <v>1</v>
      </c>
      <c r="J24" s="33">
        <v>55</v>
      </c>
      <c r="K24" s="167">
        <f t="shared" si="4"/>
        <v>55</v>
      </c>
      <c r="L24" s="23">
        <v>120</v>
      </c>
      <c r="M24" s="23">
        <f t="shared" si="3"/>
        <v>6600</v>
      </c>
      <c r="N24" s="74" t="s">
        <v>158</v>
      </c>
      <c r="O24" s="74"/>
      <c r="P24" s="33"/>
      <c r="Q24" s="33"/>
    </row>
    <row r="25" spans="2:17" ht="19">
      <c r="B25" s="225"/>
      <c r="C25" s="35" t="s">
        <v>184</v>
      </c>
      <c r="D25" s="33" t="s">
        <v>135</v>
      </c>
      <c r="E25" s="33" t="s">
        <v>136</v>
      </c>
      <c r="F25" s="33"/>
      <c r="G25" s="33"/>
      <c r="H25" s="33"/>
      <c r="I25" s="33">
        <v>36</v>
      </c>
      <c r="J25" s="33">
        <v>55</v>
      </c>
      <c r="K25" s="167">
        <f t="shared" si="4"/>
        <v>1980</v>
      </c>
      <c r="L25" s="23">
        <v>11</v>
      </c>
      <c r="M25" s="23">
        <f t="shared" si="3"/>
        <v>21780</v>
      </c>
      <c r="N25" s="74" t="s">
        <v>158</v>
      </c>
      <c r="O25" s="74"/>
      <c r="P25" s="33"/>
      <c r="Q25" s="33"/>
    </row>
    <row r="26" spans="2:17">
      <c r="B26" s="225"/>
      <c r="C26" s="33">
        <v>2</v>
      </c>
      <c r="D26" s="52" t="s">
        <v>56</v>
      </c>
      <c r="E26" s="33"/>
      <c r="F26" s="33"/>
      <c r="G26" s="33"/>
      <c r="H26" s="33"/>
      <c r="I26" s="33"/>
      <c r="J26" s="33"/>
      <c r="K26" s="167"/>
      <c r="L26" s="23"/>
      <c r="M26" s="23"/>
      <c r="N26" s="33"/>
      <c r="O26" s="33"/>
      <c r="P26" s="33"/>
      <c r="Q26" s="33"/>
    </row>
    <row r="27" spans="2:17" ht="19">
      <c r="B27" s="225"/>
      <c r="C27" s="35" t="s">
        <v>177</v>
      </c>
      <c r="D27" s="33" t="s">
        <v>109</v>
      </c>
      <c r="E27" s="33" t="s">
        <v>111</v>
      </c>
      <c r="F27" s="33"/>
      <c r="G27" s="33"/>
      <c r="H27" s="33"/>
      <c r="I27" s="33">
        <v>6</v>
      </c>
      <c r="J27" s="33">
        <v>53</v>
      </c>
      <c r="K27" s="167">
        <f t="shared" si="4"/>
        <v>318</v>
      </c>
      <c r="L27" s="23">
        <v>21500</v>
      </c>
      <c r="M27" s="23">
        <f t="shared" si="3"/>
        <v>6837000</v>
      </c>
      <c r="N27" s="74" t="s">
        <v>158</v>
      </c>
      <c r="O27" s="74"/>
      <c r="P27" s="33"/>
      <c r="Q27" s="33"/>
    </row>
    <row r="28" spans="2:17" ht="19">
      <c r="B28" s="225"/>
      <c r="C28" s="35" t="s">
        <v>185</v>
      </c>
      <c r="D28" s="33" t="s">
        <v>118</v>
      </c>
      <c r="E28" s="33" t="s">
        <v>143</v>
      </c>
      <c r="F28" s="33"/>
      <c r="G28" s="33"/>
      <c r="H28" s="33"/>
      <c r="I28" s="33">
        <v>4</v>
      </c>
      <c r="J28" s="33">
        <v>55</v>
      </c>
      <c r="K28" s="167">
        <f t="shared" si="4"/>
        <v>220</v>
      </c>
      <c r="L28" s="23">
        <v>50</v>
      </c>
      <c r="M28" s="23">
        <f t="shared" si="3"/>
        <v>11000</v>
      </c>
      <c r="N28" s="74" t="s">
        <v>158</v>
      </c>
      <c r="O28" s="74"/>
      <c r="P28" s="33"/>
      <c r="Q28" s="33"/>
    </row>
    <row r="29" spans="2:17" ht="19">
      <c r="B29" s="225"/>
      <c r="C29" s="35" t="s">
        <v>186</v>
      </c>
      <c r="D29" s="33" t="s">
        <v>118</v>
      </c>
      <c r="E29" s="33" t="s">
        <v>131</v>
      </c>
      <c r="F29" s="33"/>
      <c r="G29" s="33"/>
      <c r="H29" s="33"/>
      <c r="I29" s="33">
        <v>1</v>
      </c>
      <c r="J29" s="33">
        <v>55</v>
      </c>
      <c r="K29" s="167">
        <f t="shared" si="4"/>
        <v>55</v>
      </c>
      <c r="L29" s="23">
        <v>120</v>
      </c>
      <c r="M29" s="23">
        <f t="shared" si="3"/>
        <v>6600</v>
      </c>
      <c r="N29" s="74" t="s">
        <v>158</v>
      </c>
      <c r="O29" s="74"/>
      <c r="P29" s="33"/>
      <c r="Q29" s="33"/>
    </row>
    <row r="30" spans="2:17" ht="19">
      <c r="B30" s="225"/>
      <c r="C30" s="35" t="s">
        <v>187</v>
      </c>
      <c r="D30" s="33" t="s">
        <v>135</v>
      </c>
      <c r="E30" s="33" t="s">
        <v>136</v>
      </c>
      <c r="F30" s="33"/>
      <c r="G30" s="33"/>
      <c r="H30" s="33"/>
      <c r="I30" s="33">
        <v>24</v>
      </c>
      <c r="J30" s="33">
        <v>55</v>
      </c>
      <c r="K30" s="167">
        <f t="shared" si="4"/>
        <v>1320</v>
      </c>
      <c r="L30" s="23">
        <v>11</v>
      </c>
      <c r="M30" s="23">
        <f t="shared" si="3"/>
        <v>14520</v>
      </c>
      <c r="N30" s="74" t="s">
        <v>158</v>
      </c>
      <c r="O30" s="74"/>
      <c r="P30" s="33"/>
      <c r="Q30" s="33"/>
    </row>
    <row r="31" spans="2:17">
      <c r="B31" s="225"/>
      <c r="C31" s="33">
        <v>3</v>
      </c>
      <c r="D31" s="52" t="s">
        <v>52</v>
      </c>
      <c r="E31" s="33"/>
      <c r="F31" s="33"/>
      <c r="G31" s="33"/>
      <c r="H31" s="33"/>
      <c r="I31" s="33"/>
      <c r="J31" s="33"/>
      <c r="K31" s="167"/>
      <c r="L31" s="23"/>
      <c r="M31" s="23"/>
      <c r="N31" s="33"/>
      <c r="O31" s="33"/>
      <c r="P31" s="33"/>
      <c r="Q31" s="33"/>
    </row>
    <row r="32" spans="2:17" ht="19">
      <c r="B32" s="225"/>
      <c r="C32" s="35" t="s">
        <v>188</v>
      </c>
      <c r="D32" s="33" t="s">
        <v>109</v>
      </c>
      <c r="E32" s="33" t="s">
        <v>110</v>
      </c>
      <c r="F32" s="33"/>
      <c r="G32" s="33"/>
      <c r="H32" s="33"/>
      <c r="I32" s="33">
        <v>1</v>
      </c>
      <c r="J32" s="33">
        <v>55</v>
      </c>
      <c r="K32" s="167">
        <f t="shared" si="4"/>
        <v>55</v>
      </c>
      <c r="L32" s="23">
        <v>3350</v>
      </c>
      <c r="M32" s="23">
        <f t="shared" si="3"/>
        <v>184250</v>
      </c>
      <c r="N32" s="74" t="s">
        <v>158</v>
      </c>
      <c r="O32" s="74"/>
      <c r="P32" s="33"/>
      <c r="Q32" s="33"/>
    </row>
    <row r="33" spans="2:17" ht="19">
      <c r="B33" s="225"/>
      <c r="C33" s="35" t="s">
        <v>189</v>
      </c>
      <c r="D33" s="33" t="s">
        <v>118</v>
      </c>
      <c r="E33" s="33" t="s">
        <v>137</v>
      </c>
      <c r="F33" s="33"/>
      <c r="G33" s="33"/>
      <c r="H33" s="33"/>
      <c r="I33" s="33">
        <v>1</v>
      </c>
      <c r="J33" s="33">
        <v>55</v>
      </c>
      <c r="K33" s="167">
        <f t="shared" si="4"/>
        <v>55</v>
      </c>
      <c r="L33" s="23">
        <v>45</v>
      </c>
      <c r="M33" s="23">
        <f t="shared" si="3"/>
        <v>2475</v>
      </c>
      <c r="N33" s="74" t="s">
        <v>158</v>
      </c>
      <c r="O33" s="74"/>
      <c r="P33" s="33"/>
      <c r="Q33" s="33"/>
    </row>
    <row r="34" spans="2:17" ht="19">
      <c r="B34" s="225"/>
      <c r="C34" s="35" t="s">
        <v>190</v>
      </c>
      <c r="D34" s="33" t="s">
        <v>135</v>
      </c>
      <c r="E34" s="33" t="s">
        <v>138</v>
      </c>
      <c r="F34" s="33"/>
      <c r="G34" s="33"/>
      <c r="H34" s="33"/>
      <c r="I34" s="33">
        <v>5</v>
      </c>
      <c r="J34" s="33">
        <v>55</v>
      </c>
      <c r="K34" s="167">
        <f t="shared" si="4"/>
        <v>275</v>
      </c>
      <c r="L34" s="23">
        <v>25</v>
      </c>
      <c r="M34" s="23">
        <f t="shared" si="3"/>
        <v>6875</v>
      </c>
      <c r="N34" s="74" t="s">
        <v>158</v>
      </c>
      <c r="O34" s="74"/>
      <c r="P34" s="33"/>
      <c r="Q34" s="33"/>
    </row>
    <row r="35" spans="2:17">
      <c r="B35" s="225"/>
      <c r="C35" s="33">
        <v>4</v>
      </c>
      <c r="D35" s="52" t="s">
        <v>62</v>
      </c>
      <c r="E35" s="33"/>
      <c r="F35" s="33"/>
      <c r="G35" s="33"/>
      <c r="H35" s="33"/>
      <c r="I35" s="33"/>
      <c r="J35" s="33"/>
      <c r="K35" s="167"/>
      <c r="L35" s="23"/>
      <c r="M35" s="23"/>
      <c r="N35" s="33"/>
      <c r="O35" s="33"/>
      <c r="P35" s="33"/>
      <c r="Q35" s="33"/>
    </row>
    <row r="36" spans="2:17" ht="19">
      <c r="B36" s="225"/>
      <c r="C36" s="35" t="s">
        <v>113</v>
      </c>
      <c r="D36" s="33" t="s">
        <v>109</v>
      </c>
      <c r="E36" s="33" t="s">
        <v>115</v>
      </c>
      <c r="F36" s="33"/>
      <c r="G36" s="33"/>
      <c r="H36" s="33"/>
      <c r="I36" s="33">
        <v>1</v>
      </c>
      <c r="J36" s="33">
        <v>50</v>
      </c>
      <c r="K36" s="167">
        <f t="shared" si="4"/>
        <v>50</v>
      </c>
      <c r="L36" s="23">
        <v>14350</v>
      </c>
      <c r="M36" s="23">
        <f t="shared" si="3"/>
        <v>717500</v>
      </c>
      <c r="N36" s="74" t="s">
        <v>158</v>
      </c>
      <c r="O36" s="74"/>
      <c r="P36" s="33"/>
      <c r="Q36" s="71" t="s">
        <v>211</v>
      </c>
    </row>
    <row r="37" spans="2:17" ht="19">
      <c r="B37" s="225"/>
      <c r="C37" s="35" t="s">
        <v>191</v>
      </c>
      <c r="D37" s="71" t="s">
        <v>109</v>
      </c>
      <c r="E37" s="71" t="s">
        <v>116</v>
      </c>
      <c r="F37" s="71"/>
      <c r="G37" s="71"/>
      <c r="H37" s="71"/>
      <c r="I37" s="71">
        <v>1</v>
      </c>
      <c r="J37" s="71">
        <v>55</v>
      </c>
      <c r="K37" s="169">
        <f t="shared" si="4"/>
        <v>55</v>
      </c>
      <c r="L37" s="170">
        <v>17850</v>
      </c>
      <c r="M37" s="170">
        <f t="shared" si="3"/>
        <v>981750</v>
      </c>
      <c r="N37" s="171" t="s">
        <v>158</v>
      </c>
      <c r="O37" s="171"/>
      <c r="P37" s="71"/>
      <c r="Q37" s="172" t="s">
        <v>222</v>
      </c>
    </row>
    <row r="38" spans="2:17" ht="19">
      <c r="B38" s="225"/>
      <c r="C38" s="35" t="s">
        <v>192</v>
      </c>
      <c r="D38" s="33" t="s">
        <v>109</v>
      </c>
      <c r="E38" s="33" t="s">
        <v>114</v>
      </c>
      <c r="F38" s="33"/>
      <c r="G38" s="33"/>
      <c r="H38" s="33"/>
      <c r="I38" s="33">
        <v>31</v>
      </c>
      <c r="J38" s="33">
        <v>50</v>
      </c>
      <c r="K38" s="167">
        <f t="shared" si="4"/>
        <v>1550</v>
      </c>
      <c r="L38" s="23">
        <v>1250</v>
      </c>
      <c r="M38" s="23">
        <f t="shared" si="3"/>
        <v>1937500</v>
      </c>
      <c r="N38" s="74" t="s">
        <v>158</v>
      </c>
      <c r="O38" s="74"/>
      <c r="P38" s="33"/>
      <c r="Q38" s="71" t="s">
        <v>211</v>
      </c>
    </row>
    <row r="39" spans="2:17" ht="19">
      <c r="B39" s="225"/>
      <c r="C39" s="35" t="s">
        <v>193</v>
      </c>
      <c r="D39" s="33" t="s">
        <v>140</v>
      </c>
      <c r="E39" s="33" t="s">
        <v>130</v>
      </c>
      <c r="F39" s="33"/>
      <c r="G39" s="33"/>
      <c r="H39" s="33"/>
      <c r="I39" s="33">
        <v>1</v>
      </c>
      <c r="J39" s="33">
        <v>55</v>
      </c>
      <c r="K39" s="167">
        <f t="shared" si="4"/>
        <v>55</v>
      </c>
      <c r="L39" s="23">
        <v>80</v>
      </c>
      <c r="M39" s="23">
        <f t="shared" si="3"/>
        <v>4400</v>
      </c>
      <c r="N39" s="74" t="s">
        <v>158</v>
      </c>
      <c r="O39" s="74"/>
      <c r="P39" s="33"/>
      <c r="Q39" s="33"/>
    </row>
    <row r="40" spans="2:17" ht="19">
      <c r="B40" s="225"/>
      <c r="C40" s="35" t="s">
        <v>194</v>
      </c>
      <c r="D40" s="33" t="s">
        <v>140</v>
      </c>
      <c r="E40" s="33" t="s">
        <v>134</v>
      </c>
      <c r="F40" s="33"/>
      <c r="G40" s="33"/>
      <c r="H40" s="33"/>
      <c r="I40" s="33">
        <v>1</v>
      </c>
      <c r="J40" s="33">
        <v>55</v>
      </c>
      <c r="K40" s="167">
        <f t="shared" si="4"/>
        <v>55</v>
      </c>
      <c r="L40" s="23">
        <v>200</v>
      </c>
      <c r="M40" s="23">
        <f t="shared" si="3"/>
        <v>11000</v>
      </c>
      <c r="N40" s="74" t="s">
        <v>158</v>
      </c>
      <c r="O40" s="74"/>
      <c r="P40" s="33"/>
      <c r="Q40" s="33"/>
    </row>
    <row r="41" spans="2:17" ht="19">
      <c r="B41" s="225"/>
      <c r="C41" s="35" t="s">
        <v>195</v>
      </c>
      <c r="D41" s="33" t="s">
        <v>135</v>
      </c>
      <c r="E41" s="33" t="s">
        <v>197</v>
      </c>
      <c r="F41" s="33"/>
      <c r="G41" s="33"/>
      <c r="H41" s="33"/>
      <c r="I41" s="33">
        <v>18</v>
      </c>
      <c r="J41" s="33">
        <v>55</v>
      </c>
      <c r="K41" s="167">
        <f t="shared" si="4"/>
        <v>990</v>
      </c>
      <c r="L41" s="23">
        <v>11</v>
      </c>
      <c r="M41" s="23">
        <f t="shared" si="3"/>
        <v>10890</v>
      </c>
      <c r="N41" s="74" t="s">
        <v>158</v>
      </c>
      <c r="O41" s="74"/>
      <c r="P41" s="33"/>
      <c r="Q41" s="33"/>
    </row>
    <row r="42" spans="2:17">
      <c r="M42" s="24">
        <f>SUM(M22:M41)</f>
        <v>19889390</v>
      </c>
    </row>
    <row r="47" spans="2:17">
      <c r="N47" s="165">
        <v>513363</v>
      </c>
      <c r="O47" s="165">
        <v>615859</v>
      </c>
      <c r="Q47" s="166">
        <f>N47+O47</f>
        <v>1129222</v>
      </c>
    </row>
  </sheetData>
  <mergeCells count="2">
    <mergeCell ref="B21:B41"/>
    <mergeCell ref="B2:B17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DBDB-6422-47FA-A0FF-235D935B214F}">
  <dimension ref="B1:Q34"/>
  <sheetViews>
    <sheetView zoomScale="90" zoomScaleNormal="90" workbookViewId="0">
      <selection sqref="A1:XFD1"/>
    </sheetView>
  </sheetViews>
  <sheetFormatPr baseColWidth="10" defaultColWidth="9.3984375" defaultRowHeight="18"/>
  <cols>
    <col min="1" max="1" width="5" style="25" customWidth="1"/>
    <col min="2" max="2" width="8" style="25" customWidth="1"/>
    <col min="3" max="3" width="7.796875" style="25" bestFit="1" customWidth="1"/>
    <col min="4" max="4" width="52" style="25" bestFit="1" customWidth="1"/>
    <col min="5" max="5" width="33.796875" style="25" bestFit="1" customWidth="1"/>
    <col min="6" max="8" width="12.3984375" style="25" bestFit="1" customWidth="1"/>
    <col min="9" max="9" width="14.796875" style="25" bestFit="1" customWidth="1"/>
    <col min="10" max="10" width="12.3984375" style="25" bestFit="1" customWidth="1"/>
    <col min="11" max="11" width="10.796875" style="25" bestFit="1" customWidth="1"/>
    <col min="12" max="12" width="14.59765625" style="25" bestFit="1" customWidth="1"/>
    <col min="13" max="13" width="18.3984375" style="25" bestFit="1" customWidth="1"/>
    <col min="14" max="14" width="23.3984375" style="25" bestFit="1" customWidth="1"/>
    <col min="15" max="15" width="23.3984375" style="25" customWidth="1"/>
    <col min="16" max="16" width="13.3984375" style="25" bestFit="1" customWidth="1"/>
    <col min="17" max="17" width="45.3984375" style="25" bestFit="1" customWidth="1"/>
    <col min="18" max="18" width="3.3984375" style="25" customWidth="1"/>
    <col min="19" max="16384" width="9.3984375" style="25"/>
  </cols>
  <sheetData>
    <row r="1" spans="2:17" ht="39" thickBot="1">
      <c r="B1" s="67" t="s">
        <v>230</v>
      </c>
      <c r="C1" s="67" t="s">
        <v>5</v>
      </c>
      <c r="D1" s="76" t="s">
        <v>8</v>
      </c>
      <c r="E1" s="67" t="s">
        <v>6</v>
      </c>
      <c r="F1" s="67" t="s">
        <v>88</v>
      </c>
      <c r="G1" s="67" t="s">
        <v>94</v>
      </c>
      <c r="H1" s="67" t="s">
        <v>89</v>
      </c>
      <c r="I1" s="67" t="s">
        <v>87</v>
      </c>
      <c r="J1" s="67" t="s">
        <v>241</v>
      </c>
      <c r="K1" s="67" t="s">
        <v>239</v>
      </c>
      <c r="L1" s="15" t="s">
        <v>30</v>
      </c>
      <c r="M1" s="15" t="s">
        <v>31</v>
      </c>
      <c r="N1" s="15" t="s">
        <v>105</v>
      </c>
      <c r="O1" s="15" t="s">
        <v>229</v>
      </c>
      <c r="P1" s="15" t="s">
        <v>90</v>
      </c>
      <c r="Q1" s="15" t="s">
        <v>0</v>
      </c>
    </row>
    <row r="2" spans="2:17" ht="19">
      <c r="B2" s="83">
        <v>3</v>
      </c>
      <c r="C2" s="26" t="s">
        <v>4</v>
      </c>
      <c r="D2" s="48"/>
      <c r="E2" s="26" t="s">
        <v>3</v>
      </c>
      <c r="F2" s="17"/>
      <c r="G2" s="17"/>
      <c r="H2" s="17"/>
      <c r="I2" s="27"/>
      <c r="J2" s="27"/>
      <c r="K2" s="27"/>
      <c r="L2" s="39"/>
      <c r="M2" s="39"/>
      <c r="N2" s="41"/>
      <c r="O2" s="41"/>
      <c r="P2" s="39"/>
      <c r="Q2" s="42"/>
    </row>
    <row r="3" spans="2:17" ht="19">
      <c r="B3" s="83"/>
      <c r="C3" s="26">
        <v>1</v>
      </c>
      <c r="D3" s="48" t="s">
        <v>9</v>
      </c>
      <c r="E3" s="26" t="s">
        <v>72</v>
      </c>
      <c r="F3" s="66"/>
      <c r="G3" s="66"/>
      <c r="H3" s="66"/>
      <c r="I3" s="26">
        <v>1</v>
      </c>
      <c r="J3" s="26">
        <v>51</v>
      </c>
      <c r="K3" s="168">
        <f>I3*J3</f>
        <v>51</v>
      </c>
      <c r="L3" s="21">
        <v>304800</v>
      </c>
      <c r="M3" s="20">
        <f>I3*J3*L3</f>
        <v>15544800</v>
      </c>
      <c r="N3" s="90" t="s">
        <v>99</v>
      </c>
      <c r="O3" s="90" t="s">
        <v>99</v>
      </c>
      <c r="P3" s="43"/>
      <c r="Q3" s="42"/>
    </row>
    <row r="4" spans="2:17" ht="19">
      <c r="B4" s="83"/>
      <c r="C4" s="26">
        <v>2</v>
      </c>
      <c r="D4" s="48" t="s">
        <v>13</v>
      </c>
      <c r="E4" s="26" t="s">
        <v>73</v>
      </c>
      <c r="F4" s="66"/>
      <c r="G4" s="66"/>
      <c r="H4" s="66"/>
      <c r="I4" s="26">
        <v>1</v>
      </c>
      <c r="J4" s="26">
        <v>51</v>
      </c>
      <c r="K4" s="168">
        <f t="shared" ref="K4:K19" si="0">I4*J4</f>
        <v>51</v>
      </c>
      <c r="L4" s="21" t="s">
        <v>201</v>
      </c>
      <c r="M4" s="21" t="s">
        <v>201</v>
      </c>
      <c r="N4" s="90" t="s">
        <v>99</v>
      </c>
      <c r="O4" s="90" t="s">
        <v>99</v>
      </c>
      <c r="P4" s="43"/>
      <c r="Q4" s="42"/>
    </row>
    <row r="5" spans="2:17" ht="19">
      <c r="B5" s="83"/>
      <c r="C5" s="26">
        <v>3</v>
      </c>
      <c r="D5" s="48" t="s">
        <v>14</v>
      </c>
      <c r="E5" s="26" t="s">
        <v>74</v>
      </c>
      <c r="F5" s="66"/>
      <c r="G5" s="66"/>
      <c r="H5" s="66"/>
      <c r="I5" s="26">
        <v>1</v>
      </c>
      <c r="J5" s="26">
        <v>51</v>
      </c>
      <c r="K5" s="168">
        <f t="shared" si="0"/>
        <v>51</v>
      </c>
      <c r="L5" s="21" t="s">
        <v>201</v>
      </c>
      <c r="M5" s="21" t="s">
        <v>201</v>
      </c>
      <c r="N5" s="90" t="s">
        <v>99</v>
      </c>
      <c r="O5" s="90" t="s">
        <v>99</v>
      </c>
      <c r="P5" s="43"/>
      <c r="Q5" s="42"/>
    </row>
    <row r="6" spans="2:17" ht="19">
      <c r="B6" s="83"/>
      <c r="C6" s="26">
        <v>4</v>
      </c>
      <c r="D6" s="48" t="s">
        <v>75</v>
      </c>
      <c r="E6" s="26" t="s">
        <v>76</v>
      </c>
      <c r="F6" s="66"/>
      <c r="G6" s="66"/>
      <c r="H6" s="66"/>
      <c r="I6" s="26">
        <v>1</v>
      </c>
      <c r="J6" s="26">
        <v>60</v>
      </c>
      <c r="K6" s="168">
        <f t="shared" si="0"/>
        <v>60</v>
      </c>
      <c r="L6" s="21">
        <v>185000</v>
      </c>
      <c r="M6" s="20">
        <f t="shared" ref="M6:M8" si="1">I6*J6*L6</f>
        <v>11100000</v>
      </c>
      <c r="N6" s="108" t="s">
        <v>157</v>
      </c>
      <c r="O6" s="108" t="s">
        <v>161</v>
      </c>
      <c r="P6" s="43"/>
      <c r="Q6" s="50" t="s">
        <v>117</v>
      </c>
    </row>
    <row r="7" spans="2:17" ht="19">
      <c r="B7" s="83"/>
      <c r="C7" s="26">
        <v>5</v>
      </c>
      <c r="D7" s="48" t="s">
        <v>77</v>
      </c>
      <c r="E7" s="26" t="s">
        <v>78</v>
      </c>
      <c r="F7" s="66"/>
      <c r="G7" s="66"/>
      <c r="H7" s="66"/>
      <c r="I7" s="26">
        <v>1</v>
      </c>
      <c r="J7" s="26">
        <v>51</v>
      </c>
      <c r="K7" s="168">
        <f t="shared" si="0"/>
        <v>51</v>
      </c>
      <c r="L7" s="21" t="s">
        <v>201</v>
      </c>
      <c r="M7" s="21" t="s">
        <v>201</v>
      </c>
      <c r="N7" s="90" t="s">
        <v>99</v>
      </c>
      <c r="O7" s="90" t="s">
        <v>99</v>
      </c>
      <c r="P7" s="43"/>
      <c r="Q7" s="42"/>
    </row>
    <row r="8" spans="2:17" ht="19">
      <c r="B8" s="83"/>
      <c r="C8" s="26">
        <v>6</v>
      </c>
      <c r="D8" s="56" t="s">
        <v>79</v>
      </c>
      <c r="E8" s="28" t="s">
        <v>92</v>
      </c>
      <c r="F8" s="66"/>
      <c r="G8" s="66"/>
      <c r="H8" s="66"/>
      <c r="I8" s="26">
        <v>1</v>
      </c>
      <c r="J8" s="26">
        <v>51</v>
      </c>
      <c r="K8" s="168">
        <f t="shared" si="0"/>
        <v>51</v>
      </c>
      <c r="L8" s="21">
        <v>923923</v>
      </c>
      <c r="M8" s="20">
        <f t="shared" si="1"/>
        <v>47120073</v>
      </c>
      <c r="N8" s="95" t="s">
        <v>227</v>
      </c>
      <c r="O8" s="95" t="s">
        <v>227</v>
      </c>
      <c r="P8" s="43"/>
      <c r="Q8" s="42"/>
    </row>
    <row r="9" spans="2:17" ht="19">
      <c r="B9" s="83"/>
      <c r="C9" s="26"/>
      <c r="D9" s="57" t="s">
        <v>206</v>
      </c>
      <c r="E9" s="28" t="s">
        <v>201</v>
      </c>
      <c r="F9" s="66"/>
      <c r="G9" s="66"/>
      <c r="H9" s="66"/>
      <c r="I9" s="26">
        <v>1</v>
      </c>
      <c r="J9" s="26">
        <v>70</v>
      </c>
      <c r="K9" s="168">
        <f t="shared" si="0"/>
        <v>70</v>
      </c>
      <c r="L9" s="80">
        <v>327</v>
      </c>
      <c r="M9" s="80">
        <f>L9*(J9*I9)</f>
        <v>22890</v>
      </c>
      <c r="N9" s="108" t="s">
        <v>102</v>
      </c>
      <c r="O9" s="108" t="s">
        <v>181</v>
      </c>
      <c r="P9" s="43"/>
      <c r="Q9" s="51" t="s">
        <v>205</v>
      </c>
    </row>
    <row r="10" spans="2:17" ht="19">
      <c r="B10" s="83"/>
      <c r="C10" s="26"/>
      <c r="D10" s="58" t="s">
        <v>207</v>
      </c>
      <c r="E10" s="28" t="s">
        <v>201</v>
      </c>
      <c r="F10" s="66"/>
      <c r="G10" s="66"/>
      <c r="H10" s="66"/>
      <c r="I10" s="26">
        <v>1</v>
      </c>
      <c r="J10" s="26">
        <v>70</v>
      </c>
      <c r="K10" s="168">
        <f t="shared" si="0"/>
        <v>70</v>
      </c>
      <c r="L10" s="80">
        <v>40.6</v>
      </c>
      <c r="M10" s="80">
        <f>L10*(J10*I10)</f>
        <v>2842</v>
      </c>
      <c r="N10" s="108" t="s">
        <v>102</v>
      </c>
      <c r="O10" s="108" t="s">
        <v>181</v>
      </c>
      <c r="P10" s="43"/>
      <c r="Q10" s="51" t="s">
        <v>205</v>
      </c>
    </row>
    <row r="11" spans="2:17" ht="19">
      <c r="B11" s="83"/>
      <c r="C11" s="26"/>
      <c r="D11" s="59" t="s">
        <v>204</v>
      </c>
      <c r="E11" s="29" t="s">
        <v>201</v>
      </c>
      <c r="F11" s="84"/>
      <c r="G11" s="84"/>
      <c r="H11" s="84"/>
      <c r="I11" s="36">
        <v>1</v>
      </c>
      <c r="J11" s="36">
        <v>70</v>
      </c>
      <c r="K11" s="168">
        <f t="shared" si="0"/>
        <v>70</v>
      </c>
      <c r="L11" s="82">
        <v>36000</v>
      </c>
      <c r="M11" s="82">
        <f>L11*(J11*I11)</f>
        <v>2520000</v>
      </c>
      <c r="N11" s="31" t="s">
        <v>202</v>
      </c>
      <c r="O11" s="31" t="s">
        <v>202</v>
      </c>
      <c r="P11" s="36"/>
      <c r="Q11" s="47"/>
    </row>
    <row r="12" spans="2:17" ht="19">
      <c r="B12" s="83"/>
      <c r="C12" s="26">
        <v>7</v>
      </c>
      <c r="D12" s="48" t="s">
        <v>21</v>
      </c>
      <c r="E12" s="26" t="s">
        <v>80</v>
      </c>
      <c r="F12" s="66"/>
      <c r="G12" s="66"/>
      <c r="H12" s="66"/>
      <c r="I12" s="26">
        <v>1</v>
      </c>
      <c r="J12" s="26">
        <v>60</v>
      </c>
      <c r="K12" s="168">
        <f t="shared" si="0"/>
        <v>60</v>
      </c>
      <c r="L12" s="21">
        <v>112000</v>
      </c>
      <c r="M12" s="20">
        <f t="shared" ref="M12:M18" si="2">I12*J12*L12</f>
        <v>6720000</v>
      </c>
      <c r="N12" s="90" t="s">
        <v>100</v>
      </c>
      <c r="O12" s="90" t="s">
        <v>100</v>
      </c>
      <c r="P12" s="43"/>
      <c r="Q12" s="42"/>
    </row>
    <row r="13" spans="2:17" ht="19">
      <c r="B13" s="83"/>
      <c r="C13" s="26">
        <v>8</v>
      </c>
      <c r="D13" s="48" t="s">
        <v>81</v>
      </c>
      <c r="E13" s="26" t="s">
        <v>43</v>
      </c>
      <c r="F13" s="66"/>
      <c r="G13" s="66"/>
      <c r="H13" s="66"/>
      <c r="I13" s="26">
        <v>1</v>
      </c>
      <c r="J13" s="26">
        <v>55</v>
      </c>
      <c r="K13" s="168">
        <f t="shared" si="0"/>
        <v>55</v>
      </c>
      <c r="L13" s="21">
        <v>2800</v>
      </c>
      <c r="M13" s="20">
        <f t="shared" si="2"/>
        <v>154000</v>
      </c>
      <c r="N13" s="93" t="s">
        <v>158</v>
      </c>
      <c r="O13" s="93" t="s">
        <v>159</v>
      </c>
      <c r="P13" s="43"/>
      <c r="Q13" s="42"/>
    </row>
    <row r="14" spans="2:17" ht="19">
      <c r="B14" s="83"/>
      <c r="C14" s="26">
        <v>9</v>
      </c>
      <c r="D14" s="48" t="s">
        <v>24</v>
      </c>
      <c r="E14" s="26" t="s">
        <v>45</v>
      </c>
      <c r="F14" s="66"/>
      <c r="G14" s="66"/>
      <c r="H14" s="66"/>
      <c r="I14" s="26">
        <v>1</v>
      </c>
      <c r="J14" s="26">
        <v>55</v>
      </c>
      <c r="K14" s="168">
        <f t="shared" si="0"/>
        <v>55</v>
      </c>
      <c r="L14" s="21">
        <v>350</v>
      </c>
      <c r="M14" s="20">
        <f t="shared" si="2"/>
        <v>19250</v>
      </c>
      <c r="N14" s="93" t="s">
        <v>158</v>
      </c>
      <c r="O14" s="93" t="s">
        <v>159</v>
      </c>
      <c r="P14" s="43"/>
      <c r="Q14" s="42"/>
    </row>
    <row r="15" spans="2:17" ht="19">
      <c r="B15" s="83"/>
      <c r="C15" s="26">
        <v>10</v>
      </c>
      <c r="D15" s="48" t="s">
        <v>25</v>
      </c>
      <c r="E15" s="26" t="s">
        <v>46</v>
      </c>
      <c r="F15" s="66"/>
      <c r="G15" s="66"/>
      <c r="H15" s="66"/>
      <c r="I15" s="26">
        <v>4</v>
      </c>
      <c r="J15" s="26">
        <v>51</v>
      </c>
      <c r="K15" s="168">
        <f t="shared" si="0"/>
        <v>204</v>
      </c>
      <c r="L15" s="21">
        <v>32300</v>
      </c>
      <c r="M15" s="20">
        <f t="shared" si="2"/>
        <v>6589200</v>
      </c>
      <c r="N15" s="93" t="s">
        <v>158</v>
      </c>
      <c r="O15" s="93" t="s">
        <v>160</v>
      </c>
      <c r="P15" s="43"/>
      <c r="Q15" s="42" t="s">
        <v>233</v>
      </c>
    </row>
    <row r="16" spans="2:17" ht="19">
      <c r="B16" s="83"/>
      <c r="C16" s="26">
        <v>11</v>
      </c>
      <c r="D16" s="48" t="s">
        <v>26</v>
      </c>
      <c r="E16" s="26" t="s">
        <v>47</v>
      </c>
      <c r="F16" s="66"/>
      <c r="G16" s="66"/>
      <c r="H16" s="66"/>
      <c r="I16" s="26">
        <v>16</v>
      </c>
      <c r="J16" s="26">
        <v>51</v>
      </c>
      <c r="K16" s="168">
        <f t="shared" si="0"/>
        <v>816</v>
      </c>
      <c r="L16" s="21">
        <v>1300</v>
      </c>
      <c r="M16" s="20">
        <f t="shared" si="2"/>
        <v>1060800</v>
      </c>
      <c r="N16" s="93" t="s">
        <v>158</v>
      </c>
      <c r="O16" s="93" t="s">
        <v>160</v>
      </c>
      <c r="P16" s="43"/>
      <c r="Q16" s="42"/>
    </row>
    <row r="17" spans="2:17" ht="19">
      <c r="B17" s="83"/>
      <c r="C17" s="26">
        <v>12</v>
      </c>
      <c r="D17" s="48" t="s">
        <v>82</v>
      </c>
      <c r="E17" s="26" t="s">
        <v>83</v>
      </c>
      <c r="F17" s="66"/>
      <c r="G17" s="66"/>
      <c r="H17" s="66"/>
      <c r="I17" s="26">
        <v>2</v>
      </c>
      <c r="J17" s="26">
        <v>55</v>
      </c>
      <c r="K17" s="168">
        <f t="shared" si="0"/>
        <v>110</v>
      </c>
      <c r="L17" s="21">
        <v>1000</v>
      </c>
      <c r="M17" s="20">
        <f t="shared" si="2"/>
        <v>110000</v>
      </c>
      <c r="N17" s="93" t="s">
        <v>158</v>
      </c>
      <c r="O17" s="93" t="s">
        <v>167</v>
      </c>
      <c r="P17" s="43"/>
      <c r="Q17" s="42"/>
    </row>
    <row r="18" spans="2:17" ht="19">
      <c r="B18" s="83"/>
      <c r="C18" s="26">
        <v>13</v>
      </c>
      <c r="D18" s="48" t="s">
        <v>84</v>
      </c>
      <c r="E18" s="26" t="s">
        <v>242</v>
      </c>
      <c r="F18" s="66"/>
      <c r="G18" s="66"/>
      <c r="H18" s="66"/>
      <c r="I18" s="26">
        <v>1</v>
      </c>
      <c r="J18" s="26">
        <v>55</v>
      </c>
      <c r="K18" s="168">
        <f t="shared" si="0"/>
        <v>55</v>
      </c>
      <c r="L18" s="21">
        <v>28900</v>
      </c>
      <c r="M18" s="20">
        <f t="shared" si="2"/>
        <v>1589500</v>
      </c>
      <c r="N18" s="98" t="s">
        <v>158</v>
      </c>
      <c r="O18" s="98" t="s">
        <v>168</v>
      </c>
      <c r="P18" s="43"/>
      <c r="Q18" s="42"/>
    </row>
    <row r="19" spans="2:17" ht="19">
      <c r="B19" s="83"/>
      <c r="C19" s="26">
        <v>14</v>
      </c>
      <c r="D19" s="48" t="s">
        <v>85</v>
      </c>
      <c r="E19" s="26" t="s">
        <v>86</v>
      </c>
      <c r="F19" s="66"/>
      <c r="G19" s="66"/>
      <c r="H19" s="66"/>
      <c r="I19" s="26">
        <v>1</v>
      </c>
      <c r="J19" s="26">
        <v>51</v>
      </c>
      <c r="K19" s="168">
        <f t="shared" si="0"/>
        <v>51</v>
      </c>
      <c r="L19" s="21" t="s">
        <v>201</v>
      </c>
      <c r="M19" s="20" t="s">
        <v>201</v>
      </c>
      <c r="N19" s="90" t="s">
        <v>201</v>
      </c>
      <c r="O19" s="90" t="s">
        <v>201</v>
      </c>
      <c r="P19" s="43"/>
      <c r="Q19" s="42"/>
    </row>
    <row r="23" spans="2:17">
      <c r="B23" s="229" t="s">
        <v>188</v>
      </c>
      <c r="C23" s="33">
        <v>1</v>
      </c>
      <c r="D23" s="33" t="s">
        <v>144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136"/>
    </row>
    <row r="24" spans="2:17">
      <c r="B24" s="230"/>
      <c r="C24" s="33">
        <v>3</v>
      </c>
      <c r="D24" s="33" t="s">
        <v>118</v>
      </c>
      <c r="E24" s="33" t="s">
        <v>145</v>
      </c>
      <c r="F24" s="33"/>
      <c r="G24" s="33"/>
      <c r="H24" s="33"/>
      <c r="I24" s="33">
        <v>4</v>
      </c>
      <c r="J24" s="33">
        <v>55</v>
      </c>
      <c r="K24" s="167">
        <f>I24*J24</f>
        <v>220</v>
      </c>
      <c r="L24" s="21">
        <v>60</v>
      </c>
      <c r="M24" s="23">
        <f t="shared" ref="M24:M33" si="3">I24*J24*L24</f>
        <v>13200</v>
      </c>
      <c r="N24" s="22" t="s">
        <v>158</v>
      </c>
      <c r="O24" s="22"/>
      <c r="P24" s="33"/>
      <c r="Q24" s="136"/>
    </row>
    <row r="25" spans="2:17" ht="19">
      <c r="B25" s="230"/>
      <c r="C25" s="33">
        <v>4</v>
      </c>
      <c r="D25" s="49" t="s">
        <v>146</v>
      </c>
      <c r="E25" s="49" t="s">
        <v>155</v>
      </c>
      <c r="F25" s="49"/>
      <c r="G25" s="49"/>
      <c r="H25" s="49"/>
      <c r="I25" s="49">
        <v>32</v>
      </c>
      <c r="J25" s="49">
        <v>55</v>
      </c>
      <c r="K25" s="167">
        <f t="shared" ref="K25:K33" si="4">I25*J25</f>
        <v>1760</v>
      </c>
      <c r="L25" s="21"/>
      <c r="M25" s="32">
        <f t="shared" si="3"/>
        <v>0</v>
      </c>
      <c r="N25" s="49" t="s">
        <v>158</v>
      </c>
      <c r="O25" s="49"/>
      <c r="P25" s="49"/>
      <c r="Q25" s="137" t="s">
        <v>222</v>
      </c>
    </row>
    <row r="26" spans="2:17">
      <c r="B26" s="230"/>
      <c r="C26" s="33">
        <v>5</v>
      </c>
      <c r="D26" s="33" t="s">
        <v>147</v>
      </c>
      <c r="E26" s="33" t="s">
        <v>148</v>
      </c>
      <c r="F26" s="33"/>
      <c r="G26" s="33"/>
      <c r="H26" s="33"/>
      <c r="I26" s="33">
        <v>1</v>
      </c>
      <c r="J26" s="33">
        <v>55</v>
      </c>
      <c r="K26" s="167">
        <f t="shared" si="4"/>
        <v>55</v>
      </c>
      <c r="L26" s="21">
        <v>80</v>
      </c>
      <c r="M26" s="23">
        <f t="shared" si="3"/>
        <v>4400</v>
      </c>
      <c r="N26" s="22" t="s">
        <v>158</v>
      </c>
      <c r="O26" s="22"/>
      <c r="P26" s="33"/>
      <c r="Q26" s="136"/>
    </row>
    <row r="27" spans="2:17">
      <c r="B27" s="230"/>
      <c r="C27" s="33">
        <v>6</v>
      </c>
      <c r="D27" s="33" t="s">
        <v>146</v>
      </c>
      <c r="E27" s="33" t="s">
        <v>149</v>
      </c>
      <c r="F27" s="33"/>
      <c r="G27" s="33"/>
      <c r="H27" s="33"/>
      <c r="I27" s="33">
        <v>2</v>
      </c>
      <c r="J27" s="33">
        <v>55</v>
      </c>
      <c r="K27" s="167">
        <f t="shared" si="4"/>
        <v>110</v>
      </c>
      <c r="L27" s="21">
        <v>25</v>
      </c>
      <c r="M27" s="23">
        <f t="shared" si="3"/>
        <v>2750</v>
      </c>
      <c r="N27" s="22" t="s">
        <v>158</v>
      </c>
      <c r="O27" s="22"/>
      <c r="P27" s="33"/>
      <c r="Q27" s="136"/>
    </row>
    <row r="28" spans="2:17">
      <c r="B28" s="230"/>
      <c r="C28" s="33">
        <v>7</v>
      </c>
      <c r="D28" s="33" t="s">
        <v>147</v>
      </c>
      <c r="E28" s="33" t="s">
        <v>150</v>
      </c>
      <c r="F28" s="33"/>
      <c r="G28" s="33"/>
      <c r="H28" s="33"/>
      <c r="I28" s="33">
        <v>1</v>
      </c>
      <c r="J28" s="33">
        <v>55</v>
      </c>
      <c r="K28" s="167">
        <f t="shared" si="4"/>
        <v>55</v>
      </c>
      <c r="L28" s="21">
        <v>60</v>
      </c>
      <c r="M28" s="23">
        <f t="shared" si="3"/>
        <v>3300</v>
      </c>
      <c r="N28" s="22" t="s">
        <v>158</v>
      </c>
      <c r="O28" s="22"/>
      <c r="P28" s="33"/>
      <c r="Q28" s="136"/>
    </row>
    <row r="29" spans="2:17">
      <c r="B29" s="230"/>
      <c r="C29" s="33">
        <v>8</v>
      </c>
      <c r="D29" s="33" t="s">
        <v>146</v>
      </c>
      <c r="E29" s="33" t="s">
        <v>151</v>
      </c>
      <c r="F29" s="33"/>
      <c r="G29" s="33"/>
      <c r="H29" s="33"/>
      <c r="I29" s="33">
        <v>13</v>
      </c>
      <c r="J29" s="33">
        <v>55</v>
      </c>
      <c r="K29" s="167">
        <f t="shared" si="4"/>
        <v>715</v>
      </c>
      <c r="L29" s="21">
        <v>25</v>
      </c>
      <c r="M29" s="23">
        <f t="shared" si="3"/>
        <v>17875</v>
      </c>
      <c r="N29" s="22" t="s">
        <v>158</v>
      </c>
      <c r="O29" s="22"/>
      <c r="P29" s="33"/>
      <c r="Q29" s="136"/>
    </row>
    <row r="30" spans="2:17">
      <c r="B30" s="230"/>
      <c r="C30" s="33">
        <v>9</v>
      </c>
      <c r="D30" s="33" t="s">
        <v>147</v>
      </c>
      <c r="E30" s="33" t="s">
        <v>152</v>
      </c>
      <c r="F30" s="33"/>
      <c r="G30" s="33"/>
      <c r="H30" s="33"/>
      <c r="I30" s="33">
        <v>1</v>
      </c>
      <c r="J30" s="33">
        <v>55</v>
      </c>
      <c r="K30" s="167">
        <f t="shared" si="4"/>
        <v>55</v>
      </c>
      <c r="L30" s="21">
        <v>45</v>
      </c>
      <c r="M30" s="23">
        <f t="shared" si="3"/>
        <v>2475</v>
      </c>
      <c r="N30" s="22" t="s">
        <v>158</v>
      </c>
      <c r="O30" s="22"/>
      <c r="P30" s="33"/>
      <c r="Q30" s="136"/>
    </row>
    <row r="31" spans="2:17" ht="19">
      <c r="B31" s="230"/>
      <c r="C31" s="33">
        <v>10</v>
      </c>
      <c r="D31" s="49" t="s">
        <v>147</v>
      </c>
      <c r="E31" s="49" t="s">
        <v>153</v>
      </c>
      <c r="F31" s="49"/>
      <c r="G31" s="49"/>
      <c r="H31" s="49"/>
      <c r="I31" s="49">
        <v>1</v>
      </c>
      <c r="J31" s="49">
        <v>55</v>
      </c>
      <c r="K31" s="167">
        <f t="shared" si="4"/>
        <v>55</v>
      </c>
      <c r="L31" s="21">
        <v>40</v>
      </c>
      <c r="M31" s="32">
        <f t="shared" si="3"/>
        <v>2200</v>
      </c>
      <c r="N31" s="49" t="s">
        <v>158</v>
      </c>
      <c r="O31" s="49"/>
      <c r="P31" s="49"/>
      <c r="Q31" s="137" t="s">
        <v>222</v>
      </c>
    </row>
    <row r="32" spans="2:17" ht="19">
      <c r="B32" s="230"/>
      <c r="C32" s="33">
        <v>11</v>
      </c>
      <c r="D32" s="49" t="s">
        <v>146</v>
      </c>
      <c r="E32" s="49" t="s">
        <v>154</v>
      </c>
      <c r="F32" s="49"/>
      <c r="G32" s="49"/>
      <c r="H32" s="49"/>
      <c r="I32" s="49">
        <v>2</v>
      </c>
      <c r="J32" s="49">
        <v>55</v>
      </c>
      <c r="K32" s="167">
        <f t="shared" si="4"/>
        <v>110</v>
      </c>
      <c r="L32" s="21"/>
      <c r="M32" s="32">
        <f t="shared" si="3"/>
        <v>0</v>
      </c>
      <c r="N32" s="49" t="s">
        <v>158</v>
      </c>
      <c r="O32" s="49"/>
      <c r="P32" s="49"/>
      <c r="Q32" s="137" t="s">
        <v>222</v>
      </c>
    </row>
    <row r="33" spans="2:17" ht="19">
      <c r="B33" s="230"/>
      <c r="C33" s="33">
        <v>12</v>
      </c>
      <c r="D33" s="49" t="s">
        <v>198</v>
      </c>
      <c r="E33" s="49" t="s">
        <v>243</v>
      </c>
      <c r="F33" s="49"/>
      <c r="G33" s="49"/>
      <c r="H33" s="49"/>
      <c r="I33" s="49">
        <v>1</v>
      </c>
      <c r="J33" s="49">
        <v>55</v>
      </c>
      <c r="K33" s="167">
        <f t="shared" si="4"/>
        <v>55</v>
      </c>
      <c r="L33" s="21">
        <v>4800</v>
      </c>
      <c r="M33" s="32">
        <f t="shared" si="3"/>
        <v>264000</v>
      </c>
      <c r="N33" s="49" t="s">
        <v>158</v>
      </c>
      <c r="O33" s="49"/>
      <c r="P33" s="49"/>
      <c r="Q33" s="137" t="s">
        <v>222</v>
      </c>
    </row>
    <row r="34" spans="2:17">
      <c r="M34" s="24">
        <f>SUM(M24:M33)</f>
        <v>310200</v>
      </c>
    </row>
  </sheetData>
  <mergeCells count="1">
    <mergeCell ref="B23:B33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BOM_list</vt:lpstr>
      <vt:lpstr>MOP</vt:lpstr>
      <vt:lpstr>MSR</vt:lpstr>
      <vt:lpstr>CTM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SSChoi-3F</dc:creator>
  <cp:lastModifiedBy>MM2120</cp:lastModifiedBy>
  <dcterms:created xsi:type="dcterms:W3CDTF">2024-02-07T18:56:14Z</dcterms:created>
  <dcterms:modified xsi:type="dcterms:W3CDTF">2025-12-28T02:47:33Z</dcterms:modified>
</cp:coreProperties>
</file>
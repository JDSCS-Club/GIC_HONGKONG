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21732" windowHeight="8508" activeTab="1"/>
  </bookViews>
  <sheets>
    <sheet name="ECO" sheetId="3" r:id="rId1"/>
    <sheet name="PartLists" sheetId="1" r:id="rId2"/>
  </sheets>
  <definedNames>
    <definedName name="_xlnm._FilterDatabase" localSheetId="1" hidden="1">PartLists!$C$7:$Q$8</definedName>
    <definedName name="_xlnm.Print_Area" localSheetId="0">ECO!$A$1:$H$58</definedName>
    <definedName name="_xlnm.Print_Area" localSheetId="1">PartLists!$A$1:$M$64</definedName>
    <definedName name="_xlnm.Print_Titles" localSheetId="0">ECO!$1:$6</definedName>
    <definedName name="_xlnm.Print_Titles" localSheetId="1">PartLists!$1:$8</definedName>
  </definedNames>
  <calcPr calcId="145621"/>
</workbook>
</file>

<file path=xl/calcChain.xml><?xml version="1.0" encoding="utf-8"?>
<calcChain xmlns="http://schemas.openxmlformats.org/spreadsheetml/2006/main">
  <c r="H29" i="1" l="1"/>
  <c r="B29" i="1" s="1"/>
  <c r="H27" i="1"/>
  <c r="O27" i="1" s="1"/>
  <c r="O29" i="1" l="1"/>
  <c r="B27" i="1"/>
  <c r="H50" i="1"/>
  <c r="B50" i="1" s="1"/>
  <c r="H52" i="1"/>
  <c r="B52" i="1" s="1"/>
  <c r="H21" i="1" l="1"/>
  <c r="B21" i="1" s="1"/>
  <c r="H28" i="1" l="1"/>
  <c r="B28" i="1" s="1"/>
  <c r="H26" i="1"/>
  <c r="O26" i="1" s="1"/>
  <c r="O28" i="1" l="1"/>
  <c r="B26" i="1"/>
  <c r="B22" i="1" l="1"/>
  <c r="H20" i="1"/>
  <c r="B20" i="1" s="1"/>
  <c r="H45" i="1"/>
  <c r="B45" i="1" s="1"/>
  <c r="H40" i="1"/>
  <c r="B40" i="1" s="1"/>
  <c r="B51" i="1"/>
  <c r="H49" i="1"/>
  <c r="B49" i="1" s="1"/>
  <c r="H48" i="1"/>
  <c r="B48" i="1" s="1"/>
  <c r="H55" i="1"/>
  <c r="B55" i="1" s="1"/>
  <c r="H44" i="1"/>
  <c r="B44" i="1" s="1"/>
  <c r="H47" i="1"/>
  <c r="B47" i="1" s="1"/>
  <c r="H43" i="1"/>
  <c r="B43" i="1" s="1"/>
  <c r="H46" i="1"/>
  <c r="B46" i="1" s="1"/>
  <c r="H53" i="1"/>
  <c r="B53" i="1" s="1"/>
  <c r="H42" i="1"/>
  <c r="B42" i="1" s="1"/>
  <c r="H41" i="1"/>
  <c r="B41" i="1" s="1"/>
  <c r="H38" i="1"/>
  <c r="B38" i="1" s="1"/>
  <c r="H34" i="1"/>
  <c r="B34" i="1" s="1"/>
  <c r="H33" i="1"/>
  <c r="B33" i="1" s="1"/>
  <c r="H36" i="1"/>
  <c r="B36" i="1" s="1"/>
  <c r="H35" i="1"/>
  <c r="B35" i="1" s="1"/>
  <c r="H24" i="1"/>
  <c r="B24" i="1" s="1"/>
  <c r="H25" i="1"/>
  <c r="B25" i="1" s="1"/>
  <c r="H14" i="1"/>
  <c r="B14" i="1" s="1"/>
  <c r="H15" i="1"/>
  <c r="B15" i="1" s="1"/>
  <c r="H16" i="1"/>
  <c r="B16" i="1" s="1"/>
  <c r="H17" i="1"/>
  <c r="H18" i="1"/>
  <c r="B18" i="1" s="1"/>
  <c r="H19" i="1"/>
  <c r="B19" i="1" s="1"/>
  <c r="H23" i="1"/>
  <c r="B23" i="1" s="1"/>
  <c r="H13" i="1"/>
  <c r="B13" i="1" s="1"/>
  <c r="H11" i="1"/>
  <c r="B11" i="1" s="1"/>
  <c r="H12" i="1"/>
  <c r="B12" i="1" s="1"/>
  <c r="H10" i="1"/>
  <c r="B10" i="1" s="1"/>
  <c r="H9" i="1"/>
  <c r="B9" i="1" s="1"/>
  <c r="B17" i="1" l="1"/>
  <c r="H54" i="1"/>
  <c r="B54" i="1" s="1"/>
  <c r="H39" i="1"/>
  <c r="B39" i="1" s="1"/>
  <c r="H37" i="1"/>
  <c r="B37" i="1" s="1"/>
  <c r="H32" i="1"/>
  <c r="B32" i="1" s="1"/>
  <c r="H31" i="1"/>
  <c r="B31" i="1" s="1"/>
  <c r="H30" i="1"/>
  <c r="B30" i="1" s="1"/>
  <c r="H57" i="1" l="1"/>
  <c r="H4" i="1" s="1"/>
  <c r="N57" i="1"/>
  <c r="O57" i="1" l="1"/>
  <c r="N5" i="1" l="1"/>
  <c r="B57" i="1" l="1"/>
</calcChain>
</file>

<file path=xl/sharedStrings.xml><?xml version="1.0" encoding="utf-8"?>
<sst xmlns="http://schemas.openxmlformats.org/spreadsheetml/2006/main" count="519" uniqueCount="312">
  <si>
    <t>Date</t>
    <phoneticPr fontId="0" type="noConversion"/>
  </si>
  <si>
    <t>Remark</t>
    <phoneticPr fontId="0" type="noConversion"/>
  </si>
  <si>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</si>
  <si>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</si>
  <si>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</si>
  <si>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11" type="noConversion"/>
  </si>
  <si>
    <t>Part Number
(Specification)</t>
    <phoneticPr fontId="11" type="noConversion"/>
  </si>
  <si>
    <t>Manufacturer</t>
    <phoneticPr fontId="11" type="noConversion"/>
  </si>
  <si>
    <t>Q'ty</t>
    <phoneticPr fontId="0" type="noConversion"/>
  </si>
  <si>
    <t>Location</t>
  </si>
  <si>
    <t>Package</t>
    <phoneticPr fontId="0" type="noConversion"/>
  </si>
  <si>
    <t>Diode</t>
  </si>
  <si>
    <t>D(7343)</t>
  </si>
  <si>
    <t>Connector</t>
    <phoneticPr fontId="9" type="noConversion"/>
  </si>
  <si>
    <t>Tantal Cap</t>
    <phoneticPr fontId="0" type="noConversion"/>
  </si>
  <si>
    <t>REMARK</t>
    <phoneticPr fontId="9" type="noConversion"/>
  </si>
  <si>
    <t>MOQ/REEL</t>
    <phoneticPr fontId="9" type="noConversion"/>
  </si>
  <si>
    <t>REMARK</t>
    <phoneticPr fontId="9" type="noConversion"/>
  </si>
  <si>
    <t>Unit
PRICE</t>
    <phoneticPr fontId="9" type="noConversion"/>
  </si>
  <si>
    <t>Total
PRICE</t>
    <phoneticPr fontId="9" type="noConversion"/>
  </si>
  <si>
    <t xml:space="preserve">Total </t>
    <phoneticPr fontId="0" type="noConversion"/>
  </si>
  <si>
    <t>Total COST</t>
    <phoneticPr fontId="9" type="noConversion"/>
  </si>
  <si>
    <t>TR</t>
    <phoneticPr fontId="9" type="noConversion"/>
  </si>
  <si>
    <t>KRC106S</t>
  </si>
  <si>
    <t>Green</t>
  </si>
  <si>
    <t>B(3528)</t>
    <phoneticPr fontId="9" type="noConversion"/>
  </si>
  <si>
    <t>C(6032)</t>
    <phoneticPr fontId="9" type="noConversion"/>
  </si>
  <si>
    <t>Chip Capacitor</t>
    <phoneticPr fontId="9" type="noConversion"/>
  </si>
  <si>
    <t>Chip Resistor</t>
    <phoneticPr fontId="0" type="noConversion"/>
  </si>
  <si>
    <t>POWER Inductor</t>
    <phoneticPr fontId="9" type="noConversion"/>
  </si>
  <si>
    <t>1608</t>
    <phoneticPr fontId="9" type="noConversion"/>
  </si>
  <si>
    <t>No.</t>
    <phoneticPr fontId="0" type="noConversion"/>
  </si>
  <si>
    <t>Model(Board)</t>
    <phoneticPr fontId="0" type="noConversion"/>
  </si>
  <si>
    <t>Before Revision</t>
    <phoneticPr fontId="0" type="noConversion"/>
  </si>
  <si>
    <t>After Revision</t>
    <phoneticPr fontId="0" type="noConversion"/>
  </si>
  <si>
    <t>Location</t>
    <phoneticPr fontId="0" type="noConversion"/>
  </si>
  <si>
    <t>Location</t>
    <phoneticPr fontId="0" type="noConversion"/>
  </si>
  <si>
    <t>Specification</t>
    <phoneticPr fontId="0" type="noConversion"/>
  </si>
  <si>
    <t>SOIC-8</t>
  </si>
  <si>
    <t>SOD-106</t>
  </si>
  <si>
    <t>SOT-23</t>
  </si>
  <si>
    <t>SMD 7*7</t>
    <phoneticPr fontId="9" type="noConversion"/>
  </si>
  <si>
    <t>LED</t>
    <phoneticPr fontId="9" type="noConversion"/>
  </si>
  <si>
    <t>47uF/25V/D</t>
  </si>
  <si>
    <t>PROJECT : HONGKONG</t>
    <phoneticPr fontId="0" type="noConversion"/>
  </si>
  <si>
    <t>D1</t>
  </si>
  <si>
    <t>10uF/16V/B</t>
    <phoneticPr fontId="9" type="noConversion"/>
  </si>
  <si>
    <t>Category</t>
    <phoneticPr fontId="9" type="noConversion"/>
  </si>
  <si>
    <t>Sub-Category</t>
    <phoneticPr fontId="9" type="noConversion"/>
  </si>
  <si>
    <t>Resistor</t>
  </si>
  <si>
    <t>RM</t>
  </si>
  <si>
    <t>Capacitor</t>
  </si>
  <si>
    <t>CDR</t>
  </si>
  <si>
    <t>CWR</t>
  </si>
  <si>
    <t>Connector, General</t>
  </si>
  <si>
    <t>CD</t>
  </si>
  <si>
    <t xml:space="preserve">Detector, Isolator, Emit </t>
  </si>
  <si>
    <t>LED</t>
  </si>
  <si>
    <t>Diode, Low Frequency</t>
  </si>
  <si>
    <t>ROHM</t>
  </si>
  <si>
    <t>Transistor, LF bipolar</t>
    <phoneticPr fontId="28" type="noConversion"/>
  </si>
  <si>
    <t>KEC</t>
    <phoneticPr fontId="9" type="noConversion"/>
  </si>
  <si>
    <t>Coil</t>
  </si>
  <si>
    <t>FC</t>
  </si>
  <si>
    <t>SWT</t>
    <phoneticPr fontId="28" type="noConversion"/>
  </si>
  <si>
    <t>Part Lists</t>
    <phoneticPr fontId="0" type="noConversion"/>
  </si>
  <si>
    <t xml:space="preserve">PROJECT </t>
    <phoneticPr fontId="0" type="noConversion"/>
  </si>
  <si>
    <t>HONGKONG</t>
    <phoneticPr fontId="9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</si>
  <si>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</si>
  <si>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</si>
  <si>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</si>
  <si>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Package Type</t>
    <phoneticPr fontId="0" type="noConversion"/>
  </si>
  <si>
    <t>Temperature</t>
    <phoneticPr fontId="0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</si>
  <si>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+85°C</t>
    </r>
  </si>
  <si>
    <t>HSMT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</si>
  <si>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+125°C</t>
    </r>
  </si>
  <si>
    <t>MB</t>
  </si>
  <si>
    <t>+150°C</t>
  </si>
  <si>
    <t>DLCB6D38-2R0100(10uH)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</si>
  <si>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40°C ~ +105°C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</si>
  <si>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+125°C</t>
    </r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</si>
  <si>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+85°C</t>
    </r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</si>
  <si>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9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</si>
  <si>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9" type="noConversion"/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</si>
  <si>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+155°C</t>
    </r>
    <phoneticPr fontId="9" type="noConversion"/>
  </si>
  <si>
    <t>DACOWELL</t>
  </si>
  <si>
    <t>IC</t>
  </si>
  <si>
    <t>Micro, Linear</t>
  </si>
  <si>
    <t>CMOS</t>
  </si>
  <si>
    <t>SOT-223</t>
  </si>
  <si>
    <t>LD1117S33CTR</t>
    <phoneticPr fontId="9" type="noConversion"/>
  </si>
  <si>
    <t>U2</t>
    <phoneticPr fontId="9" type="noConversion"/>
  </si>
  <si>
    <t>LD1117S50CTR</t>
    <phoneticPr fontId="9" type="noConversion"/>
  </si>
  <si>
    <t>U1</t>
    <phoneticPr fontId="9" type="noConversion"/>
  </si>
  <si>
    <t>RC4558ID</t>
  </si>
  <si>
    <t>Texas Instruments</t>
  </si>
  <si>
    <t>Micro, Digital</t>
  </si>
  <si>
    <t>Micro, Digital</t>
    <phoneticPr fontId="9" type="noConversion"/>
  </si>
  <si>
    <t>SN74LVC1G3157DCKR</t>
  </si>
  <si>
    <t>TTL</t>
  </si>
  <si>
    <t>SC70-6(DCK)</t>
  </si>
  <si>
    <t>ADM2682EBRIZ</t>
  </si>
  <si>
    <t>IC</t>
    <phoneticPr fontId="9" type="noConversion"/>
  </si>
  <si>
    <t>ADI</t>
    <phoneticPr fontId="9" type="noConversion"/>
  </si>
  <si>
    <t>CMOS</t>
    <phoneticPr fontId="9" type="noConversion"/>
  </si>
  <si>
    <t>HSMT</t>
    <phoneticPr fontId="9" type="noConversion"/>
  </si>
  <si>
    <t>SOIC-16(WIDE)</t>
    <phoneticPr fontId="9" type="noConversion"/>
  </si>
  <si>
    <t>U5,U6</t>
    <phoneticPr fontId="9" type="noConversion"/>
  </si>
  <si>
    <t>U3</t>
    <phoneticPr fontId="9" type="noConversion"/>
  </si>
  <si>
    <t>U4</t>
    <phoneticPr fontId="9" type="noConversion"/>
  </si>
  <si>
    <t>SS26T3G</t>
  </si>
  <si>
    <t>ON Semiconductor</t>
  </si>
  <si>
    <t>SP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</si>
  <si>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+150°C</t>
    </r>
  </si>
  <si>
    <t>SMB(DO214-AA)</t>
  </si>
  <si>
    <t>1SR154-400</t>
  </si>
  <si>
    <t>VR</t>
  </si>
  <si>
    <t>PTZ-5.1B</t>
    <phoneticPr fontId="9" type="noConversion"/>
  </si>
  <si>
    <t>L1</t>
  </si>
  <si>
    <t>Connector</t>
  </si>
  <si>
    <t>FX10A-80S/8-SV</t>
  </si>
  <si>
    <t>HOROSE</t>
  </si>
  <si>
    <t>J1</t>
  </si>
  <si>
    <t>RC</t>
  </si>
  <si>
    <t>SMD</t>
  </si>
  <si>
    <t>FX10A-100S/10-SV</t>
  </si>
  <si>
    <t>J2</t>
  </si>
  <si>
    <t>CT10,CT11,CT12</t>
  </si>
  <si>
    <t>CT4,CT6</t>
  </si>
  <si>
    <t>47uF/16V/B</t>
    <phoneticPr fontId="9" type="noConversion"/>
  </si>
  <si>
    <t>CT1,CT2,CT3,CT5</t>
  </si>
  <si>
    <t>82P</t>
    <phoneticPr fontId="9" type="noConversion"/>
  </si>
  <si>
    <t>C14,C23</t>
  </si>
  <si>
    <t>C25,C29,C33,C37</t>
  </si>
  <si>
    <t>103P</t>
    <phoneticPr fontId="9" type="noConversion"/>
  </si>
  <si>
    <t>104P</t>
    <phoneticPr fontId="9" type="noConversion"/>
  </si>
  <si>
    <t>106P/2012</t>
  </si>
  <si>
    <t>2012</t>
    <phoneticPr fontId="9" type="noConversion"/>
  </si>
  <si>
    <t>271P/4532</t>
  </si>
  <si>
    <t>4532</t>
    <phoneticPr fontId="9" type="noConversion"/>
  </si>
  <si>
    <t>NOP</t>
  </si>
  <si>
    <t>NOP</t>
    <phoneticPr fontId="9" type="noConversion"/>
  </si>
  <si>
    <t>C11,C20</t>
  </si>
  <si>
    <t>C12,C21</t>
  </si>
  <si>
    <t>NOP/2012</t>
    <phoneticPr fontId="9" type="noConversion"/>
  </si>
  <si>
    <t>1.5K</t>
  </si>
  <si>
    <t>471R</t>
  </si>
  <si>
    <t>4.7K</t>
  </si>
  <si>
    <t>621R</t>
  </si>
  <si>
    <t>10K</t>
  </si>
  <si>
    <t>33K</t>
  </si>
  <si>
    <t>47K</t>
  </si>
  <si>
    <t>10R</t>
  </si>
  <si>
    <t>1K</t>
  </si>
  <si>
    <t>0R</t>
  </si>
  <si>
    <t>R22,R36</t>
  </si>
  <si>
    <t>R27,R41</t>
  </si>
  <si>
    <t>R28,R42</t>
  </si>
  <si>
    <t>R29,R32</t>
  </si>
  <si>
    <t>4.7K/2012</t>
  </si>
  <si>
    <t>6432</t>
    <phoneticPr fontId="9" type="noConversion"/>
  </si>
  <si>
    <t>PS2801-1</t>
  </si>
  <si>
    <t>PHOTOCOUPLER</t>
    <phoneticPr fontId="9" type="noConversion"/>
  </si>
  <si>
    <t>PTSD</t>
  </si>
  <si>
    <r>
      <rPr>
        <sz val="8"/>
        <rFont val="돋움"/>
        <family val="3"/>
        <charset val="129"/>
      </rPr>
      <t>−</t>
    </r>
    <r>
      <rPr>
        <sz val="8"/>
        <rFont val="Tahoma"/>
        <family val="2"/>
      </rPr>
      <t>55°C ~ +100°C</t>
    </r>
  </si>
  <si>
    <t>SSOP-4</t>
  </si>
  <si>
    <t>DIP</t>
    <phoneticPr fontId="9" type="noConversion"/>
  </si>
  <si>
    <t>Trans</t>
  </si>
  <si>
    <t>Transformer</t>
  </si>
  <si>
    <t>SUNGIL TECH</t>
  </si>
  <si>
    <t>T1,T2</t>
  </si>
  <si>
    <t>AD</t>
  </si>
  <si>
    <t>-</t>
  </si>
  <si>
    <t>600:600/19mm/5pin</t>
    <phoneticPr fontId="9" type="noConversion"/>
  </si>
  <si>
    <t>Connector</t>
    <phoneticPr fontId="9" type="noConversion"/>
  </si>
  <si>
    <t>Connector, General</t>
    <phoneticPr fontId="9" type="noConversion"/>
  </si>
  <si>
    <t>MOLEX</t>
    <phoneticPr fontId="9" type="noConversion"/>
  </si>
  <si>
    <t>J5</t>
    <phoneticPr fontId="9" type="noConversion"/>
  </si>
  <si>
    <t>RC</t>
    <phoneticPr fontId="9" type="noConversion"/>
  </si>
  <si>
    <t>DIP</t>
    <phoneticPr fontId="9" type="noConversion"/>
  </si>
  <si>
    <t>Connector, General</t>
    <phoneticPr fontId="9" type="noConversion"/>
  </si>
  <si>
    <t>MOLEX</t>
    <phoneticPr fontId="9" type="noConversion"/>
  </si>
  <si>
    <t>RC</t>
    <phoneticPr fontId="9" type="noConversion"/>
  </si>
  <si>
    <t>DIP</t>
    <phoneticPr fontId="9" type="noConversion"/>
  </si>
  <si>
    <t>J4</t>
    <phoneticPr fontId="9" type="noConversion"/>
  </si>
  <si>
    <t>D10,D12,D13,D15,D16,D18,D19,D21,D22,
D24,D25,D27,D28,D30,D31,D33,D34,D36</t>
    <phoneticPr fontId="9" type="noConversion"/>
  </si>
  <si>
    <t>D11,D14,D17,D20,D23,D26,D29,D32,D35</t>
  </si>
  <si>
    <t>LED1,LED2,LED3</t>
  </si>
  <si>
    <t>K1,K2,K3,K4,K5,K6,K7,K8,K9</t>
  </si>
  <si>
    <t>LAA110P</t>
  </si>
  <si>
    <t>P1,P2</t>
  </si>
  <si>
    <t>CN1</t>
    <phoneticPr fontId="9" type="noConversion"/>
  </si>
  <si>
    <t>35312-04</t>
    <phoneticPr fontId="9" type="noConversion"/>
  </si>
  <si>
    <t>35312-10</t>
    <phoneticPr fontId="9" type="noConversion"/>
  </si>
  <si>
    <t>C10,C13,C16,C17,C19,C22,C24,C28,C32,C36,C40</t>
  </si>
  <si>
    <t>C1,C2,C3,C4,C5,C6,C7,C15,C18,C26,C27,C30,
C31,C34,C35,C38,C39</t>
    <phoneticPr fontId="9" type="noConversion"/>
  </si>
  <si>
    <t>C50,C51,C52,C53,C54,C55,C56,C57,C58</t>
  </si>
  <si>
    <t>121R</t>
  </si>
  <si>
    <t>R45,R47</t>
  </si>
  <si>
    <t>R1,R2</t>
  </si>
  <si>
    <t>R51,R54,R57,R60,R63,R66,R69,R72,R75</t>
  </si>
  <si>
    <t>R50,R53,R56,R59,R62,R65,R68,R71,R74</t>
  </si>
  <si>
    <t>SO-8/2.54mm</t>
  </si>
  <si>
    <t>Relays</t>
    <phoneticPr fontId="9" type="noConversion"/>
  </si>
  <si>
    <t>HK_ETX_A2</t>
    <phoneticPr fontId="9" type="noConversion"/>
  </si>
  <si>
    <t>2014. 7. 10</t>
    <phoneticPr fontId="9" type="noConversion"/>
  </si>
  <si>
    <t>C12</t>
    <phoneticPr fontId="9" type="noConversion"/>
  </si>
  <si>
    <t>NOP/2012</t>
  </si>
  <si>
    <t>NOP/2012</t>
    <phoneticPr fontId="9" type="noConversion"/>
  </si>
  <si>
    <t>0R/2012</t>
  </si>
  <si>
    <t>0R/2012</t>
    <phoneticPr fontId="9" type="noConversion"/>
  </si>
  <si>
    <t>R20</t>
  </si>
  <si>
    <t>R20</t>
    <phoneticPr fontId="9" type="noConversion"/>
  </si>
  <si>
    <t>R21</t>
  </si>
  <si>
    <t>R21</t>
    <phoneticPr fontId="9" type="noConversion"/>
  </si>
  <si>
    <t>R33</t>
  </si>
  <si>
    <t>R33</t>
    <phoneticPr fontId="9" type="noConversion"/>
  </si>
  <si>
    <t>R25</t>
  </si>
  <si>
    <t>R25</t>
    <phoneticPr fontId="9" type="noConversion"/>
  </si>
  <si>
    <t>R34</t>
  </si>
  <si>
    <t>R34</t>
    <phoneticPr fontId="9" type="noConversion"/>
  </si>
  <si>
    <t>R35</t>
  </si>
  <si>
    <t>R35</t>
    <phoneticPr fontId="9" type="noConversion"/>
  </si>
  <si>
    <t>R39</t>
  </si>
  <si>
    <t>R39</t>
    <phoneticPr fontId="9" type="noConversion"/>
  </si>
  <si>
    <t>C21</t>
    <phoneticPr fontId="9" type="noConversion"/>
  </si>
  <si>
    <t>4.7K</t>
    <phoneticPr fontId="9" type="noConversion"/>
  </si>
  <si>
    <t>10K</t>
    <phoneticPr fontId="9" type="noConversion"/>
  </si>
  <si>
    <t>0R</t>
    <phoneticPr fontId="9" type="noConversion"/>
  </si>
  <si>
    <t>100K</t>
    <phoneticPr fontId="9" type="noConversion"/>
  </si>
  <si>
    <t>NOP</t>
    <phoneticPr fontId="9" type="noConversion"/>
  </si>
  <si>
    <t>R50</t>
  </si>
  <si>
    <t>R50</t>
    <phoneticPr fontId="9" type="noConversion"/>
  </si>
  <si>
    <t>R53</t>
  </si>
  <si>
    <t>R53</t>
    <phoneticPr fontId="9" type="noConversion"/>
  </si>
  <si>
    <t>R56</t>
  </si>
  <si>
    <t>R59</t>
  </si>
  <si>
    <t>R62</t>
  </si>
  <si>
    <t>R65</t>
  </si>
  <si>
    <t>R68</t>
  </si>
  <si>
    <t>R71</t>
  </si>
  <si>
    <t>R74</t>
  </si>
  <si>
    <t>3.3K/1W</t>
    <phoneticPr fontId="9" type="noConversion"/>
  </si>
  <si>
    <t>56K/1W</t>
    <phoneticPr fontId="9" type="noConversion"/>
  </si>
  <si>
    <t>Q3</t>
    <phoneticPr fontId="9" type="noConversion"/>
  </si>
  <si>
    <t>-</t>
    <phoneticPr fontId="9" type="noConversion"/>
  </si>
  <si>
    <t>Q4</t>
    <phoneticPr fontId="9" type="noConversion"/>
  </si>
  <si>
    <t>KRC106S</t>
    <phoneticPr fontId="9" type="noConversion"/>
  </si>
  <si>
    <t>R81</t>
    <phoneticPr fontId="9" type="noConversion"/>
  </si>
  <si>
    <t>R82</t>
    <phoneticPr fontId="9" type="noConversion"/>
  </si>
  <si>
    <t>4.7K</t>
    <phoneticPr fontId="9" type="noConversion"/>
  </si>
  <si>
    <t>NOP</t>
    <phoneticPr fontId="9" type="noConversion"/>
  </si>
  <si>
    <r>
      <t>Q1,Q2,</t>
    </r>
    <r>
      <rPr>
        <sz val="8"/>
        <color rgb="FFFF0000"/>
        <rFont val="Tahoma"/>
        <family val="2"/>
      </rPr>
      <t>Q3,Q4,</t>
    </r>
    <r>
      <rPr>
        <sz val="8"/>
        <color theme="1"/>
        <rFont val="Tahoma"/>
        <family val="2"/>
        <charset val="129"/>
      </rPr>
      <t>Q10,Q11,Q12,Q13</t>
    </r>
    <phoneticPr fontId="9" type="noConversion"/>
  </si>
  <si>
    <t>0R/2012</t>
    <phoneticPr fontId="9" type="noConversion"/>
  </si>
  <si>
    <t>C12,C21</t>
    <phoneticPr fontId="9" type="noConversion"/>
  </si>
  <si>
    <r>
      <rPr>
        <sz val="8"/>
        <color rgb="FFFF0000"/>
        <rFont val="돋움"/>
        <family val="3"/>
        <charset val="129"/>
      </rPr>
      <t>−</t>
    </r>
    <r>
      <rPr>
        <sz val="8"/>
        <color rgb="FFFF0000"/>
        <rFont val="Tahoma"/>
        <family val="2"/>
      </rPr>
      <t>55°C ~ +155°C</t>
    </r>
    <phoneticPr fontId="9" type="noConversion"/>
  </si>
  <si>
    <t>100K</t>
    <phoneticPr fontId="9" type="noConversion"/>
  </si>
  <si>
    <t>56K/1W</t>
    <phoneticPr fontId="9" type="noConversion"/>
  </si>
  <si>
    <r>
      <t>R24,R38,</t>
    </r>
    <r>
      <rPr>
        <sz val="8"/>
        <color rgb="FFFF0000"/>
        <rFont val="Tahoma"/>
        <family val="2"/>
      </rPr>
      <t>R81,</t>
    </r>
    <r>
      <rPr>
        <sz val="8"/>
        <color theme="1"/>
        <rFont val="Tahoma"/>
        <family val="2"/>
        <charset val="129"/>
      </rPr>
      <t>R91,R92,R93,R94</t>
    </r>
    <phoneticPr fontId="9" type="noConversion"/>
  </si>
  <si>
    <t>CN1</t>
    <phoneticPr fontId="9" type="noConversion"/>
  </si>
  <si>
    <t>09031966921(96pin_Male)</t>
    <phoneticPr fontId="9" type="noConversion"/>
  </si>
  <si>
    <t>533402(Male_96pin)</t>
    <phoneticPr fontId="9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</si>
  <si>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9" type="noConversion"/>
  </si>
  <si>
    <r>
      <t>HARTING</t>
    </r>
    <r>
      <rPr>
        <sz val="9"/>
        <rFont val="돋움"/>
        <family val="3"/>
        <charset val="129"/>
      </rPr>
      <t>에서</t>
    </r>
    <r>
      <rPr>
        <sz val="9"/>
        <rFont val="Verdana"/>
        <family val="2"/>
      </rPr>
      <t xml:space="preserve"> ERNI</t>
    </r>
    <r>
      <rPr>
        <sz val="9"/>
        <rFont val="돋움"/>
        <family val="3"/>
        <charset val="129"/>
      </rPr>
      <t>로</t>
    </r>
    <r>
      <rPr>
        <sz val="9"/>
        <rFont val="Verdana"/>
        <family val="2"/>
      </rPr>
      <t xml:space="preserve"> </t>
    </r>
    <r>
      <rPr>
        <sz val="9"/>
        <rFont val="돋움"/>
        <family val="3"/>
        <charset val="129"/>
      </rPr>
      <t>변경</t>
    </r>
    <phoneticPr fontId="9" type="noConversion"/>
  </si>
  <si>
    <t>533402(Male_96pin)</t>
    <phoneticPr fontId="9" type="noConversion"/>
  </si>
  <si>
    <t>ERNI</t>
    <phoneticPr fontId="9" type="noConversion"/>
  </si>
  <si>
    <t>ETX A2</t>
    <phoneticPr fontId="9" type="noConversion"/>
  </si>
  <si>
    <t>J3</t>
    <phoneticPr fontId="9" type="noConversion"/>
  </si>
  <si>
    <t>5566-22</t>
    <phoneticPr fontId="9" type="noConversion"/>
  </si>
  <si>
    <t>-</t>
    <phoneticPr fontId="9" type="noConversion"/>
  </si>
  <si>
    <t>J6</t>
    <phoneticPr fontId="9" type="noConversion"/>
  </si>
  <si>
    <t>J7</t>
    <phoneticPr fontId="9" type="noConversion"/>
  </si>
  <si>
    <t>35312-06</t>
    <phoneticPr fontId="9" type="noConversion"/>
  </si>
  <si>
    <t>35312-12</t>
    <phoneticPr fontId="9" type="noConversion"/>
  </si>
  <si>
    <t>J6</t>
    <phoneticPr fontId="9" type="noConversion"/>
  </si>
  <si>
    <t>J7</t>
    <phoneticPr fontId="9" type="noConversion"/>
  </si>
  <si>
    <t>35312-12</t>
    <phoneticPr fontId="9" type="noConversion"/>
  </si>
  <si>
    <t>35312-06</t>
    <phoneticPr fontId="9" type="noConversion"/>
  </si>
  <si>
    <t>R97</t>
    <phoneticPr fontId="9" type="noConversion"/>
  </si>
  <si>
    <t>0R</t>
    <phoneticPr fontId="9" type="noConversion"/>
  </si>
  <si>
    <t>NOP</t>
    <phoneticPr fontId="9" type="noConversion"/>
  </si>
  <si>
    <r>
      <rPr>
        <sz val="8"/>
        <color rgb="FFFF0000"/>
        <rFont val="Tahoma"/>
        <family val="2"/>
      </rPr>
      <t>R20,R21,R33</t>
    </r>
    <r>
      <rPr>
        <sz val="8"/>
        <color theme="1"/>
        <rFont val="Tahoma"/>
        <family val="2"/>
        <charset val="129"/>
      </rPr>
      <t>,R46,R48,R86,R87,R88,R89,
R95,R96,R98</t>
    </r>
    <phoneticPr fontId="9" type="noConversion"/>
  </si>
  <si>
    <t>2014. 10. 24</t>
    <phoneticPr fontId="9" type="noConversion"/>
  </si>
  <si>
    <t>ETX A2</t>
    <phoneticPr fontId="9" type="noConversion"/>
  </si>
  <si>
    <t>R25</t>
    <phoneticPr fontId="9" type="noConversion"/>
  </si>
  <si>
    <t>100K</t>
    <phoneticPr fontId="9" type="noConversion"/>
  </si>
  <si>
    <t>10K</t>
    <phoneticPr fontId="9" type="noConversion"/>
  </si>
  <si>
    <t>2015. 2. 23</t>
    <phoneticPr fontId="9" type="noConversion"/>
  </si>
  <si>
    <t>ETX A2</t>
    <phoneticPr fontId="9" type="noConversion"/>
  </si>
  <si>
    <t>R77</t>
  </si>
  <si>
    <t>R77</t>
    <phoneticPr fontId="9" type="noConversion"/>
  </si>
  <si>
    <t>R78</t>
  </si>
  <si>
    <t>R78</t>
    <phoneticPr fontId="9" type="noConversion"/>
  </si>
  <si>
    <t>R79</t>
  </si>
  <si>
    <t>R79</t>
    <phoneticPr fontId="9" type="noConversion"/>
  </si>
  <si>
    <t>R80</t>
  </si>
  <si>
    <t>R80</t>
    <phoneticPr fontId="9" type="noConversion"/>
  </si>
  <si>
    <t>471R</t>
    <phoneticPr fontId="9" type="noConversion"/>
  </si>
  <si>
    <t>1K</t>
    <phoneticPr fontId="9" type="noConversion"/>
  </si>
  <si>
    <t>R3</t>
    <phoneticPr fontId="9" type="noConversion"/>
  </si>
  <si>
    <r>
      <t>R30,R31,R43,R44,R52,R55,R58,R61,R64,R67,
R70,R73,R76,</t>
    </r>
    <r>
      <rPr>
        <sz val="8"/>
        <color rgb="FFFF0000"/>
        <rFont val="Tahoma"/>
        <family val="2"/>
      </rPr>
      <t>R77,R78,R79,R80</t>
    </r>
    <phoneticPr fontId="9" type="noConversion"/>
  </si>
  <si>
    <t>2015. 5. 15</t>
    <phoneticPr fontId="9" type="noConversion"/>
  </si>
  <si>
    <t>ETX A2</t>
    <phoneticPr fontId="9" type="noConversion"/>
  </si>
  <si>
    <t>R82</t>
    <phoneticPr fontId="9" type="noConversion"/>
  </si>
  <si>
    <t>NOP</t>
    <phoneticPr fontId="9" type="noConversion"/>
  </si>
  <si>
    <t>10K</t>
    <phoneticPr fontId="9" type="noConversion"/>
  </si>
  <si>
    <r>
      <t>R23,</t>
    </r>
    <r>
      <rPr>
        <sz val="8"/>
        <color rgb="FFFF0000"/>
        <rFont val="Tahoma"/>
        <family val="2"/>
      </rPr>
      <t>R34,R35,</t>
    </r>
    <r>
      <rPr>
        <sz val="8"/>
        <color theme="1"/>
        <rFont val="Tahoma"/>
        <family val="2"/>
        <charset val="129"/>
      </rPr>
      <t>R37,</t>
    </r>
    <r>
      <rPr>
        <sz val="8"/>
        <color rgb="FFFF0000"/>
        <rFont val="Tahoma"/>
        <family val="2"/>
      </rPr>
      <t>R97</t>
    </r>
    <phoneticPr fontId="9" type="noConversion"/>
  </si>
  <si>
    <t>2015. 5. 15</t>
    <phoneticPr fontId="0" type="noConversion"/>
  </si>
  <si>
    <t>R39</t>
    <phoneticPr fontId="9" type="noConversion"/>
  </si>
  <si>
    <t>100K</t>
    <phoneticPr fontId="9" type="noConversion"/>
  </si>
  <si>
    <t>0</t>
    <phoneticPr fontId="9" type="noConversion"/>
  </si>
  <si>
    <r>
      <rPr>
        <sz val="8"/>
        <color rgb="FFFF0000"/>
        <rFont val="Tahoma"/>
        <family val="2"/>
      </rPr>
      <t>R25</t>
    </r>
    <r>
      <rPr>
        <sz val="8"/>
        <color theme="1"/>
        <rFont val="Tahoma"/>
        <family val="2"/>
        <charset val="129"/>
      </rPr>
      <t>,R26,</t>
    </r>
    <r>
      <rPr>
        <sz val="8"/>
        <color rgb="FFFF0000"/>
        <rFont val="Tahoma"/>
        <family val="2"/>
      </rPr>
      <t>R39</t>
    </r>
    <r>
      <rPr>
        <sz val="8"/>
        <color theme="1"/>
        <rFont val="Tahoma"/>
        <family val="2"/>
        <charset val="129"/>
      </rPr>
      <t>,R40</t>
    </r>
    <r>
      <rPr>
        <sz val="8"/>
        <color rgb="FFFF0000"/>
        <rFont val="Tahoma"/>
        <family val="2"/>
      </rPr>
      <t>,R82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</si>
</sst>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@\ \ \ \ \ \ \ \ \ \ \ \ \ \ \ "/>
    <numFmt numFmtId="182" formatCode="0.0_ 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#,##0.00;[Red]&quot;-&quot;#,##0.00"/>
  </numFmts>
  <fonts count="89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11"/>
      <color theme="1"/>
      <name val="Verdana"/>
      <family val="2"/>
      <charset val="129"/>
    </font>
    <font>
      <sz val="9"/>
      <name val="Verdana"/>
      <family val="2"/>
    </font>
    <font>
      <sz val="8"/>
      <name val="맑은 고딕"/>
      <family val="2"/>
      <charset val="129"/>
      <scheme val="minor"/>
    </font>
    <font>
      <b/>
      <sz val="12"/>
      <name val="Verdana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Verdana"/>
      <family val="2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b/>
      <sz val="10"/>
      <name val="Verdana"/>
      <family val="2"/>
    </font>
    <font>
      <b/>
      <sz val="10"/>
      <color rgb="FFC00000"/>
      <name val="Verdana"/>
      <family val="2"/>
    </font>
    <font>
      <b/>
      <sz val="8"/>
      <color rgb="FFC00000"/>
      <name val="Verdana"/>
      <family val="2"/>
    </font>
    <font>
      <sz val="9"/>
      <color theme="3"/>
      <name val="Verdana"/>
      <family val="2"/>
    </font>
    <font>
      <sz val="9"/>
      <color rgb="FFC00000"/>
      <name val="Verdana"/>
      <family val="2"/>
    </font>
    <font>
      <b/>
      <sz val="10"/>
      <color rgb="FF002060"/>
      <name val="Verdana"/>
      <family val="2"/>
    </font>
    <font>
      <b/>
      <sz val="8"/>
      <color rgb="FF002060"/>
      <name val="Verdana"/>
      <family val="2"/>
    </font>
    <font>
      <sz val="9"/>
      <color rgb="FF002060"/>
      <name val="Verdana"/>
      <family val="2"/>
    </font>
    <font>
      <sz val="8"/>
      <color theme="1"/>
      <name val="Tahoma"/>
      <family val="2"/>
    </font>
    <font>
      <sz val="8"/>
      <name val="돋움"/>
      <family val="3"/>
      <charset val="129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8"/>
      <name val="Tahoma"/>
      <family val="2"/>
    </font>
    <font>
      <b/>
      <sz val="20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theme="5" tint="-0.249977111117893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0"/>
      <color indexed="8"/>
      <name val="MS Sans Serif"/>
      <family val="2"/>
    </font>
    <font>
      <sz val="8"/>
      <color rgb="FFFF0000"/>
      <name val="Tahoma"/>
      <family val="2"/>
      <charset val="129"/>
    </font>
    <font>
      <sz val="8"/>
      <color rgb="FFFF0000"/>
      <name val="Tahoma"/>
      <family val="2"/>
    </font>
    <font>
      <sz val="8"/>
      <color rgb="FFFF0000"/>
      <name val="돋움"/>
      <family val="3"/>
      <charset val="129"/>
    </font>
    <font>
      <sz val="8"/>
      <color rgb="FFFF0000"/>
      <name val="Verdana"/>
      <family val="2"/>
    </font>
  </fonts>
  <fills count="6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6805">
    <xf numFmtId="0" fontId="0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28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2" fillId="0" borderId="0"/>
    <xf numFmtId="0" fontId="51" fillId="0" borderId="27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26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3" fillId="15" borderId="2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/>
    <xf numFmtId="0" fontId="60" fillId="0" borderId="0"/>
    <xf numFmtId="0" fontId="12" fillId="0" borderId="0"/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43" fillId="4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60" fillId="0" borderId="0"/>
    <xf numFmtId="0" fontId="61" fillId="5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65" fillId="6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7" fillId="62" borderId="33" applyNumberFormat="0" applyAlignment="0" applyProtection="0">
      <alignment vertical="center"/>
    </xf>
    <xf numFmtId="0" fontId="50" fillId="14" borderId="28" applyNumberFormat="0" applyAlignment="0" applyProtection="0">
      <alignment vertical="center"/>
    </xf>
    <xf numFmtId="0" fontId="50" fillId="14" borderId="28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8" fillId="0" borderId="34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71" fillId="0" borderId="36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72" fillId="0" borderId="37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73" fillId="0" borderId="38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59" fillId="13" borderId="26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59" fillId="13" borderId="26" applyNumberFormat="0" applyAlignment="0" applyProtection="0">
      <alignment vertical="center"/>
    </xf>
    <xf numFmtId="0" fontId="77" fillId="0" borderId="0"/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3" fillId="15" borderId="29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8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79" fillId="0" borderId="0"/>
    <xf numFmtId="178" fontId="42" fillId="0" borderId="0" applyFont="0" applyFill="0" applyBorder="0" applyAlignment="0" applyProtection="0"/>
    <xf numFmtId="179" fontId="12" fillId="0" borderId="0"/>
    <xf numFmtId="180" fontId="42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/>
    <xf numFmtId="184" fontId="12" fillId="0" borderId="0"/>
    <xf numFmtId="38" fontId="41" fillId="40" borderId="0" applyNumberFormat="0" applyBorder="0" applyAlignment="0" applyProtection="0"/>
    <xf numFmtId="0" fontId="80" fillId="0" borderId="0">
      <alignment horizontal="left"/>
    </xf>
    <xf numFmtId="0" fontId="81" fillId="0" borderId="40" applyNumberFormat="0" applyAlignment="0" applyProtection="0">
      <alignment horizontal="left" vertical="center"/>
    </xf>
    <xf numFmtId="0" fontId="81" fillId="0" borderId="41">
      <alignment horizontal="left" vertical="center"/>
    </xf>
    <xf numFmtId="10" fontId="41" fillId="40" borderId="1" applyNumberFormat="0" applyBorder="0" applyAlignment="0" applyProtection="0"/>
    <xf numFmtId="0" fontId="82" fillId="0" borderId="42"/>
    <xf numFmtId="185" fontId="12" fillId="0" borderId="0"/>
    <xf numFmtId="0" fontId="42" fillId="0" borderId="0"/>
    <xf numFmtId="10" fontId="42" fillId="0" borderId="0" applyFont="0" applyFill="0" applyBorder="0" applyAlignment="0" applyProtection="0"/>
    <xf numFmtId="0" fontId="82" fillId="0" borderId="0"/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83" fillId="0" borderId="0"/>
    <xf numFmtId="0" fontId="49" fillId="0" borderId="0" applyNumberFormat="0" applyFill="0" applyBorder="0" applyAlignment="0" applyProtection="0">
      <alignment vertical="center"/>
    </xf>
    <xf numFmtId="0" fontId="50" fillId="14" borderId="28" applyNumberFormat="0" applyAlignment="0" applyProtection="0">
      <alignment vertical="center"/>
    </xf>
    <xf numFmtId="186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0" fontId="51" fillId="0" borderId="27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26" applyNumberFormat="0" applyAlignment="0" applyProtection="0">
      <alignment vertical="center"/>
    </xf>
    <xf numFmtId="178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84" fillId="0" borderId="0"/>
    <xf numFmtId="0" fontId="43" fillId="0" borderId="0">
      <alignment vertical="center"/>
    </xf>
    <xf numFmtId="0" fontId="4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77" fillId="0" borderId="0"/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46" fillId="13" borderId="25" applyNumberFormat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3" fillId="15" borderId="29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28" applyNumberFormat="0" applyAlignment="0" applyProtection="0">
      <alignment vertical="center"/>
    </xf>
    <xf numFmtId="0" fontId="50" fillId="14" borderId="28" applyNumberFormat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53" fillId="12" borderId="25" applyNumberFormat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57" fillId="0" borderId="2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26" applyNumberFormat="0" applyAlignment="0" applyProtection="0">
      <alignment vertical="center"/>
    </xf>
    <xf numFmtId="0" fontId="59" fillId="13" borderId="26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5" fillId="27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86" fontId="12" fillId="0" borderId="0" applyFont="0" applyFill="0" applyBorder="0" applyAlignment="0" applyProtection="0"/>
    <xf numFmtId="0" fontId="4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6" fillId="59" borderId="39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70" fillId="46" borderId="31" applyNumberFormat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69" fillId="0" borderId="35" applyNumberFormat="0" applyFill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63" fillId="59" borderId="31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6" fillId="59" borderId="3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76" fillId="59" borderId="3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46" borderId="31" applyNumberFormat="0" applyAlignment="0" applyProtection="0">
      <alignment vertical="center"/>
    </xf>
    <xf numFmtId="0" fontId="43" fillId="60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0" fontId="41" fillId="40" borderId="43" applyNumberFormat="0" applyBorder="0" applyAlignment="0" applyProtection="0"/>
    <xf numFmtId="0" fontId="6" fillId="0" borderId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81" fillId="0" borderId="48">
      <alignment horizontal="left"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70" fillId="46" borderId="44" applyNumberFormat="0" applyAlignment="0" applyProtection="0">
      <alignment vertical="center"/>
    </xf>
    <xf numFmtId="0" fontId="76" fillId="59" borderId="47" applyNumberFormat="0" applyAlignment="0" applyProtection="0">
      <alignment vertical="center"/>
    </xf>
    <xf numFmtId="0" fontId="69" fillId="0" borderId="46" applyNumberFormat="0" applyFill="0" applyAlignment="0" applyProtection="0">
      <alignment vertical="center"/>
    </xf>
    <xf numFmtId="0" fontId="63" fillId="59" borderId="44" applyNumberFormat="0" applyAlignment="0" applyProtection="0">
      <alignment vertical="center"/>
    </xf>
    <xf numFmtId="0" fontId="43" fillId="60" borderId="45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40">
    <xf numFmtId="0" fontId="0" fillId="0" borderId="0" xfId="0">
      <alignment vertical="center"/>
    </xf>
    <xf numFmtId="0" fontId="14" fillId="0" borderId="13" xfId="0" applyFont="1" applyBorder="1">
      <alignment vertical="center"/>
    </xf>
    <xf numFmtId="0" fontId="14" fillId="0" borderId="13" xfId="0" applyNumberFormat="1" applyFont="1" applyBorder="1" applyAlignment="1">
      <alignment horizontal="center" vertical="center"/>
    </xf>
    <xf numFmtId="0" fontId="14" fillId="0" borderId="13" xfId="0" applyNumberFormat="1" applyFont="1" applyBorder="1" applyAlignment="1">
      <alignment horizontal="left" vertical="center" indent="1"/>
    </xf>
    <xf numFmtId="0" fontId="14" fillId="0" borderId="13" xfId="0" applyNumberFormat="1" applyFont="1" applyBorder="1">
      <alignment vertical="center"/>
    </xf>
    <xf numFmtId="0" fontId="19" fillId="0" borderId="13" xfId="0" applyNumberFormat="1" applyFont="1" applyBorder="1" applyAlignment="1">
      <alignment vertical="center"/>
    </xf>
    <xf numFmtId="0" fontId="19" fillId="0" borderId="14" xfId="0" applyNumberFormat="1" applyFont="1" applyBorder="1" applyAlignment="1">
      <alignment horizontal="center" vertical="center"/>
    </xf>
    <xf numFmtId="0" fontId="14" fillId="0" borderId="14" xfId="0" applyNumberFormat="1" applyFont="1" applyBorder="1" applyAlignment="1">
      <alignment horizontal="center" vertical="center"/>
    </xf>
    <xf numFmtId="0" fontId="14" fillId="0" borderId="14" xfId="0" applyNumberFormat="1" applyFont="1" applyBorder="1" applyAlignment="1">
      <alignment horizontal="left" vertical="center" indent="1"/>
    </xf>
    <xf numFmtId="0" fontId="14" fillId="0" borderId="14" xfId="0" applyNumberFormat="1" applyFont="1" applyBorder="1">
      <alignment vertical="center"/>
    </xf>
    <xf numFmtId="0" fontId="14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8" fillId="0" borderId="15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indent="1"/>
    </xf>
    <xf numFmtId="0" fontId="8" fillId="0" borderId="16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4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 indent="1"/>
    </xf>
    <xf numFmtId="14" fontId="8" fillId="0" borderId="13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left" vertical="center" indent="1"/>
    </xf>
    <xf numFmtId="0" fontId="22" fillId="0" borderId="13" xfId="0" applyFont="1" applyFill="1" applyBorder="1">
      <alignment vertical="center"/>
    </xf>
    <xf numFmtId="0" fontId="23" fillId="0" borderId="13" xfId="0" applyFont="1" applyFill="1" applyBorder="1">
      <alignment vertical="center"/>
    </xf>
    <xf numFmtId="0" fontId="8" fillId="0" borderId="13" xfId="0" applyFont="1" applyFill="1" applyBorder="1">
      <alignment vertical="center"/>
    </xf>
    <xf numFmtId="0" fontId="8" fillId="0" borderId="16" xfId="0" applyFont="1" applyFill="1" applyBorder="1" applyAlignment="1">
      <alignment horizontal="left" vertical="center" indent="1"/>
    </xf>
    <xf numFmtId="0" fontId="22" fillId="0" borderId="16" xfId="0" applyFont="1" applyFill="1" applyBorder="1">
      <alignment vertical="center"/>
    </xf>
    <xf numFmtId="0" fontId="23" fillId="0" borderId="16" xfId="0" applyFont="1" applyFill="1" applyBorder="1">
      <alignment vertical="center"/>
    </xf>
    <xf numFmtId="0" fontId="23" fillId="6" borderId="13" xfId="0" applyFont="1" applyFill="1" applyBorder="1">
      <alignment vertical="center"/>
    </xf>
    <xf numFmtId="0" fontId="26" fillId="8" borderId="13" xfId="0" applyFont="1" applyFill="1" applyBorder="1">
      <alignment vertical="center"/>
    </xf>
    <xf numFmtId="0" fontId="26" fillId="8" borderId="16" xfId="0" applyFont="1" applyFill="1" applyBorder="1">
      <alignment vertical="center"/>
    </xf>
    <xf numFmtId="0" fontId="23" fillId="6" borderId="16" xfId="0" applyFont="1" applyFill="1" applyBorder="1">
      <alignment vertical="center"/>
    </xf>
    <xf numFmtId="0" fontId="10" fillId="0" borderId="13" xfId="0" applyNumberFormat="1" applyFont="1" applyBorder="1" applyAlignment="1">
      <alignment horizontal="left" vertical="center" indent="1"/>
    </xf>
    <xf numFmtId="0" fontId="32" fillId="0" borderId="0" xfId="0" applyFont="1" applyFill="1" applyBorder="1" applyAlignment="1">
      <alignment horizontal="left" vertical="center"/>
    </xf>
    <xf numFmtId="0" fontId="33" fillId="0" borderId="0" xfId="0" applyFont="1" applyFill="1" applyAlignment="1">
      <alignment horizontal="center" vertical="center" wrapText="1"/>
    </xf>
    <xf numFmtId="0" fontId="32" fillId="0" borderId="0" xfId="0" applyFont="1" applyFill="1" applyBorder="1" applyAlignment="1">
      <alignment vertical="center" wrapText="1"/>
    </xf>
    <xf numFmtId="176" fontId="32" fillId="0" borderId="0" xfId="0" applyNumberFormat="1" applyFont="1" applyFill="1" applyBorder="1" applyAlignment="1">
      <alignment horizontal="left" vertical="center" wrapText="1"/>
    </xf>
    <xf numFmtId="41" fontId="33" fillId="0" borderId="0" xfId="6" applyFont="1" applyFill="1" applyAlignment="1">
      <alignment horizontal="center" vertical="center" wrapText="1"/>
    </xf>
    <xf numFmtId="0" fontId="31" fillId="0" borderId="0" xfId="0" applyFont="1" applyFill="1" applyAlignment="1">
      <alignment horizontal="center" vertical="center" wrapText="1"/>
    </xf>
    <xf numFmtId="0" fontId="34" fillId="0" borderId="0" xfId="0" applyFont="1" applyFill="1" applyBorder="1" applyAlignment="1">
      <alignment vertical="center" wrapText="1"/>
    </xf>
    <xf numFmtId="0" fontId="31" fillId="0" borderId="0" xfId="0" applyFont="1" applyFill="1" applyAlignment="1">
      <alignment horizontal="left" vertical="center" wrapText="1" indent="1"/>
    </xf>
    <xf numFmtId="0" fontId="34" fillId="0" borderId="0" xfId="0" applyFont="1" applyFill="1" applyBorder="1" applyAlignment="1">
      <alignment horizontal="center" vertical="center" wrapText="1"/>
    </xf>
    <xf numFmtId="176" fontId="31" fillId="0" borderId="0" xfId="0" applyNumberFormat="1" applyFont="1" applyFill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177" fontId="34" fillId="0" borderId="0" xfId="0" applyNumberFormat="1" applyFont="1" applyFill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0" fontId="35" fillId="0" borderId="0" xfId="0" applyFont="1" applyFill="1" applyAlignment="1">
      <alignment vertical="center" wrapText="1"/>
    </xf>
    <xf numFmtId="0" fontId="37" fillId="0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vertical="center" wrapText="1"/>
    </xf>
    <xf numFmtId="0" fontId="34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left" vertical="center" wrapText="1" indent="1"/>
    </xf>
    <xf numFmtId="0" fontId="34" fillId="0" borderId="0" xfId="0" applyFont="1" applyFill="1" applyBorder="1" applyAlignment="1">
      <alignment horizontal="left" vertical="center" wrapText="1" indent="1"/>
    </xf>
    <xf numFmtId="176" fontId="34" fillId="0" borderId="0" xfId="0" applyNumberFormat="1" applyFont="1" applyFill="1" applyAlignment="1">
      <alignment horizontal="center" vertical="center" wrapText="1"/>
    </xf>
    <xf numFmtId="41" fontId="34" fillId="0" borderId="0" xfId="6" applyFont="1" applyFill="1" applyAlignment="1">
      <alignment horizontal="center" vertical="center" wrapText="1"/>
    </xf>
    <xf numFmtId="0" fontId="34" fillId="0" borderId="0" xfId="0" applyFont="1" applyFill="1" applyAlignment="1">
      <alignment vertical="center" wrapText="1"/>
    </xf>
    <xf numFmtId="0" fontId="39" fillId="0" borderId="0" xfId="0" applyFont="1" applyFill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3" borderId="1" xfId="6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>
      <alignment vertical="center"/>
    </xf>
    <xf numFmtId="49" fontId="27" fillId="0" borderId="1" xfId="0" applyNumberFormat="1" applyFont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center" vertical="center" wrapText="1"/>
    </xf>
    <xf numFmtId="41" fontId="31" fillId="0" borderId="1" xfId="6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27" fillId="0" borderId="1" xfId="0" applyNumberFormat="1" applyFont="1" applyBorder="1" applyAlignment="1">
      <alignment vertical="center" wrapText="1"/>
    </xf>
    <xf numFmtId="0" fontId="27" fillId="0" borderId="1" xfId="0" applyNumberFormat="1" applyFont="1" applyBorder="1" applyAlignment="1">
      <alignment horizontal="center" vertical="center"/>
    </xf>
    <xf numFmtId="41" fontId="31" fillId="0" borderId="1" xfId="6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vertical="center" wrapText="1"/>
    </xf>
    <xf numFmtId="49" fontId="27" fillId="0" borderId="1" xfId="0" applyNumberFormat="1" applyFont="1" applyFill="1" applyBorder="1" applyAlignment="1">
      <alignment horizontal="center" vertical="center"/>
    </xf>
    <xf numFmtId="0" fontId="31" fillId="0" borderId="1" xfId="2" applyFont="1" applyFill="1" applyBorder="1" applyAlignment="1">
      <alignment vertical="center" wrapText="1"/>
    </xf>
    <xf numFmtId="49" fontId="31" fillId="0" borderId="1" xfId="5" applyNumberFormat="1" applyFont="1" applyFill="1" applyBorder="1" applyAlignment="1">
      <alignment vertical="center" wrapText="1"/>
    </xf>
    <xf numFmtId="49" fontId="31" fillId="0" borderId="1" xfId="5" applyNumberFormat="1" applyFont="1" applyFill="1" applyBorder="1" applyAlignment="1">
      <alignment horizontal="center" vertical="center" wrapText="1"/>
    </xf>
    <xf numFmtId="177" fontId="31" fillId="5" borderId="1" xfId="1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41" fontId="31" fillId="0" borderId="0" xfId="6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 indent="1"/>
    </xf>
    <xf numFmtId="177" fontId="31" fillId="0" borderId="0" xfId="1" applyNumberFormat="1" applyFont="1" applyFill="1" applyBorder="1" applyAlignment="1">
      <alignment horizontal="center" vertical="center" wrapText="1"/>
    </xf>
    <xf numFmtId="41" fontId="31" fillId="0" borderId="0" xfId="6" applyFont="1" applyBorder="1" applyAlignment="1">
      <alignment horizontal="center" vertical="center" wrapText="1"/>
    </xf>
    <xf numFmtId="41" fontId="31" fillId="0" borderId="0" xfId="6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76" fontId="31" fillId="0" borderId="0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 indent="1"/>
    </xf>
    <xf numFmtId="176" fontId="31" fillId="0" borderId="0" xfId="0" applyNumberFormat="1" applyFont="1" applyAlignment="1">
      <alignment horizontal="center" vertical="center" wrapText="1"/>
    </xf>
    <xf numFmtId="41" fontId="33" fillId="0" borderId="0" xfId="6" applyFont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vertical="center" wrapText="1"/>
    </xf>
    <xf numFmtId="0" fontId="27" fillId="0" borderId="1" xfId="0" applyNumberFormat="1" applyFont="1" applyBorder="1">
      <alignment vertical="center"/>
    </xf>
    <xf numFmtId="49" fontId="27" fillId="0" borderId="1" xfId="0" applyNumberFormat="1" applyFont="1" applyFill="1" applyBorder="1">
      <alignment vertical="center"/>
    </xf>
    <xf numFmtId="0" fontId="32" fillId="0" borderId="0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vertical="center" wrapText="1"/>
    </xf>
    <xf numFmtId="0" fontId="38" fillId="0" borderId="5" xfId="0" applyFont="1" applyFill="1" applyBorder="1" applyAlignment="1">
      <alignment vertical="center" wrapText="1"/>
    </xf>
    <xf numFmtId="0" fontId="31" fillId="0" borderId="1" xfId="9" applyFont="1" applyFill="1" applyBorder="1" applyAlignment="1">
      <alignment horizontal="left" vertical="center"/>
    </xf>
    <xf numFmtId="0" fontId="27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2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5" fillId="0" borderId="1" xfId="12" applyNumberFormat="1" applyBorder="1" applyAlignment="1">
      <alignment horizontal="left" vertical="center"/>
    </xf>
    <xf numFmtId="49" fontId="31" fillId="0" borderId="1" xfId="0" applyNumberFormat="1" applyFont="1" applyFill="1" applyBorder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3" borderId="1" xfId="6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>
      <alignment vertical="center"/>
    </xf>
    <xf numFmtId="0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center" vertical="center" wrapText="1"/>
    </xf>
    <xf numFmtId="41" fontId="31" fillId="0" borderId="1" xfId="6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0" fillId="0" borderId="0" xfId="0">
      <alignment vertical="center"/>
    </xf>
    <xf numFmtId="49" fontId="31" fillId="0" borderId="1" xfId="0" applyNumberFormat="1" applyFont="1" applyFill="1" applyBorder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>
      <alignment vertical="center"/>
    </xf>
    <xf numFmtId="0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1" fontId="31" fillId="0" borderId="1" xfId="6" applyFont="1" applyBorder="1" applyAlignment="1">
      <alignment horizontal="center" vertical="center" wrapText="1"/>
    </xf>
    <xf numFmtId="0" fontId="27" fillId="0" borderId="1" xfId="0" applyNumberFormat="1" applyFont="1" applyBorder="1" applyAlignment="1">
      <alignment horizontal="center" vertical="center"/>
    </xf>
    <xf numFmtId="49" fontId="31" fillId="0" borderId="1" xfId="0" applyNumberFormat="1" applyFont="1" applyFill="1" applyBorder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 applyAlignment="1">
      <alignment horizontal="center" vertical="center"/>
    </xf>
    <xf numFmtId="0" fontId="27" fillId="0" borderId="1" xfId="0" applyNumberFormat="1" applyFont="1" applyBorder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177" fontId="31" fillId="0" borderId="1" xfId="1" applyNumberFormat="1" applyFont="1" applyFill="1" applyBorder="1" applyAlignment="1">
      <alignment horizontal="center" vertical="center" wrapText="1"/>
    </xf>
    <xf numFmtId="41" fontId="31" fillId="0" borderId="1" xfId="6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49" fontId="27" fillId="0" borderId="1" xfId="0" applyNumberFormat="1" applyFont="1" applyFill="1" applyBorder="1">
      <alignment vertical="center"/>
    </xf>
    <xf numFmtId="0" fontId="5" fillId="0" borderId="1" xfId="12" applyNumberFormat="1" applyBorder="1" applyAlignment="1">
      <alignment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5" fillId="0" borderId="1" xfId="12" applyNumberFormat="1" applyBorder="1" applyAlignment="1">
      <alignment vertical="center" wrapText="1"/>
    </xf>
    <xf numFmtId="0" fontId="27" fillId="0" borderId="1" xfId="0" applyNumberFormat="1" applyFont="1" applyBorder="1" applyAlignment="1">
      <alignment horizontal="center" vertical="center"/>
    </xf>
    <xf numFmtId="49" fontId="31" fillId="0" borderId="1" xfId="0" applyNumberFormat="1" applyFont="1" applyFill="1" applyBorder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0" fontId="27" fillId="0" borderId="1" xfId="0" applyNumberFormat="1" applyFont="1" applyBorder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41" fontId="31" fillId="0" borderId="1" xfId="6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41" fontId="31" fillId="0" borderId="1" xfId="6" applyFont="1" applyFill="1" applyBorder="1" applyAlignment="1">
      <alignment horizontal="center" vertical="center" wrapText="1"/>
    </xf>
    <xf numFmtId="49" fontId="27" fillId="0" borderId="1" xfId="0" applyNumberFormat="1" applyFont="1" applyFill="1" applyBorder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 applyAlignment="1">
      <alignment horizontal="center" vertical="center"/>
    </xf>
    <xf numFmtId="41" fontId="31" fillId="0" borderId="1" xfId="6" applyFont="1" applyBorder="1" applyAlignment="1">
      <alignment horizontal="center" vertical="center" wrapText="1"/>
    </xf>
    <xf numFmtId="49" fontId="31" fillId="0" borderId="1" xfId="0" applyNumberFormat="1" applyFont="1" applyBorder="1">
      <alignment vertical="center"/>
    </xf>
    <xf numFmtId="41" fontId="31" fillId="0" borderId="1" xfId="6" applyFont="1" applyFill="1" applyBorder="1" applyAlignment="1">
      <alignment horizontal="center" vertical="center" wrapText="1"/>
    </xf>
    <xf numFmtId="49" fontId="31" fillId="0" borderId="1" xfId="0" applyNumberFormat="1" applyFont="1" applyFill="1" applyBorder="1">
      <alignment vertical="center"/>
    </xf>
    <xf numFmtId="0" fontId="31" fillId="0" borderId="1" xfId="0" applyNumberFormat="1" applyFont="1" applyBorder="1" applyAlignment="1">
      <alignment horizontal="left" vertical="center"/>
    </xf>
    <xf numFmtId="0" fontId="31" fillId="0" borderId="1" xfId="0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 applyAlignment="1">
      <alignment horizontal="center" vertical="center"/>
    </xf>
    <xf numFmtId="41" fontId="31" fillId="0" borderId="1" xfId="6" applyFont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49" fontId="31" fillId="0" borderId="1" xfId="0" applyNumberFormat="1" applyFont="1" applyBorder="1">
      <alignment vertical="center"/>
    </xf>
    <xf numFmtId="41" fontId="31" fillId="0" borderId="1" xfId="6" applyFont="1" applyFill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/>
    </xf>
    <xf numFmtId="0" fontId="31" fillId="0" borderId="1" xfId="2" applyFont="1" applyFill="1" applyBorder="1" applyAlignment="1">
      <alignment horizontal="center" vertical="center" wrapText="1"/>
    </xf>
    <xf numFmtId="49" fontId="31" fillId="0" borderId="1" xfId="5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5" fillId="0" borderId="1" xfId="12" applyNumberFormat="1" applyBorder="1" applyAlignment="1">
      <alignment vertical="center" wrapText="1"/>
    </xf>
    <xf numFmtId="0" fontId="5" fillId="0" borderId="1" xfId="12" applyNumberFormat="1" applyBorder="1" applyAlignment="1">
      <alignment vertical="center" wrapText="1"/>
    </xf>
    <xf numFmtId="0" fontId="31" fillId="0" borderId="1" xfId="0" applyFont="1" applyFill="1" applyBorder="1" applyAlignment="1">
      <alignment horizontal="center" vertical="center" wrapText="1"/>
    </xf>
    <xf numFmtId="49" fontId="27" fillId="0" borderId="1" xfId="0" applyNumberFormat="1" applyFont="1" applyFill="1" applyBorder="1">
      <alignment vertical="center"/>
    </xf>
    <xf numFmtId="49" fontId="31" fillId="0" borderId="1" xfId="0" applyNumberFormat="1" applyFont="1" applyFill="1" applyBorder="1" applyAlignment="1">
      <alignment vertical="center" wrapText="1"/>
    </xf>
    <xf numFmtId="0" fontId="31" fillId="2" borderId="1" xfId="6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49" fontId="27" fillId="0" borderId="1" xfId="0" applyNumberFormat="1" applyFont="1" applyBorder="1">
      <alignment vertical="center"/>
    </xf>
    <xf numFmtId="0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center" vertical="center" wrapText="1"/>
    </xf>
    <xf numFmtId="41" fontId="31" fillId="0" borderId="1" xfId="6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41" fontId="31" fillId="0" borderId="1" xfId="6" applyFont="1" applyFill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0" fontId="31" fillId="0" borderId="1" xfId="2" applyFont="1" applyFill="1" applyBorder="1" applyAlignment="1">
      <alignment vertical="center" wrapText="1"/>
    </xf>
    <xf numFmtId="0" fontId="31" fillId="0" borderId="1" xfId="2" applyFont="1" applyFill="1" applyBorder="1" applyAlignment="1">
      <alignment horizontal="center" vertical="center" wrapText="1"/>
    </xf>
    <xf numFmtId="0" fontId="27" fillId="0" borderId="1" xfId="0" applyNumberFormat="1" applyFont="1" applyBorder="1" applyAlignment="1">
      <alignment horizontal="center" vertical="center" wrapText="1"/>
    </xf>
    <xf numFmtId="0" fontId="5" fillId="0" borderId="1" xfId="12" applyNumberFormat="1" applyBorder="1" applyAlignment="1">
      <alignment horizontal="left" vertical="center"/>
    </xf>
    <xf numFmtId="0" fontId="5" fillId="0" borderId="1" xfId="12" applyNumberFormat="1" applyBorder="1" applyAlignment="1">
      <alignment horizontal="left" vertical="center"/>
    </xf>
    <xf numFmtId="0" fontId="5" fillId="0" borderId="1" xfId="12" applyNumberFormat="1" applyBorder="1" applyAlignment="1">
      <alignment vertical="center" wrapText="1"/>
    </xf>
    <xf numFmtId="0" fontId="5" fillId="0" borderId="1" xfId="12" applyNumberFormat="1" applyBorder="1" applyAlignment="1">
      <alignment horizontal="left" vertical="center"/>
    </xf>
    <xf numFmtId="0" fontId="5" fillId="0" borderId="1" xfId="12" applyNumberFormat="1" applyBorder="1" applyAlignment="1">
      <alignment horizontal="left" vertical="center"/>
    </xf>
    <xf numFmtId="0" fontId="5" fillId="0" borderId="1" xfId="12" applyNumberFormat="1" applyBorder="1" applyAlignment="1">
      <alignment horizontal="left" vertical="center"/>
    </xf>
    <xf numFmtId="0" fontId="5" fillId="0" borderId="1" xfId="12" applyNumberFormat="1" applyBorder="1" applyAlignment="1">
      <alignment horizontal="left" vertical="center"/>
    </xf>
    <xf numFmtId="0" fontId="31" fillId="3" borderId="1" xfId="6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 wrapText="1"/>
    </xf>
    <xf numFmtId="177" fontId="31" fillId="0" borderId="1" xfId="1" applyNumberFormat="1" applyFont="1" applyFill="1" applyBorder="1" applyAlignment="1">
      <alignment horizontal="center" vertical="center" wrapText="1"/>
    </xf>
    <xf numFmtId="41" fontId="31" fillId="0" borderId="1" xfId="6" applyFont="1" applyFill="1" applyBorder="1" applyAlignment="1">
      <alignment vertical="center" wrapText="1"/>
    </xf>
    <xf numFmtId="0" fontId="31" fillId="0" borderId="43" xfId="0" applyFont="1" applyFill="1" applyBorder="1" applyAlignment="1">
      <alignment horizontal="center" vertical="center" wrapText="1"/>
    </xf>
    <xf numFmtId="49" fontId="31" fillId="0" borderId="43" xfId="0" applyNumberFormat="1" applyFont="1" applyFill="1" applyBorder="1" applyAlignment="1">
      <alignment vertical="center" wrapText="1"/>
    </xf>
    <xf numFmtId="0" fontId="27" fillId="0" borderId="43" xfId="0" applyNumberFormat="1" applyFont="1" applyBorder="1" applyAlignment="1">
      <alignment horizontal="center" vertical="center" wrapText="1"/>
    </xf>
    <xf numFmtId="49" fontId="27" fillId="0" borderId="43" xfId="0" applyNumberFormat="1" applyFont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0" fillId="0" borderId="0" xfId="0">
      <alignment vertical="center"/>
    </xf>
    <xf numFmtId="0" fontId="27" fillId="0" borderId="43" xfId="0" applyNumberFormat="1" applyFont="1" applyBorder="1" applyAlignment="1">
      <alignment vertical="center"/>
    </xf>
    <xf numFmtId="0" fontId="31" fillId="0" borderId="43" xfId="0" applyFont="1" applyFill="1" applyBorder="1" applyAlignment="1">
      <alignment horizontal="center" vertical="center" wrapText="1"/>
    </xf>
    <xf numFmtId="0" fontId="31" fillId="2" borderId="43" xfId="6" applyNumberFormat="1" applyFont="1" applyFill="1" applyBorder="1" applyAlignment="1">
      <alignment horizontal="center" vertical="center" wrapText="1"/>
    </xf>
    <xf numFmtId="0" fontId="31" fillId="0" borderId="43" xfId="0" applyFont="1" applyFill="1" applyBorder="1" applyAlignment="1">
      <alignment vertical="center" wrapText="1"/>
    </xf>
    <xf numFmtId="49" fontId="27" fillId="0" borderId="43" xfId="0" applyNumberFormat="1" applyFont="1" applyBorder="1">
      <alignment vertical="center"/>
    </xf>
    <xf numFmtId="49" fontId="27" fillId="0" borderId="43" xfId="0" applyNumberFormat="1" applyFont="1" applyBorder="1" applyAlignment="1" applyProtection="1">
      <alignment horizontal="center" vertical="center"/>
    </xf>
    <xf numFmtId="49" fontId="27" fillId="0" borderId="43" xfId="0" applyNumberFormat="1" applyFont="1" applyBorder="1" applyAlignment="1">
      <alignment horizontal="center" vertical="center"/>
    </xf>
    <xf numFmtId="177" fontId="31" fillId="0" borderId="43" xfId="1" applyNumberFormat="1" applyFont="1" applyFill="1" applyBorder="1" applyAlignment="1">
      <alignment horizontal="center" vertical="center" wrapText="1"/>
    </xf>
    <xf numFmtId="41" fontId="31" fillId="0" borderId="43" xfId="6" applyFont="1" applyBorder="1" applyAlignment="1">
      <alignment horizontal="center" vertical="center" wrapText="1"/>
    </xf>
    <xf numFmtId="0" fontId="27" fillId="0" borderId="43" xfId="0" applyNumberFormat="1" applyFont="1" applyBorder="1" applyAlignment="1">
      <alignment vertical="center" wrapText="1"/>
    </xf>
    <xf numFmtId="41" fontId="31" fillId="0" borderId="43" xfId="6" applyFont="1" applyFill="1" applyBorder="1" applyAlignment="1">
      <alignment horizontal="center" vertical="center" wrapText="1"/>
    </xf>
    <xf numFmtId="0" fontId="27" fillId="0" borderId="43" xfId="0" applyNumberFormat="1" applyFont="1" applyBorder="1" applyAlignment="1">
      <alignment horizontal="center" vertical="center" wrapText="1"/>
    </xf>
    <xf numFmtId="0" fontId="31" fillId="3" borderId="43" xfId="6" applyNumberFormat="1" applyFont="1" applyFill="1" applyBorder="1" applyAlignment="1">
      <alignment horizontal="center" vertical="center" wrapText="1"/>
    </xf>
    <xf numFmtId="49" fontId="27" fillId="0" borderId="43" xfId="0" applyNumberFormat="1" applyFont="1" applyFill="1" applyBorder="1">
      <alignment vertical="center"/>
    </xf>
    <xf numFmtId="49" fontId="27" fillId="0" borderId="43" xfId="0" applyNumberFormat="1" applyFont="1" applyFill="1" applyBorder="1" applyAlignment="1">
      <alignment horizontal="center" vertical="center"/>
    </xf>
    <xf numFmtId="0" fontId="4" fillId="0" borderId="43" xfId="6788" applyNumberFormat="1" applyBorder="1" applyAlignment="1">
      <alignment vertical="center" wrapText="1"/>
    </xf>
    <xf numFmtId="0" fontId="4" fillId="0" borderId="43" xfId="6789" applyNumberFormat="1" applyBorder="1" applyAlignment="1">
      <alignment vertical="center" wrapText="1"/>
    </xf>
    <xf numFmtId="0" fontId="4" fillId="0" borderId="43" xfId="6791" applyNumberFormat="1" applyBorder="1" applyAlignment="1">
      <alignment vertical="center" wrapText="1"/>
    </xf>
    <xf numFmtId="0" fontId="4" fillId="0" borderId="43" xfId="6792" applyNumberFormat="1" applyBorder="1" applyAlignment="1">
      <alignment vertical="center" wrapText="1"/>
    </xf>
    <xf numFmtId="0" fontId="4" fillId="0" borderId="43" xfId="6793" applyNumberFormat="1" applyBorder="1">
      <alignment vertical="center"/>
    </xf>
    <xf numFmtId="0" fontId="4" fillId="0" borderId="43" xfId="6794" applyNumberFormat="1" applyBorder="1" applyAlignment="1">
      <alignment vertical="center" wrapText="1"/>
    </xf>
    <xf numFmtId="0" fontId="4" fillId="0" borderId="43" xfId="6795" applyNumberFormat="1" applyBorder="1">
      <alignment vertical="center"/>
    </xf>
    <xf numFmtId="0" fontId="4" fillId="0" borderId="43" xfId="6796" applyNumberFormat="1" applyBorder="1" applyAlignment="1">
      <alignment vertical="center" wrapText="1"/>
    </xf>
    <xf numFmtId="0" fontId="4" fillId="0" borderId="43" xfId="6797" applyNumberFormat="1" applyBorder="1" applyAlignment="1">
      <alignment vertical="center" wrapText="1"/>
    </xf>
    <xf numFmtId="0" fontId="4" fillId="0" borderId="43" xfId="6798" applyNumberFormat="1" applyBorder="1" applyAlignment="1">
      <alignment vertical="center" wrapText="1"/>
    </xf>
    <xf numFmtId="0" fontId="4" fillId="0" borderId="43" xfId="6800" applyNumberFormat="1" applyBorder="1">
      <alignment vertical="center"/>
    </xf>
    <xf numFmtId="0" fontId="4" fillId="0" borderId="43" xfId="6801" applyNumberFormat="1" applyBorder="1" applyAlignment="1">
      <alignment vertical="center" wrapText="1"/>
    </xf>
    <xf numFmtId="0" fontId="4" fillId="0" borderId="43" xfId="6802" applyNumberFormat="1" applyBorder="1" applyAlignment="1">
      <alignment vertical="center" wrapText="1"/>
    </xf>
    <xf numFmtId="0" fontId="4" fillId="0" borderId="43" xfId="6803" applyNumberFormat="1" applyBorder="1" applyAlignment="1">
      <alignment vertical="center" wrapText="1"/>
    </xf>
    <xf numFmtId="49" fontId="31" fillId="6" borderId="1" xfId="0" applyNumberFormat="1" applyFont="1" applyFill="1" applyBorder="1" applyAlignment="1">
      <alignment horizontal="center" vertical="center" wrapText="1"/>
    </xf>
    <xf numFmtId="0" fontId="4" fillId="0" borderId="43" xfId="6804" applyNumberFormat="1" applyBorder="1" applyAlignment="1">
      <alignment horizontal="center" vertical="center"/>
    </xf>
    <xf numFmtId="0" fontId="3" fillId="0" borderId="43" xfId="6790" applyNumberFormat="1" applyFont="1" applyBorder="1" applyAlignment="1">
      <alignment vertical="center" wrapText="1"/>
    </xf>
    <xf numFmtId="0" fontId="86" fillId="0" borderId="1" xfId="0" applyFont="1" applyFill="1" applyBorder="1" applyAlignment="1">
      <alignment vertical="center" wrapText="1"/>
    </xf>
    <xf numFmtId="0" fontId="85" fillId="0" borderId="1" xfId="12" applyNumberFormat="1" applyFont="1" applyBorder="1" applyAlignment="1">
      <alignment horizontal="left" vertical="center"/>
    </xf>
    <xf numFmtId="49" fontId="86" fillId="0" borderId="1" xfId="0" applyNumberFormat="1" applyFont="1" applyFill="1" applyBorder="1">
      <alignment vertical="center"/>
    </xf>
    <xf numFmtId="49" fontId="86" fillId="0" borderId="1" xfId="0" applyNumberFormat="1" applyFont="1" applyBorder="1" applyAlignment="1">
      <alignment horizontal="center" vertical="center"/>
    </xf>
    <xf numFmtId="0" fontId="85" fillId="0" borderId="43" xfId="6803" applyNumberFormat="1" applyFont="1" applyBorder="1" applyAlignment="1">
      <alignment vertical="center" wrapText="1"/>
    </xf>
    <xf numFmtId="0" fontId="86" fillId="0" borderId="1" xfId="0" applyFont="1" applyFill="1" applyBorder="1" applyAlignment="1">
      <alignment horizontal="center" vertical="center" wrapText="1"/>
    </xf>
    <xf numFmtId="0" fontId="86" fillId="0" borderId="1" xfId="0" applyNumberFormat="1" applyFont="1" applyBorder="1" applyAlignment="1">
      <alignment horizontal="center" vertical="center"/>
    </xf>
    <xf numFmtId="0" fontId="3" fillId="0" borderId="43" xfId="6802" applyNumberFormat="1" applyFont="1" applyBorder="1" applyAlignment="1">
      <alignment vertical="center" wrapText="1"/>
    </xf>
    <xf numFmtId="0" fontId="27" fillId="0" borderId="43" xfId="6799" applyNumberFormat="1" applyFont="1" applyBorder="1" applyAlignment="1">
      <alignment vertical="center" wrapText="1"/>
    </xf>
    <xf numFmtId="0" fontId="85" fillId="0" borderId="43" xfId="6802" applyNumberFormat="1" applyFont="1" applyBorder="1" applyAlignment="1">
      <alignment vertical="center" wrapText="1"/>
    </xf>
    <xf numFmtId="0" fontId="86" fillId="0" borderId="1" xfId="0" applyNumberFormat="1" applyFont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/>
    </xf>
    <xf numFmtId="0" fontId="24" fillId="8" borderId="20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/>
    </xf>
    <xf numFmtId="49" fontId="88" fillId="0" borderId="43" xfId="0" applyNumberFormat="1" applyFont="1" applyFill="1" applyBorder="1">
      <alignment vertical="center"/>
    </xf>
    <xf numFmtId="0" fontId="86" fillId="0" borderId="43" xfId="0" applyFont="1" applyFill="1" applyBorder="1" applyAlignment="1">
      <alignment vertical="center" wrapText="1"/>
    </xf>
    <xf numFmtId="0" fontId="86" fillId="0" borderId="43" xfId="6795" applyNumberFormat="1" applyFont="1" applyBorder="1">
      <alignment vertical="center"/>
    </xf>
    <xf numFmtId="49" fontId="86" fillId="0" borderId="43" xfId="0" applyNumberFormat="1" applyFont="1" applyFill="1" applyBorder="1">
      <alignment vertical="center"/>
    </xf>
    <xf numFmtId="49" fontId="86" fillId="0" borderId="43" xfId="0" applyNumberFormat="1" applyFont="1" applyBorder="1" applyAlignment="1" applyProtection="1">
      <alignment horizontal="center" vertical="center"/>
    </xf>
    <xf numFmtId="49" fontId="86" fillId="0" borderId="43" xfId="0" applyNumberFormat="1" applyFont="1" applyBorder="1">
      <alignment vertical="center"/>
    </xf>
    <xf numFmtId="0" fontId="8" fillId="0" borderId="51" xfId="0" applyFont="1" applyBorder="1" applyAlignment="1">
      <alignment horizontal="left" vertical="center" indent="1"/>
    </xf>
    <xf numFmtId="0" fontId="8" fillId="0" borderId="51" xfId="0" applyFont="1" applyBorder="1" applyAlignment="1">
      <alignment horizontal="center" vertical="center"/>
    </xf>
    <xf numFmtId="0" fontId="26" fillId="8" borderId="51" xfId="0" applyFont="1" applyFill="1" applyBorder="1">
      <alignment vertical="center"/>
    </xf>
    <xf numFmtId="0" fontId="23" fillId="6" borderId="51" xfId="0" applyFont="1" applyFill="1" applyBorder="1">
      <alignment vertical="center"/>
    </xf>
    <xf numFmtId="0" fontId="8" fillId="0" borderId="52" xfId="0" applyFont="1" applyBorder="1">
      <alignment vertical="center"/>
    </xf>
    <xf numFmtId="0" fontId="8" fillId="0" borderId="54" xfId="0" applyFont="1" applyBorder="1">
      <alignment vertical="center"/>
    </xf>
    <xf numFmtId="0" fontId="8" fillId="0" borderId="56" xfId="0" applyFont="1" applyBorder="1" applyAlignment="1">
      <alignment horizontal="left" vertical="center" indent="1"/>
    </xf>
    <xf numFmtId="0" fontId="8" fillId="0" borderId="57" xfId="0" applyFont="1" applyBorder="1" applyAlignment="1">
      <alignment horizontal="center" vertical="center"/>
    </xf>
    <xf numFmtId="0" fontId="26" fillId="8" borderId="56" xfId="0" applyFont="1" applyFill="1" applyBorder="1">
      <alignment vertical="center"/>
    </xf>
    <xf numFmtId="0" fontId="23" fillId="6" borderId="56" xfId="0" applyFont="1" applyFill="1" applyBorder="1">
      <alignment vertical="center"/>
    </xf>
    <xf numFmtId="0" fontId="8" fillId="0" borderId="58" xfId="0" applyFont="1" applyBorder="1">
      <alignment vertical="center"/>
    </xf>
    <xf numFmtId="0" fontId="8" fillId="0" borderId="60" xfId="0" applyFont="1" applyBorder="1" applyAlignment="1">
      <alignment horizontal="left" vertical="center" indent="1"/>
    </xf>
    <xf numFmtId="0" fontId="8" fillId="0" borderId="60" xfId="0" applyFont="1" applyBorder="1" applyAlignment="1">
      <alignment horizontal="center" vertical="center"/>
    </xf>
    <xf numFmtId="0" fontId="26" fillId="8" borderId="60" xfId="0" applyFont="1" applyFill="1" applyBorder="1">
      <alignment vertical="center"/>
    </xf>
    <xf numFmtId="0" fontId="23" fillId="6" borderId="60" xfId="0" applyFont="1" applyFill="1" applyBorder="1">
      <alignment vertical="center"/>
    </xf>
    <xf numFmtId="0" fontId="8" fillId="0" borderId="61" xfId="0" applyFont="1" applyBorder="1">
      <alignment vertical="center"/>
    </xf>
    <xf numFmtId="0" fontId="27" fillId="0" borderId="43" xfId="6802" applyNumberFormat="1" applyFont="1" applyBorder="1" applyAlignment="1">
      <alignment vertical="center" wrapText="1"/>
    </xf>
    <xf numFmtId="0" fontId="8" fillId="0" borderId="57" xfId="0" applyFont="1" applyBorder="1" applyAlignment="1">
      <alignment horizontal="left" vertical="center" indent="1"/>
    </xf>
    <xf numFmtId="0" fontId="26" fillId="8" borderId="57" xfId="0" applyFont="1" applyFill="1" applyBorder="1">
      <alignment vertical="center"/>
    </xf>
    <xf numFmtId="0" fontId="23" fillId="6" borderId="57" xfId="0" applyFont="1" applyFill="1" applyBorder="1">
      <alignment vertical="center"/>
    </xf>
    <xf numFmtId="0" fontId="8" fillId="0" borderId="63" xfId="0" applyFont="1" applyBorder="1">
      <alignment vertical="center"/>
    </xf>
    <xf numFmtId="0" fontId="2" fillId="0" borderId="43" xfId="6801" applyNumberFormat="1" applyFont="1" applyBorder="1" applyAlignment="1">
      <alignment vertical="center" wrapText="1"/>
    </xf>
    <xf numFmtId="0" fontId="17" fillId="7" borderId="13" xfId="0" applyNumberFormat="1" applyFont="1" applyFill="1" applyBorder="1" applyAlignment="1">
      <alignment horizontal="center" vertical="center" wrapText="1"/>
    </xf>
    <xf numFmtId="0" fontId="17" fillId="7" borderId="13" xfId="0" applyNumberFormat="1" applyFont="1" applyFill="1" applyBorder="1" applyAlignment="1">
      <alignment horizontal="center" vertical="center"/>
    </xf>
    <xf numFmtId="0" fontId="19" fillId="0" borderId="17" xfId="0" applyNumberFormat="1" applyFont="1" applyBorder="1" applyAlignment="1">
      <alignment horizontal="center" vertical="center"/>
    </xf>
    <xf numFmtId="0" fontId="19" fillId="0" borderId="49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19" fillId="0" borderId="19" xfId="0" applyNumberFormat="1" applyFont="1" applyBorder="1" applyAlignment="1">
      <alignment horizontal="center" vertical="center"/>
    </xf>
    <xf numFmtId="0" fontId="19" fillId="0" borderId="11" xfId="0" applyNumberFormat="1" applyFont="1" applyBorder="1" applyAlignment="1">
      <alignment horizontal="center" vertical="center"/>
    </xf>
    <xf numFmtId="0" fontId="36" fillId="4" borderId="7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177" fontId="36" fillId="4" borderId="9" xfId="0" applyNumberFormat="1" applyFont="1" applyFill="1" applyBorder="1" applyAlignment="1">
      <alignment horizontal="center" vertical="center" wrapText="1"/>
    </xf>
    <xf numFmtId="177" fontId="36" fillId="4" borderId="10" xfId="0" applyNumberFormat="1" applyFont="1" applyFill="1" applyBorder="1" applyAlignment="1">
      <alignment horizontal="center" vertical="center" wrapText="1"/>
    </xf>
    <xf numFmtId="0" fontId="31" fillId="0" borderId="5" xfId="0" applyFont="1" applyBorder="1" applyAlignment="1">
      <alignment vertical="center" wrapText="1"/>
    </xf>
    <xf numFmtId="0" fontId="31" fillId="0" borderId="6" xfId="0" applyFont="1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vertical="center" wrapText="1"/>
    </xf>
    <xf numFmtId="0" fontId="34" fillId="0" borderId="1" xfId="0" applyFont="1" applyFill="1" applyBorder="1" applyAlignment="1">
      <alignment horizontal="center" vertical="center" wrapText="1"/>
    </xf>
    <xf numFmtId="41" fontId="34" fillId="0" borderId="1" xfId="6" applyFont="1" applyFill="1" applyBorder="1" applyAlignment="1">
      <alignment horizontal="center" vertical="center" wrapText="1"/>
    </xf>
    <xf numFmtId="176" fontId="34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4" fillId="0" borderId="20" xfId="0" applyFont="1" applyFill="1" applyBorder="1" applyAlignment="1">
      <alignment horizontal="center" vertical="center" wrapText="1"/>
    </xf>
    <xf numFmtId="0" fontId="34" fillId="0" borderId="2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 readingOrder="2"/>
    </xf>
    <xf numFmtId="0" fontId="31" fillId="6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left" vertical="center" wrapText="1" indent="1"/>
    </xf>
    <xf numFmtId="0" fontId="34" fillId="0" borderId="1" xfId="0" applyFont="1" applyFill="1" applyBorder="1" applyAlignment="1">
      <alignment horizontal="left" vertical="center" wrapText="1" indent="2"/>
    </xf>
    <xf numFmtId="0" fontId="34" fillId="2" borderId="1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wrapText="1"/>
    </xf>
    <xf numFmtId="14" fontId="8" fillId="0" borderId="50" xfId="0" applyNumberFormat="1" applyFont="1" applyBorder="1" applyAlignment="1">
      <alignment horizontal="left" vertical="center" indent="1"/>
    </xf>
    <xf numFmtId="14" fontId="8" fillId="0" borderId="53" xfId="0" applyNumberFormat="1" applyFont="1" applyBorder="1" applyAlignment="1">
      <alignment horizontal="left" vertical="center" indent="1"/>
    </xf>
    <xf numFmtId="14" fontId="8" fillId="0" borderId="55" xfId="0" applyNumberFormat="1" applyFont="1" applyBorder="1" applyAlignment="1">
      <alignment horizontal="left" vertical="center" indent="1"/>
    </xf>
    <xf numFmtId="14" fontId="8" fillId="0" borderId="59" xfId="0" applyNumberFormat="1" applyFont="1" applyBorder="1" applyAlignment="1">
      <alignment horizontal="left" vertical="center" indent="1"/>
    </xf>
    <xf numFmtId="14" fontId="8" fillId="0" borderId="62" xfId="0" applyNumberFormat="1" applyFont="1" applyBorder="1" applyAlignment="1">
      <alignment horizontal="left" vertical="center" indent="1"/>
    </xf>
    <xf numFmtId="14" fontId="8" fillId="0" borderId="53" xfId="0" applyNumberFormat="1" applyFont="1" applyBorder="1" applyAlignment="1">
      <alignment horizontal="left" vertical="center" indent="2"/>
    </xf>
    <xf numFmtId="14" fontId="8" fillId="0" borderId="16" xfId="0" applyNumberFormat="1" applyFont="1" applyBorder="1" applyAlignment="1">
      <alignment horizontal="left" vertical="center" indent="1"/>
    </xf>
    <xf numFmtId="14" fontId="8" fillId="0" borderId="13" xfId="0" applyNumberFormat="1" applyFont="1" applyBorder="1" applyAlignment="1">
      <alignment horizontal="left" vertical="center" indent="1"/>
    </xf>
    <xf numFmtId="14" fontId="8" fillId="0" borderId="16" xfId="0" applyNumberFormat="1" applyFont="1" applyFill="1" applyBorder="1" applyAlignment="1">
      <alignment horizontal="left" vertical="center" indent="1"/>
    </xf>
    <xf numFmtId="14" fontId="8" fillId="0" borderId="13" xfId="0" applyNumberFormat="1" applyFont="1" applyFill="1" applyBorder="1" applyAlignment="1">
      <alignment horizontal="left" vertical="center" indent="1"/>
    </xf>
    <xf numFmtId="0" fontId="1" fillId="0" borderId="43" xfId="6803" applyNumberFormat="1" applyFont="1" applyBorder="1" applyAlignment="1">
      <alignment vertical="center" wrapText="1"/>
    </xf>
    <xf numFmtId="14" fontId="8" fillId="0" borderId="64" xfId="0" applyNumberFormat="1" applyFont="1" applyBorder="1" applyAlignment="1">
      <alignment horizontal="left" vertical="center" indent="2"/>
    </xf>
    <xf numFmtId="0" fontId="8" fillId="0" borderId="14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center" vertical="center"/>
    </xf>
    <xf numFmtId="0" fontId="26" fillId="8" borderId="14" xfId="0" applyFont="1" applyFill="1" applyBorder="1">
      <alignment vertical="center"/>
    </xf>
    <xf numFmtId="0" fontId="23" fillId="6" borderId="14" xfId="0" applyFont="1" applyFill="1" applyBorder="1">
      <alignment vertical="center"/>
    </xf>
    <xf numFmtId="0" fontId="8" fillId="0" borderId="65" xfId="0" applyFont="1" applyBorder="1">
      <alignment vertical="center"/>
    </xf>
  </cellXfs>
  <cellStyles count="6805">
    <cellStyle name="20% - 강조색1 2" xfId="13"/>
    <cellStyle name="20% - 강조색1 2 2" xfId="3699"/>
    <cellStyle name="20% - 강조색1 2 3" xfId="3806"/>
    <cellStyle name="20% - 강조색1 3" xfId="3278"/>
    <cellStyle name="20% - 강조색1 3 2" xfId="3279"/>
    <cellStyle name="20% - 강조색1 3 2 2" xfId="3946"/>
    <cellStyle name="20% - 강조색1 3 2 3" xfId="3807"/>
    <cellStyle name="20% - 강조색1 4" xfId="3280"/>
    <cellStyle name="20% - 강조색1 4 2" xfId="3945"/>
    <cellStyle name="20% - 강조색1 4 3" xfId="3808"/>
    <cellStyle name="20% - 강조색1 5" xfId="3809"/>
    <cellStyle name="20% - 강조색1 6" xfId="3810"/>
    <cellStyle name="20% - 강조색1 7" xfId="3805"/>
    <cellStyle name="20% - 강조색2 2" xfId="15"/>
    <cellStyle name="20% - 강조색2 2 2" xfId="3700"/>
    <cellStyle name="20% - 강조색2 2 3" xfId="3812"/>
    <cellStyle name="20% - 강조색2 3" xfId="3281"/>
    <cellStyle name="20% - 강조색2 3 2" xfId="3282"/>
    <cellStyle name="20% - 강조색2 3 2 2" xfId="3947"/>
    <cellStyle name="20% - 강조색2 3 2 3" xfId="3813"/>
    <cellStyle name="20% - 강조색2 4" xfId="3283"/>
    <cellStyle name="20% - 강조색2 4 2" xfId="3944"/>
    <cellStyle name="20% - 강조색2 4 3" xfId="3814"/>
    <cellStyle name="20% - 강조색2 5" xfId="3815"/>
    <cellStyle name="20% - 강조색2 6" xfId="3816"/>
    <cellStyle name="20% - 강조색2 7" xfId="3811"/>
    <cellStyle name="20% - 강조색3 2" xfId="16"/>
    <cellStyle name="20% - 강조색3 2 2" xfId="3701"/>
    <cellStyle name="20% - 강조색3 2 3" xfId="3818"/>
    <cellStyle name="20% - 강조색3 3" xfId="3284"/>
    <cellStyle name="20% - 강조색3 3 2" xfId="3285"/>
    <cellStyle name="20% - 강조색3 3 2 2" xfId="3928"/>
    <cellStyle name="20% - 강조색3 3 2 3" xfId="3819"/>
    <cellStyle name="20% - 강조색3 4" xfId="3286"/>
    <cellStyle name="20% - 강조색3 4 2" xfId="3929"/>
    <cellStyle name="20% - 강조색3 4 3" xfId="3820"/>
    <cellStyle name="20% - 강조색3 5" xfId="3821"/>
    <cellStyle name="20% - 강조색3 6" xfId="3822"/>
    <cellStyle name="20% - 강조색3 7" xfId="3817"/>
    <cellStyle name="20% - 강조색4 2" xfId="17"/>
    <cellStyle name="20% - 강조색4 2 2" xfId="3702"/>
    <cellStyle name="20% - 강조색4 2 3" xfId="3824"/>
    <cellStyle name="20% - 강조색4 3" xfId="3287"/>
    <cellStyle name="20% - 강조색4 3 2" xfId="3288"/>
    <cellStyle name="20% - 강조색4 3 2 2" xfId="3943"/>
    <cellStyle name="20% - 강조색4 3 2 3" xfId="3825"/>
    <cellStyle name="20% - 강조색4 4" xfId="3289"/>
    <cellStyle name="20% - 강조색4 4 2" xfId="3942"/>
    <cellStyle name="20% - 강조색4 4 3" xfId="3826"/>
    <cellStyle name="20% - 강조색4 5" xfId="3827"/>
    <cellStyle name="20% - 강조색4 6" xfId="3828"/>
    <cellStyle name="20% - 강조색4 7" xfId="3823"/>
    <cellStyle name="20% - 강조색5 2" xfId="19"/>
    <cellStyle name="20% - 강조색5 2 2" xfId="3703"/>
    <cellStyle name="20% - 강조색5 3" xfId="3290"/>
    <cellStyle name="20% - 강조색5 3 2" xfId="3291"/>
    <cellStyle name="20% - 강조색5 4" xfId="3292"/>
    <cellStyle name="20% - 강조색5 5" xfId="3829"/>
    <cellStyle name="20% - 강조색5 6" xfId="3830"/>
    <cellStyle name="20% - 강조색6 2" xfId="18"/>
    <cellStyle name="20% - 강조색6 2 2" xfId="3704"/>
    <cellStyle name="20% - 강조색6 3" xfId="3293"/>
    <cellStyle name="20% - 강조색6 3 2" xfId="3294"/>
    <cellStyle name="20% - 강조색6 4" xfId="3295"/>
    <cellStyle name="20% - 강조색6 5" xfId="3831"/>
    <cellStyle name="20% - 강조색6 6" xfId="3832"/>
    <cellStyle name="40% - 강조색1 2" xfId="14"/>
    <cellStyle name="40% - 강조색1 2 2" xfId="3705"/>
    <cellStyle name="40% - 강조색1 3" xfId="3296"/>
    <cellStyle name="40% - 강조색1 3 2" xfId="3297"/>
    <cellStyle name="40% - 강조색1 4" xfId="3298"/>
    <cellStyle name="40% - 강조색1 5" xfId="3833"/>
    <cellStyle name="40% - 강조색1 6" xfId="3834"/>
    <cellStyle name="40% - 강조색2 2" xfId="20"/>
    <cellStyle name="40% - 강조색2 2 2" xfId="3706"/>
    <cellStyle name="40% - 강조색2 3" xfId="3299"/>
    <cellStyle name="40% - 강조색2 3 2" xfId="3300"/>
    <cellStyle name="40% - 강조색2 4" xfId="3301"/>
    <cellStyle name="40% - 강조색2 5" xfId="3835"/>
    <cellStyle name="40% - 강조색2 6" xfId="3836"/>
    <cellStyle name="40% - 강조색3 2" xfId="21"/>
    <cellStyle name="40% - 강조색3 2 2" xfId="3707"/>
    <cellStyle name="40% - 강조색3 2 3" xfId="3838"/>
    <cellStyle name="40% - 강조색3 3" xfId="3302"/>
    <cellStyle name="40% - 강조색3 3 2" xfId="3303"/>
    <cellStyle name="40% - 강조색3 3 2 2" xfId="3941"/>
    <cellStyle name="40% - 강조색3 3 2 3" xfId="3839"/>
    <cellStyle name="40% - 강조색3 4" xfId="3304"/>
    <cellStyle name="40% - 강조색3 4 2" xfId="3940"/>
    <cellStyle name="40% - 강조색3 4 3" xfId="3840"/>
    <cellStyle name="40% - 강조색3 5" xfId="3841"/>
    <cellStyle name="40% - 강조색3 6" xfId="3842"/>
    <cellStyle name="40% - 강조색3 7" xfId="3837"/>
    <cellStyle name="40% - 강조색4 2" xfId="22"/>
    <cellStyle name="40% - 강조색4 2 2" xfId="3708"/>
    <cellStyle name="40% - 강조색4 3" xfId="3305"/>
    <cellStyle name="40% - 강조색4 3 2" xfId="3306"/>
    <cellStyle name="40% - 강조색4 4" xfId="3307"/>
    <cellStyle name="40% - 강조색4 5" xfId="3843"/>
    <cellStyle name="40% - 강조색4 6" xfId="3844"/>
    <cellStyle name="40% - 강조색5 2" xfId="23"/>
    <cellStyle name="40% - 강조색5 2 2" xfId="3709"/>
    <cellStyle name="40% - 강조색5 3" xfId="3308"/>
    <cellStyle name="40% - 강조색5 3 2" xfId="3309"/>
    <cellStyle name="40% - 강조색5 4" xfId="3310"/>
    <cellStyle name="40% - 강조색5 5" xfId="3845"/>
    <cellStyle name="40% - 강조색5 6" xfId="3846"/>
    <cellStyle name="40% - 강조색6 2" xfId="24"/>
    <cellStyle name="40% - 강조색6 2 2" xfId="3710"/>
    <cellStyle name="40% - 강조색6 3" xfId="3311"/>
    <cellStyle name="40% - 강조색6 3 2" xfId="3312"/>
    <cellStyle name="40% - 강조색6 4" xfId="3313"/>
    <cellStyle name="40% - 강조색6 5" xfId="3847"/>
    <cellStyle name="40% - 강조색6 6" xfId="3848"/>
    <cellStyle name="60% - 강조색1 2" xfId="25"/>
    <cellStyle name="60% - 강조색1 2 2" xfId="3711"/>
    <cellStyle name="60% - 강조색1 3" xfId="3314"/>
    <cellStyle name="60% - 강조색1 3 2" xfId="3315"/>
    <cellStyle name="60% - 강조색1 4" xfId="3316"/>
    <cellStyle name="60% - 강조색1 5" xfId="3849"/>
    <cellStyle name="60% - 강조색1 6" xfId="3850"/>
    <cellStyle name="60% - 강조색2 2" xfId="26"/>
    <cellStyle name="60% - 강조색2 2 2" xfId="3712"/>
    <cellStyle name="60% - 강조색2 3" xfId="3317"/>
    <cellStyle name="60% - 강조색2 3 2" xfId="3318"/>
    <cellStyle name="60% - 강조색2 4" xfId="3319"/>
    <cellStyle name="60% - 강조색2 5" xfId="3851"/>
    <cellStyle name="60% - 강조색2 6" xfId="3852"/>
    <cellStyle name="60% - 강조색3 2" xfId="27"/>
    <cellStyle name="60% - 강조색3 2 2" xfId="3713"/>
    <cellStyle name="60% - 강조색3 2 3" xfId="3854"/>
    <cellStyle name="60% - 강조색3 3" xfId="3320"/>
    <cellStyle name="60% - 강조색3 3 2" xfId="3321"/>
    <cellStyle name="60% - 강조색3 3 2 2" xfId="3933"/>
    <cellStyle name="60% - 강조색3 3 2 3" xfId="3855"/>
    <cellStyle name="60% - 강조색3 4" xfId="3322"/>
    <cellStyle name="60% - 강조색3 4 2" xfId="3938"/>
    <cellStyle name="60% - 강조색3 4 3" xfId="3856"/>
    <cellStyle name="60% - 강조색3 5" xfId="3857"/>
    <cellStyle name="60% - 강조색3 6" xfId="3858"/>
    <cellStyle name="60% - 강조색3 7" xfId="3853"/>
    <cellStyle name="60% - 강조색4 2" xfId="28"/>
    <cellStyle name="60% - 강조색4 2 2" xfId="3714"/>
    <cellStyle name="60% - 강조색4 2 3" xfId="3860"/>
    <cellStyle name="60% - 강조색4 3" xfId="3323"/>
    <cellStyle name="60% - 강조색4 3 2" xfId="3324"/>
    <cellStyle name="60% - 강조색4 3 2 2" xfId="3930"/>
    <cellStyle name="60% - 강조색4 3 2 3" xfId="3861"/>
    <cellStyle name="60% - 강조색4 4" xfId="3325"/>
    <cellStyle name="60% - 강조색4 4 2" xfId="3939"/>
    <cellStyle name="60% - 강조색4 4 3" xfId="3862"/>
    <cellStyle name="60% - 강조색4 5" xfId="3863"/>
    <cellStyle name="60% - 강조색4 6" xfId="3864"/>
    <cellStyle name="60% - 강조색4 7" xfId="3859"/>
    <cellStyle name="60% - 강조색5 2" xfId="29"/>
    <cellStyle name="60% - 강조색5 2 2" xfId="3715"/>
    <cellStyle name="60% - 강조색5 3" xfId="3326"/>
    <cellStyle name="60% - 강조색5 3 2" xfId="3327"/>
    <cellStyle name="60% - 강조색5 4" xfId="3328"/>
    <cellStyle name="60% - 강조색5 5" xfId="3865"/>
    <cellStyle name="60% - 강조색5 6" xfId="3866"/>
    <cellStyle name="60% - 강조색6 2" xfId="30"/>
    <cellStyle name="60% - 강조색6 2 2" xfId="3716"/>
    <cellStyle name="60% - 강조색6 2 3" xfId="3868"/>
    <cellStyle name="60% - 강조색6 3" xfId="3329"/>
    <cellStyle name="60% - 강조색6 3 2" xfId="3330"/>
    <cellStyle name="60% - 강조색6 3 2 2" xfId="3932"/>
    <cellStyle name="60% - 강조색6 3 2 3" xfId="3869"/>
    <cellStyle name="60% - 강조색6 4" xfId="3331"/>
    <cellStyle name="60% - 강조색6 4 2" xfId="3931"/>
    <cellStyle name="60% - 강조색6 4 3" xfId="3870"/>
    <cellStyle name="60% - 강조색6 5" xfId="3871"/>
    <cellStyle name="60% - 강조색6 6" xfId="3872"/>
    <cellStyle name="60% - 강조색6 7" xfId="3867"/>
    <cellStyle name="7" xfId="3270"/>
    <cellStyle name="7 2" xfId="3271"/>
    <cellStyle name="7 3" xfId="3332"/>
    <cellStyle name="category" xfId="3717"/>
    <cellStyle name="Comma [0]_ SG&amp;A Bridge " xfId="3718"/>
    <cellStyle name="comma zerodec" xfId="3719"/>
    <cellStyle name="Comma_ SG&amp;A Bridge " xfId="3720"/>
    <cellStyle name="Currency [0]_ SG&amp;A Bridge " xfId="3721"/>
    <cellStyle name="Currency_ SG&amp;A Bridge " xfId="3722"/>
    <cellStyle name="Currency1" xfId="3723"/>
    <cellStyle name="Dollar (zero dec)" xfId="3724"/>
    <cellStyle name="Grey" xfId="3725"/>
    <cellStyle name="HEADER" xfId="3726"/>
    <cellStyle name="Header1" xfId="3727"/>
    <cellStyle name="Header2" xfId="3728"/>
    <cellStyle name="Header2 2" xfId="6639"/>
    <cellStyle name="Input [yellow]" xfId="3729"/>
    <cellStyle name="Input [yellow] 2" xfId="6501"/>
    <cellStyle name="Model" xfId="3730"/>
    <cellStyle name="Normal - Style1" xfId="3731"/>
    <cellStyle name="Normal_ SG&amp;A Bridge " xfId="3732"/>
    <cellStyle name="Percent [2]" xfId="3733"/>
    <cellStyle name="subhead" xfId="3734"/>
    <cellStyle name="강조색1 2" xfId="31"/>
    <cellStyle name="강조색1 2 2" xfId="3735"/>
    <cellStyle name="강조색1 3" xfId="3333"/>
    <cellStyle name="강조색1 3 2" xfId="3334"/>
    <cellStyle name="강조색1 4" xfId="3335"/>
    <cellStyle name="강조색1 5" xfId="3873"/>
    <cellStyle name="강조색1 6" xfId="3874"/>
    <cellStyle name="강조색2 2" xfId="32"/>
    <cellStyle name="강조색2 2 2" xfId="3736"/>
    <cellStyle name="강조색2 3" xfId="3336"/>
    <cellStyle name="강조색2 3 2" xfId="3337"/>
    <cellStyle name="강조색2 4" xfId="3338"/>
    <cellStyle name="강조색2 5" xfId="3875"/>
    <cellStyle name="강조색2 6" xfId="3876"/>
    <cellStyle name="강조색3 2" xfId="33"/>
    <cellStyle name="강조색3 2 2" xfId="3737"/>
    <cellStyle name="강조색3 3" xfId="3339"/>
    <cellStyle name="강조색3 3 2" xfId="3340"/>
    <cellStyle name="강조색3 4" xfId="3341"/>
    <cellStyle name="강조색3 5" xfId="3877"/>
    <cellStyle name="강조색3 6" xfId="3878"/>
    <cellStyle name="강조색4 2" xfId="34"/>
    <cellStyle name="강조색4 2 2" xfId="3738"/>
    <cellStyle name="강조색4 3" xfId="3342"/>
    <cellStyle name="강조색4 3 2" xfId="3343"/>
    <cellStyle name="강조색4 4" xfId="3344"/>
    <cellStyle name="강조색4 5" xfId="3879"/>
    <cellStyle name="강조색4 6" xfId="3880"/>
    <cellStyle name="강조색5 2" xfId="35"/>
    <cellStyle name="강조색5 2 2" xfId="3739"/>
    <cellStyle name="강조색5 3" xfId="3345"/>
    <cellStyle name="강조색5 3 2" xfId="3346"/>
    <cellStyle name="강조색5 4" xfId="3347"/>
    <cellStyle name="강조색5 5" xfId="3881"/>
    <cellStyle name="강조색5 6" xfId="3882"/>
    <cellStyle name="강조색6 2" xfId="36"/>
    <cellStyle name="강조색6 2 2" xfId="3740"/>
    <cellStyle name="강조색6 3" xfId="3348"/>
    <cellStyle name="강조색6 3 2" xfId="3349"/>
    <cellStyle name="강조색6 4" xfId="3350"/>
    <cellStyle name="강조색6 5" xfId="3883"/>
    <cellStyle name="강조색6 6" xfId="3884"/>
    <cellStyle name="경고문 2" xfId="37"/>
    <cellStyle name="경고문 2 2" xfId="3741"/>
    <cellStyle name="경고문 3" xfId="3351"/>
    <cellStyle name="경고문 3 2" xfId="3352"/>
    <cellStyle name="경고문 4" xfId="3353"/>
    <cellStyle name="경고문 5" xfId="3885"/>
    <cellStyle name="경고문 6" xfId="3886"/>
    <cellStyle name="계산 2" xfId="38"/>
    <cellStyle name="계산 2 2" xfId="3742"/>
    <cellStyle name="계산 3" xfId="3354"/>
    <cellStyle name="계산 3 2" xfId="3355"/>
    <cellStyle name="계산 3 3" xfId="3356"/>
    <cellStyle name="계산 3 3 2" xfId="3357"/>
    <cellStyle name="계산 3 3 2 2" xfId="3358"/>
    <cellStyle name="계산 3 3 2 2 2" xfId="6014"/>
    <cellStyle name="계산 3 3 2 2 2 2" xfId="6540"/>
    <cellStyle name="계산 3 3 2 2 3" xfId="6770"/>
    <cellStyle name="계산 3 3 2 3" xfId="6015"/>
    <cellStyle name="계산 3 3 2 3 2" xfId="6539"/>
    <cellStyle name="계산 3 3 2 4" xfId="6771"/>
    <cellStyle name="계산 3 3 3" xfId="3359"/>
    <cellStyle name="계산 3 3 3 2" xfId="6013"/>
    <cellStyle name="계산 3 3 3 2 2" xfId="6541"/>
    <cellStyle name="계산 3 3 3 3" xfId="6769"/>
    <cellStyle name="계산 3 3 4" xfId="6016"/>
    <cellStyle name="계산 3 3 4 2" xfId="6538"/>
    <cellStyle name="계산 3 3 5" xfId="6772"/>
    <cellStyle name="계산 3 4" xfId="3360"/>
    <cellStyle name="계산 3 4 2" xfId="3361"/>
    <cellStyle name="계산 3 4 2 2" xfId="6011"/>
    <cellStyle name="계산 3 4 2 2 2" xfId="6543"/>
    <cellStyle name="계산 3 4 2 3" xfId="6780"/>
    <cellStyle name="계산 3 4 3" xfId="6012"/>
    <cellStyle name="계산 3 4 3 2" xfId="6542"/>
    <cellStyle name="계산 3 4 4" xfId="6781"/>
    <cellStyle name="계산 3 5" xfId="3362"/>
    <cellStyle name="계산 3 5 2" xfId="6010"/>
    <cellStyle name="계산 3 5 2 2" xfId="6544"/>
    <cellStyle name="계산 3 5 3" xfId="6768"/>
    <cellStyle name="계산 3 6" xfId="6017"/>
    <cellStyle name="계산 3 6 2" xfId="6537"/>
    <cellStyle name="계산 3 7" xfId="6773"/>
    <cellStyle name="계산 4" xfId="3363"/>
    <cellStyle name="계산 4 2" xfId="3364"/>
    <cellStyle name="계산 4 2 2" xfId="3365"/>
    <cellStyle name="계산 4 2 2 2" xfId="3366"/>
    <cellStyle name="계산 4 2 2 2 2" xfId="6006"/>
    <cellStyle name="계산 4 2 2 2 2 2" xfId="6546"/>
    <cellStyle name="계산 4 2 2 2 3" xfId="6764"/>
    <cellStyle name="계산 4 2 2 3" xfId="6007"/>
    <cellStyle name="계산 4 2 2 3 2" xfId="6545"/>
    <cellStyle name="계산 4 2 2 4" xfId="6765"/>
    <cellStyle name="계산 4 2 3" xfId="3367"/>
    <cellStyle name="계산 4 2 3 2" xfId="6005"/>
    <cellStyle name="계산 4 2 3 2 2" xfId="6547"/>
    <cellStyle name="계산 4 2 3 3" xfId="6763"/>
    <cellStyle name="계산 4 2 4" xfId="6008"/>
    <cellStyle name="계산 4 2 4 2" xfId="6786"/>
    <cellStyle name="계산 4 2 5" xfId="6766"/>
    <cellStyle name="계산 4 3" xfId="3368"/>
    <cellStyle name="계산 4 3 2" xfId="3369"/>
    <cellStyle name="계산 4 3 2 2" xfId="6003"/>
    <cellStyle name="계산 4 3 2 2 2" xfId="6549"/>
    <cellStyle name="계산 4 3 2 3" xfId="6761"/>
    <cellStyle name="계산 4 3 3" xfId="6004"/>
    <cellStyle name="계산 4 3 3 2" xfId="6548"/>
    <cellStyle name="계산 4 3 4" xfId="6762"/>
    <cellStyle name="계산 4 4" xfId="3370"/>
    <cellStyle name="계산 4 4 2" xfId="6002"/>
    <cellStyle name="계산 4 4 2 2" xfId="6550"/>
    <cellStyle name="계산 4 4 3" xfId="6760"/>
    <cellStyle name="계산 4 5" xfId="6009"/>
    <cellStyle name="계산 4 5 2" xfId="6775"/>
    <cellStyle name="계산 4 6" xfId="6767"/>
    <cellStyle name="계산 5" xfId="3371"/>
    <cellStyle name="계산 5 2" xfId="3372"/>
    <cellStyle name="계산 5 2 2" xfId="3373"/>
    <cellStyle name="계산 5 2 2 2" xfId="3374"/>
    <cellStyle name="계산 5 2 2 2 2" xfId="5998"/>
    <cellStyle name="계산 5 2 2 2 2 2" xfId="6554"/>
    <cellStyle name="계산 5 2 2 2 3" xfId="6756"/>
    <cellStyle name="계산 5 2 2 3" xfId="5999"/>
    <cellStyle name="계산 5 2 2 3 2" xfId="6553"/>
    <cellStyle name="계산 5 2 2 4" xfId="6757"/>
    <cellStyle name="계산 5 2 3" xfId="3375"/>
    <cellStyle name="계산 5 2 3 2" xfId="5997"/>
    <cellStyle name="계산 5 2 3 2 2" xfId="6555"/>
    <cellStyle name="계산 5 2 3 3" xfId="6755"/>
    <cellStyle name="계산 5 2 4" xfId="6000"/>
    <cellStyle name="계산 5 2 4 2" xfId="6552"/>
    <cellStyle name="계산 5 2 5" xfId="6758"/>
    <cellStyle name="계산 5 3" xfId="3376"/>
    <cellStyle name="계산 5 3 2" xfId="3377"/>
    <cellStyle name="계산 5 3 2 2" xfId="5995"/>
    <cellStyle name="계산 5 3 2 2 2" xfId="6557"/>
    <cellStyle name="계산 5 3 2 3" xfId="6753"/>
    <cellStyle name="계산 5 3 3" xfId="5996"/>
    <cellStyle name="계산 5 3 3 2" xfId="6556"/>
    <cellStyle name="계산 5 3 4" xfId="6754"/>
    <cellStyle name="계산 5 4" xfId="3378"/>
    <cellStyle name="계산 5 4 2" xfId="5994"/>
    <cellStyle name="계산 5 4 2 2" xfId="6558"/>
    <cellStyle name="계산 5 4 3" xfId="6752"/>
    <cellStyle name="계산 5 5" xfId="6001"/>
    <cellStyle name="계산 5 5 2" xfId="6551"/>
    <cellStyle name="계산 5 6" xfId="6759"/>
    <cellStyle name="계산 6" xfId="3379"/>
    <cellStyle name="계산 7" xfId="3887"/>
    <cellStyle name="계산 8" xfId="3888"/>
    <cellStyle name="나쁨 2" xfId="39"/>
    <cellStyle name="나쁨 2 2" xfId="3743"/>
    <cellStyle name="나쁨 3" xfId="3380"/>
    <cellStyle name="나쁨 3 2" xfId="3381"/>
    <cellStyle name="나쁨 4" xfId="3382"/>
    <cellStyle name="나쁨 5" xfId="3889"/>
    <cellStyle name="나쁨 6" xfId="3890"/>
    <cellStyle name="메모 10" xfId="3891"/>
    <cellStyle name="메모 11" xfId="3892"/>
    <cellStyle name="메모 2" xfId="41"/>
    <cellStyle name="메모 2 2" xfId="42"/>
    <cellStyle name="메모 2 3" xfId="43"/>
    <cellStyle name="메모 2 3 2" xfId="3255"/>
    <cellStyle name="메모 2 3 3" xfId="3574"/>
    <cellStyle name="메모 2 4" xfId="3383"/>
    <cellStyle name="메모 2 5" xfId="3384"/>
    <cellStyle name="메모 2 5 2" xfId="3385"/>
    <cellStyle name="메모 2 5 3" xfId="3744"/>
    <cellStyle name="메모 2 6" xfId="3386"/>
    <cellStyle name="메모 2 7" xfId="3745"/>
    <cellStyle name="메모 3" xfId="40"/>
    <cellStyle name="메모 3 2" xfId="3387"/>
    <cellStyle name="메모 3 3" xfId="3746"/>
    <cellStyle name="메모 4" xfId="3388"/>
    <cellStyle name="메모 4 2" xfId="3389"/>
    <cellStyle name="메모 5" xfId="3390"/>
    <cellStyle name="메모 5 2" xfId="3391"/>
    <cellStyle name="메모 5 2 2" xfId="3392"/>
    <cellStyle name="메모 5 3" xfId="3393"/>
    <cellStyle name="메모 5 3 2" xfId="3394"/>
    <cellStyle name="메모 5 3 2 2" xfId="3395"/>
    <cellStyle name="메모 5 3 2 2 2" xfId="5990"/>
    <cellStyle name="메모 5 3 2 2 2 2" xfId="6562"/>
    <cellStyle name="메모 5 3 2 2 3" xfId="6748"/>
    <cellStyle name="메모 5 3 2 3" xfId="5991"/>
    <cellStyle name="메모 5 3 2 3 2" xfId="6561"/>
    <cellStyle name="메모 5 3 2 4" xfId="6749"/>
    <cellStyle name="메모 5 3 3" xfId="3396"/>
    <cellStyle name="메모 5 3 3 2" xfId="5989"/>
    <cellStyle name="메모 5 3 3 2 2" xfId="6563"/>
    <cellStyle name="메모 5 3 3 3" xfId="6747"/>
    <cellStyle name="메모 5 3 4" xfId="5992"/>
    <cellStyle name="메모 5 3 4 2" xfId="6560"/>
    <cellStyle name="메모 5 3 5" xfId="6750"/>
    <cellStyle name="메모 5 4" xfId="3397"/>
    <cellStyle name="메모 5 4 2" xfId="3398"/>
    <cellStyle name="메모 5 4 2 2" xfId="5987"/>
    <cellStyle name="메모 5 4 2 2 2" xfId="6565"/>
    <cellStyle name="메모 5 4 2 3" xfId="6745"/>
    <cellStyle name="메모 5 4 3" xfId="5988"/>
    <cellStyle name="메모 5 4 3 2" xfId="6564"/>
    <cellStyle name="메모 5 4 4" xfId="6746"/>
    <cellStyle name="메모 5 5" xfId="3399"/>
    <cellStyle name="메모 5 5 2" xfId="5986"/>
    <cellStyle name="메모 5 5 2 2" xfId="6566"/>
    <cellStyle name="메모 5 5 3" xfId="6744"/>
    <cellStyle name="메모 5 6" xfId="3893"/>
    <cellStyle name="메모 5 6 2" xfId="3894"/>
    <cellStyle name="메모 5 7" xfId="5993"/>
    <cellStyle name="메모 5 7 2" xfId="6559"/>
    <cellStyle name="메모 5 8" xfId="6751"/>
    <cellStyle name="메모 6" xfId="3400"/>
    <cellStyle name="메모 6 2" xfId="3401"/>
    <cellStyle name="메모 6 2 2" xfId="3402"/>
    <cellStyle name="메모 6 3" xfId="3403"/>
    <cellStyle name="메모 6 3 2" xfId="3404"/>
    <cellStyle name="메모 6 3 2 2" xfId="3405"/>
    <cellStyle name="메모 6 3 2 2 2" xfId="5982"/>
    <cellStyle name="메모 6 3 2 2 2 2" xfId="6570"/>
    <cellStyle name="메모 6 3 2 2 3" xfId="6740"/>
    <cellStyle name="메모 6 3 2 3" xfId="5983"/>
    <cellStyle name="메모 6 3 2 3 2" xfId="6569"/>
    <cellStyle name="메모 6 3 2 4" xfId="6741"/>
    <cellStyle name="메모 6 3 3" xfId="3406"/>
    <cellStyle name="메모 6 3 3 2" xfId="5981"/>
    <cellStyle name="메모 6 3 3 2 2" xfId="6571"/>
    <cellStyle name="메모 6 3 3 3" xfId="6739"/>
    <cellStyle name="메모 6 3 4" xfId="5984"/>
    <cellStyle name="메모 6 3 4 2" xfId="6568"/>
    <cellStyle name="메모 6 3 5" xfId="6742"/>
    <cellStyle name="메모 6 4" xfId="3407"/>
    <cellStyle name="메모 6 4 2" xfId="3408"/>
    <cellStyle name="메모 6 4 2 2" xfId="5979"/>
    <cellStyle name="메모 6 4 2 2 2" xfId="6573"/>
    <cellStyle name="메모 6 4 2 3" xfId="6737"/>
    <cellStyle name="메모 6 4 3" xfId="5980"/>
    <cellStyle name="메모 6 4 3 2" xfId="6572"/>
    <cellStyle name="메모 6 4 4" xfId="6738"/>
    <cellStyle name="메모 6 5" xfId="3409"/>
    <cellStyle name="메모 6 5 2" xfId="5978"/>
    <cellStyle name="메모 6 5 2 2" xfId="6574"/>
    <cellStyle name="메모 6 5 3" xfId="6736"/>
    <cellStyle name="메모 6 6" xfId="3895"/>
    <cellStyle name="메모 6 6 2" xfId="3896"/>
    <cellStyle name="메모 6 7" xfId="5985"/>
    <cellStyle name="메모 6 7 2" xfId="6567"/>
    <cellStyle name="메모 6 8" xfId="6743"/>
    <cellStyle name="메모 7" xfId="3410"/>
    <cellStyle name="메모 7 2" xfId="3411"/>
    <cellStyle name="메모 7 2 2" xfId="3412"/>
    <cellStyle name="메모 7 2 2 2" xfId="3413"/>
    <cellStyle name="메모 7 2 2 2 2" xfId="5974"/>
    <cellStyle name="메모 7 2 2 2 2 2" xfId="6578"/>
    <cellStyle name="메모 7 2 2 2 3" xfId="6732"/>
    <cellStyle name="메모 7 2 2 3" xfId="5975"/>
    <cellStyle name="메모 7 2 2 3 2" xfId="6577"/>
    <cellStyle name="메모 7 2 2 4" xfId="6733"/>
    <cellStyle name="메모 7 2 3" xfId="3414"/>
    <cellStyle name="메모 7 2 3 2" xfId="5973"/>
    <cellStyle name="메모 7 2 3 2 2" xfId="6579"/>
    <cellStyle name="메모 7 2 3 3" xfId="6731"/>
    <cellStyle name="메모 7 2 4" xfId="5976"/>
    <cellStyle name="메모 7 2 4 2" xfId="6576"/>
    <cellStyle name="메모 7 2 5" xfId="6734"/>
    <cellStyle name="메모 7 3" xfId="3415"/>
    <cellStyle name="메모 7 3 2" xfId="3416"/>
    <cellStyle name="메모 7 3 2 2" xfId="5971"/>
    <cellStyle name="메모 7 3 2 2 2" xfId="6581"/>
    <cellStyle name="메모 7 3 2 3" xfId="6729"/>
    <cellStyle name="메모 7 3 3" xfId="5972"/>
    <cellStyle name="메모 7 3 3 2" xfId="6580"/>
    <cellStyle name="메모 7 3 4" xfId="6730"/>
    <cellStyle name="메모 7 4" xfId="3417"/>
    <cellStyle name="메모 7 4 2" xfId="6126"/>
    <cellStyle name="메모 7 4 2 2" xfId="6787"/>
    <cellStyle name="메모 7 4 3" xfId="6728"/>
    <cellStyle name="메모 7 5" xfId="5977"/>
    <cellStyle name="메모 7 5 2" xfId="6575"/>
    <cellStyle name="메모 7 6" xfId="6735"/>
    <cellStyle name="메모 8" xfId="3418"/>
    <cellStyle name="메모 8 2" xfId="3419"/>
    <cellStyle name="메모 9" xfId="3420"/>
    <cellStyle name="보통 2" xfId="44"/>
    <cellStyle name="보통 2 2" xfId="3747"/>
    <cellStyle name="보통 3" xfId="3421"/>
    <cellStyle name="보통 3 2" xfId="3422"/>
    <cellStyle name="보통 4" xfId="3423"/>
    <cellStyle name="보통 5" xfId="3897"/>
    <cellStyle name="보통 6" xfId="3898"/>
    <cellStyle name="뷭?_BOOKSHIP" xfId="3748"/>
    <cellStyle name="설명 텍스트 2" xfId="45"/>
    <cellStyle name="설명 텍스트 2 2" xfId="3749"/>
    <cellStyle name="설명 텍스트 3" xfId="3424"/>
    <cellStyle name="설명 텍스트 3 2" xfId="3425"/>
    <cellStyle name="설명 텍스트 4" xfId="3426"/>
    <cellStyle name="설명 텍스트 5" xfId="3899"/>
    <cellStyle name="설명 텍스트 6" xfId="3900"/>
    <cellStyle name="셀 확인 2" xfId="46"/>
    <cellStyle name="셀 확인 2 2" xfId="3750"/>
    <cellStyle name="셀 확인 3" xfId="3427"/>
    <cellStyle name="셀 확인 3 2" xfId="3428"/>
    <cellStyle name="셀 확인 4" xfId="3429"/>
    <cellStyle name="셀 확인 5" xfId="3901"/>
    <cellStyle name="셀 확인 6" xfId="3902"/>
    <cellStyle name="쉼표 [0]" xfId="6" builtinId="6"/>
    <cellStyle name="쉼표 [0] 2" xfId="47"/>
    <cellStyle name="쉼표 [0] 2 10" xfId="48"/>
    <cellStyle name="쉼표 [0] 2 10 10" xfId="49"/>
    <cellStyle name="쉼표 [0] 2 10 10 2" xfId="50"/>
    <cellStyle name="쉼표 [0] 2 10 10 3" xfId="51"/>
    <cellStyle name="쉼표 [0] 2 10 11" xfId="52"/>
    <cellStyle name="쉼표 [0] 2 10 11 2" xfId="53"/>
    <cellStyle name="쉼표 [0] 2 10 11 3" xfId="54"/>
    <cellStyle name="쉼표 [0] 2 10 12" xfId="55"/>
    <cellStyle name="쉼표 [0] 2 10 12 2" xfId="56"/>
    <cellStyle name="쉼표 [0] 2 10 12 3" xfId="57"/>
    <cellStyle name="쉼표 [0] 2 10 13" xfId="58"/>
    <cellStyle name="쉼표 [0] 2 10 13 2" xfId="59"/>
    <cellStyle name="쉼표 [0] 2 10 13 3" xfId="60"/>
    <cellStyle name="쉼표 [0] 2 10 14" xfId="61"/>
    <cellStyle name="쉼표 [0] 2 10 15" xfId="62"/>
    <cellStyle name="쉼표 [0] 2 10 16" xfId="3995"/>
    <cellStyle name="쉼표 [0] 2 10 17" xfId="4511"/>
    <cellStyle name="쉼표 [0] 2 10 2" xfId="63"/>
    <cellStyle name="쉼표 [0] 2 10 2 2" xfId="64"/>
    <cellStyle name="쉼표 [0] 2 10 2 3" xfId="65"/>
    <cellStyle name="쉼표 [0] 2 10 3" xfId="66"/>
    <cellStyle name="쉼표 [0] 2 10 3 2" xfId="67"/>
    <cellStyle name="쉼표 [0] 2 10 3 3" xfId="68"/>
    <cellStyle name="쉼표 [0] 2 10 4" xfId="69"/>
    <cellStyle name="쉼표 [0] 2 10 4 2" xfId="70"/>
    <cellStyle name="쉼표 [0] 2 10 4 3" xfId="71"/>
    <cellStyle name="쉼표 [0] 2 10 5" xfId="72"/>
    <cellStyle name="쉼표 [0] 2 10 5 2" xfId="73"/>
    <cellStyle name="쉼표 [0] 2 10 5 3" xfId="74"/>
    <cellStyle name="쉼표 [0] 2 10 6" xfId="75"/>
    <cellStyle name="쉼표 [0] 2 10 6 2" xfId="76"/>
    <cellStyle name="쉼표 [0] 2 10 6 3" xfId="77"/>
    <cellStyle name="쉼표 [0] 2 10 7" xfId="78"/>
    <cellStyle name="쉼표 [0] 2 10 7 2" xfId="79"/>
    <cellStyle name="쉼표 [0] 2 10 7 3" xfId="80"/>
    <cellStyle name="쉼표 [0] 2 10 8" xfId="81"/>
    <cellStyle name="쉼표 [0] 2 10 8 2" xfId="82"/>
    <cellStyle name="쉼표 [0] 2 10 8 3" xfId="83"/>
    <cellStyle name="쉼표 [0] 2 10 9" xfId="84"/>
    <cellStyle name="쉼표 [0] 2 10 9 2" xfId="85"/>
    <cellStyle name="쉼표 [0] 2 10 9 3" xfId="86"/>
    <cellStyle name="쉼표 [0] 2 100" xfId="87"/>
    <cellStyle name="쉼표 [0] 2 100 2" xfId="88"/>
    <cellStyle name="쉼표 [0] 2 100 3" xfId="89"/>
    <cellStyle name="쉼표 [0] 2 101" xfId="90"/>
    <cellStyle name="쉼표 [0] 2 101 2" xfId="91"/>
    <cellStyle name="쉼표 [0] 2 101 3" xfId="92"/>
    <cellStyle name="쉼표 [0] 2 102" xfId="93"/>
    <cellStyle name="쉼표 [0] 2 102 2" xfId="94"/>
    <cellStyle name="쉼표 [0] 2 102 3" xfId="95"/>
    <cellStyle name="쉼표 [0] 2 103" xfId="96"/>
    <cellStyle name="쉼표 [0] 2 103 2" xfId="97"/>
    <cellStyle name="쉼표 [0] 2 103 3" xfId="98"/>
    <cellStyle name="쉼표 [0] 2 104" xfId="99"/>
    <cellStyle name="쉼표 [0] 2 104 2" xfId="100"/>
    <cellStyle name="쉼표 [0] 2 104 3" xfId="101"/>
    <cellStyle name="쉼표 [0] 2 105" xfId="102"/>
    <cellStyle name="쉼표 [0] 2 105 2" xfId="103"/>
    <cellStyle name="쉼표 [0] 2 105 3" xfId="104"/>
    <cellStyle name="쉼표 [0] 2 106" xfId="105"/>
    <cellStyle name="쉼표 [0] 2 106 2" xfId="106"/>
    <cellStyle name="쉼표 [0] 2 106 3" xfId="107"/>
    <cellStyle name="쉼표 [0] 2 107" xfId="108"/>
    <cellStyle name="쉼표 [0] 2 107 2" xfId="109"/>
    <cellStyle name="쉼표 [0] 2 107 3" xfId="110"/>
    <cellStyle name="쉼표 [0] 2 108" xfId="111"/>
    <cellStyle name="쉼표 [0] 2 108 2" xfId="112"/>
    <cellStyle name="쉼표 [0] 2 108 3" xfId="113"/>
    <cellStyle name="쉼표 [0] 2 109" xfId="114"/>
    <cellStyle name="쉼표 [0] 2 109 2" xfId="115"/>
    <cellStyle name="쉼표 [0] 2 109 3" xfId="116"/>
    <cellStyle name="쉼표 [0] 2 11" xfId="117"/>
    <cellStyle name="쉼표 [0] 2 11 10" xfId="118"/>
    <cellStyle name="쉼표 [0] 2 11 10 2" xfId="119"/>
    <cellStyle name="쉼표 [0] 2 11 10 3" xfId="120"/>
    <cellStyle name="쉼표 [0] 2 11 11" xfId="121"/>
    <cellStyle name="쉼표 [0] 2 11 11 2" xfId="122"/>
    <cellStyle name="쉼표 [0] 2 11 11 3" xfId="123"/>
    <cellStyle name="쉼표 [0] 2 11 12" xfId="124"/>
    <cellStyle name="쉼표 [0] 2 11 12 2" xfId="125"/>
    <cellStyle name="쉼표 [0] 2 11 12 3" xfId="126"/>
    <cellStyle name="쉼표 [0] 2 11 13" xfId="127"/>
    <cellStyle name="쉼표 [0] 2 11 13 2" xfId="128"/>
    <cellStyle name="쉼표 [0] 2 11 13 3" xfId="129"/>
    <cellStyle name="쉼표 [0] 2 11 14" xfId="130"/>
    <cellStyle name="쉼표 [0] 2 11 15" xfId="131"/>
    <cellStyle name="쉼표 [0] 2 11 16" xfId="3996"/>
    <cellStyle name="쉼표 [0] 2 11 17" xfId="4509"/>
    <cellStyle name="쉼표 [0] 2 11 2" xfId="132"/>
    <cellStyle name="쉼표 [0] 2 11 2 2" xfId="133"/>
    <cellStyle name="쉼표 [0] 2 11 2 3" xfId="134"/>
    <cellStyle name="쉼표 [0] 2 11 3" xfId="135"/>
    <cellStyle name="쉼표 [0] 2 11 3 2" xfId="136"/>
    <cellStyle name="쉼표 [0] 2 11 3 3" xfId="137"/>
    <cellStyle name="쉼표 [0] 2 11 4" xfId="138"/>
    <cellStyle name="쉼표 [0] 2 11 4 2" xfId="139"/>
    <cellStyle name="쉼표 [0] 2 11 4 3" xfId="140"/>
    <cellStyle name="쉼표 [0] 2 11 5" xfId="141"/>
    <cellStyle name="쉼표 [0] 2 11 5 2" xfId="142"/>
    <cellStyle name="쉼표 [0] 2 11 5 3" xfId="143"/>
    <cellStyle name="쉼표 [0] 2 11 6" xfId="144"/>
    <cellStyle name="쉼표 [0] 2 11 6 2" xfId="145"/>
    <cellStyle name="쉼표 [0] 2 11 6 3" xfId="146"/>
    <cellStyle name="쉼표 [0] 2 11 7" xfId="147"/>
    <cellStyle name="쉼표 [0] 2 11 7 2" xfId="148"/>
    <cellStyle name="쉼표 [0] 2 11 7 3" xfId="149"/>
    <cellStyle name="쉼표 [0] 2 11 8" xfId="150"/>
    <cellStyle name="쉼표 [0] 2 11 8 2" xfId="151"/>
    <cellStyle name="쉼표 [0] 2 11 8 3" xfId="152"/>
    <cellStyle name="쉼표 [0] 2 11 9" xfId="153"/>
    <cellStyle name="쉼표 [0] 2 11 9 2" xfId="154"/>
    <cellStyle name="쉼표 [0] 2 11 9 3" xfId="155"/>
    <cellStyle name="쉼표 [0] 2 110" xfId="156"/>
    <cellStyle name="쉼표 [0] 2 110 2" xfId="157"/>
    <cellStyle name="쉼표 [0] 2 110 3" xfId="158"/>
    <cellStyle name="쉼표 [0] 2 111" xfId="159"/>
    <cellStyle name="쉼표 [0] 2 111 2" xfId="160"/>
    <cellStyle name="쉼표 [0] 2 111 3" xfId="161"/>
    <cellStyle name="쉼표 [0] 2 112" xfId="162"/>
    <cellStyle name="쉼표 [0] 2 112 2" xfId="163"/>
    <cellStyle name="쉼표 [0] 2 112 3" xfId="164"/>
    <cellStyle name="쉼표 [0] 2 113" xfId="165"/>
    <cellStyle name="쉼표 [0] 2 113 2" xfId="166"/>
    <cellStyle name="쉼표 [0] 2 113 3" xfId="167"/>
    <cellStyle name="쉼표 [0] 2 114" xfId="168"/>
    <cellStyle name="쉼표 [0] 2 114 2" xfId="169"/>
    <cellStyle name="쉼표 [0] 2 114 3" xfId="170"/>
    <cellStyle name="쉼표 [0] 2 115" xfId="171"/>
    <cellStyle name="쉼표 [0] 2 115 2" xfId="172"/>
    <cellStyle name="쉼표 [0] 2 115 3" xfId="173"/>
    <cellStyle name="쉼표 [0] 2 116" xfId="174"/>
    <cellStyle name="쉼표 [0] 2 116 2" xfId="175"/>
    <cellStyle name="쉼표 [0] 2 116 3" xfId="176"/>
    <cellStyle name="쉼표 [0] 2 117" xfId="177"/>
    <cellStyle name="쉼표 [0] 2 117 2" xfId="178"/>
    <cellStyle name="쉼표 [0] 2 117 3" xfId="179"/>
    <cellStyle name="쉼표 [0] 2 118" xfId="180"/>
    <cellStyle name="쉼표 [0] 2 118 2" xfId="181"/>
    <cellStyle name="쉼표 [0] 2 118 3" xfId="182"/>
    <cellStyle name="쉼표 [0] 2 119" xfId="183"/>
    <cellStyle name="쉼표 [0] 2 119 2" xfId="184"/>
    <cellStyle name="쉼표 [0] 2 119 3" xfId="185"/>
    <cellStyle name="쉼표 [0] 2 12" xfId="186"/>
    <cellStyle name="쉼표 [0] 2 12 10" xfId="187"/>
    <cellStyle name="쉼표 [0] 2 12 10 2" xfId="188"/>
    <cellStyle name="쉼표 [0] 2 12 10 3" xfId="189"/>
    <cellStyle name="쉼표 [0] 2 12 11" xfId="190"/>
    <cellStyle name="쉼표 [0] 2 12 11 2" xfId="191"/>
    <cellStyle name="쉼표 [0] 2 12 11 3" xfId="192"/>
    <cellStyle name="쉼표 [0] 2 12 12" xfId="193"/>
    <cellStyle name="쉼표 [0] 2 12 12 2" xfId="194"/>
    <cellStyle name="쉼표 [0] 2 12 12 3" xfId="195"/>
    <cellStyle name="쉼표 [0] 2 12 13" xfId="196"/>
    <cellStyle name="쉼표 [0] 2 12 13 2" xfId="197"/>
    <cellStyle name="쉼표 [0] 2 12 13 3" xfId="198"/>
    <cellStyle name="쉼표 [0] 2 12 14" xfId="199"/>
    <cellStyle name="쉼표 [0] 2 12 15" xfId="200"/>
    <cellStyle name="쉼표 [0] 2 12 16" xfId="3997"/>
    <cellStyle name="쉼표 [0] 2 12 17" xfId="4508"/>
    <cellStyle name="쉼표 [0] 2 12 2" xfId="201"/>
    <cellStyle name="쉼표 [0] 2 12 2 2" xfId="202"/>
    <cellStyle name="쉼표 [0] 2 12 2 3" xfId="203"/>
    <cellStyle name="쉼표 [0] 2 12 3" xfId="204"/>
    <cellStyle name="쉼표 [0] 2 12 3 2" xfId="205"/>
    <cellStyle name="쉼표 [0] 2 12 3 3" xfId="206"/>
    <cellStyle name="쉼표 [0] 2 12 4" xfId="207"/>
    <cellStyle name="쉼표 [0] 2 12 4 2" xfId="208"/>
    <cellStyle name="쉼표 [0] 2 12 4 3" xfId="209"/>
    <cellStyle name="쉼표 [0] 2 12 5" xfId="210"/>
    <cellStyle name="쉼표 [0] 2 12 5 2" xfId="211"/>
    <cellStyle name="쉼표 [0] 2 12 5 3" xfId="212"/>
    <cellStyle name="쉼표 [0] 2 12 6" xfId="213"/>
    <cellStyle name="쉼표 [0] 2 12 6 2" xfId="214"/>
    <cellStyle name="쉼표 [0] 2 12 6 3" xfId="215"/>
    <cellStyle name="쉼표 [0] 2 12 7" xfId="216"/>
    <cellStyle name="쉼표 [0] 2 12 7 2" xfId="217"/>
    <cellStyle name="쉼표 [0] 2 12 7 3" xfId="218"/>
    <cellStyle name="쉼표 [0] 2 12 8" xfId="219"/>
    <cellStyle name="쉼표 [0] 2 12 8 2" xfId="220"/>
    <cellStyle name="쉼표 [0] 2 12 8 3" xfId="221"/>
    <cellStyle name="쉼표 [0] 2 12 9" xfId="222"/>
    <cellStyle name="쉼표 [0] 2 12 9 2" xfId="223"/>
    <cellStyle name="쉼표 [0] 2 12 9 3" xfId="224"/>
    <cellStyle name="쉼표 [0] 2 120" xfId="225"/>
    <cellStyle name="쉼표 [0] 2 120 2" xfId="226"/>
    <cellStyle name="쉼표 [0] 2 120 3" xfId="227"/>
    <cellStyle name="쉼표 [0] 2 121" xfId="228"/>
    <cellStyle name="쉼표 [0] 2 121 2" xfId="229"/>
    <cellStyle name="쉼표 [0] 2 121 3" xfId="230"/>
    <cellStyle name="쉼표 [0] 2 122" xfId="231"/>
    <cellStyle name="쉼표 [0] 2 122 2" xfId="232"/>
    <cellStyle name="쉼표 [0] 2 122 3" xfId="233"/>
    <cellStyle name="쉼표 [0] 2 123" xfId="234"/>
    <cellStyle name="쉼표 [0] 2 123 2" xfId="235"/>
    <cellStyle name="쉼표 [0] 2 123 3" xfId="236"/>
    <cellStyle name="쉼표 [0] 2 124" xfId="237"/>
    <cellStyle name="쉼표 [0] 2 124 2" xfId="238"/>
    <cellStyle name="쉼표 [0] 2 124 3" xfId="239"/>
    <cellStyle name="쉼표 [0] 2 125" xfId="240"/>
    <cellStyle name="쉼표 [0] 2 125 2" xfId="241"/>
    <cellStyle name="쉼표 [0] 2 125 3" xfId="242"/>
    <cellStyle name="쉼표 [0] 2 126" xfId="243"/>
    <cellStyle name="쉼표 [0] 2 126 2" xfId="244"/>
    <cellStyle name="쉼표 [0] 2 126 3" xfId="245"/>
    <cellStyle name="쉼표 [0] 2 127" xfId="246"/>
    <cellStyle name="쉼표 [0] 2 127 2" xfId="247"/>
    <cellStyle name="쉼표 [0] 2 127 3" xfId="248"/>
    <cellStyle name="쉼표 [0] 2 128" xfId="249"/>
    <cellStyle name="쉼표 [0] 2 128 2" xfId="250"/>
    <cellStyle name="쉼표 [0] 2 128 3" xfId="251"/>
    <cellStyle name="쉼표 [0] 2 129" xfId="252"/>
    <cellStyle name="쉼표 [0] 2 129 2" xfId="253"/>
    <cellStyle name="쉼표 [0] 2 129 3" xfId="254"/>
    <cellStyle name="쉼표 [0] 2 13" xfId="255"/>
    <cellStyle name="쉼표 [0] 2 13 10" xfId="256"/>
    <cellStyle name="쉼표 [0] 2 13 10 2" xfId="257"/>
    <cellStyle name="쉼표 [0] 2 13 10 3" xfId="258"/>
    <cellStyle name="쉼표 [0] 2 13 11" xfId="259"/>
    <cellStyle name="쉼표 [0] 2 13 11 2" xfId="260"/>
    <cellStyle name="쉼표 [0] 2 13 11 3" xfId="261"/>
    <cellStyle name="쉼표 [0] 2 13 12" xfId="262"/>
    <cellStyle name="쉼표 [0] 2 13 12 2" xfId="263"/>
    <cellStyle name="쉼표 [0] 2 13 12 3" xfId="264"/>
    <cellStyle name="쉼표 [0] 2 13 13" xfId="265"/>
    <cellStyle name="쉼표 [0] 2 13 13 2" xfId="266"/>
    <cellStyle name="쉼표 [0] 2 13 13 3" xfId="267"/>
    <cellStyle name="쉼표 [0] 2 13 14" xfId="268"/>
    <cellStyle name="쉼표 [0] 2 13 15" xfId="269"/>
    <cellStyle name="쉼표 [0] 2 13 16" xfId="3998"/>
    <cellStyle name="쉼표 [0] 2 13 17" xfId="4507"/>
    <cellStyle name="쉼표 [0] 2 13 2" xfId="270"/>
    <cellStyle name="쉼표 [0] 2 13 2 2" xfId="271"/>
    <cellStyle name="쉼표 [0] 2 13 2 3" xfId="272"/>
    <cellStyle name="쉼표 [0] 2 13 3" xfId="273"/>
    <cellStyle name="쉼표 [0] 2 13 3 2" xfId="274"/>
    <cellStyle name="쉼표 [0] 2 13 3 3" xfId="275"/>
    <cellStyle name="쉼표 [0] 2 13 4" xfId="276"/>
    <cellStyle name="쉼표 [0] 2 13 4 2" xfId="277"/>
    <cellStyle name="쉼표 [0] 2 13 4 3" xfId="278"/>
    <cellStyle name="쉼표 [0] 2 13 5" xfId="279"/>
    <cellStyle name="쉼표 [0] 2 13 5 2" xfId="280"/>
    <cellStyle name="쉼표 [0] 2 13 5 3" xfId="281"/>
    <cellStyle name="쉼표 [0] 2 13 6" xfId="282"/>
    <cellStyle name="쉼표 [0] 2 13 6 2" xfId="283"/>
    <cellStyle name="쉼표 [0] 2 13 6 3" xfId="284"/>
    <cellStyle name="쉼표 [0] 2 13 7" xfId="285"/>
    <cellStyle name="쉼표 [0] 2 13 7 2" xfId="286"/>
    <cellStyle name="쉼표 [0] 2 13 7 3" xfId="287"/>
    <cellStyle name="쉼표 [0] 2 13 8" xfId="288"/>
    <cellStyle name="쉼표 [0] 2 13 8 2" xfId="289"/>
    <cellStyle name="쉼표 [0] 2 13 8 3" xfId="290"/>
    <cellStyle name="쉼표 [0] 2 13 9" xfId="291"/>
    <cellStyle name="쉼표 [0] 2 13 9 2" xfId="292"/>
    <cellStyle name="쉼표 [0] 2 13 9 3" xfId="293"/>
    <cellStyle name="쉼표 [0] 2 130" xfId="294"/>
    <cellStyle name="쉼표 [0] 2 130 2" xfId="295"/>
    <cellStyle name="쉼표 [0] 2 130 3" xfId="296"/>
    <cellStyle name="쉼표 [0] 2 131" xfId="297"/>
    <cellStyle name="쉼표 [0] 2 131 2" xfId="298"/>
    <cellStyle name="쉼표 [0] 2 131 3" xfId="299"/>
    <cellStyle name="쉼표 [0] 2 132" xfId="300"/>
    <cellStyle name="쉼표 [0] 2 132 2" xfId="301"/>
    <cellStyle name="쉼표 [0] 2 132 3" xfId="302"/>
    <cellStyle name="쉼표 [0] 2 133" xfId="303"/>
    <cellStyle name="쉼표 [0] 2 133 2" xfId="304"/>
    <cellStyle name="쉼표 [0] 2 133 3" xfId="305"/>
    <cellStyle name="쉼표 [0] 2 134" xfId="306"/>
    <cellStyle name="쉼표 [0] 2 134 2" xfId="307"/>
    <cellStyle name="쉼표 [0] 2 134 3" xfId="308"/>
    <cellStyle name="쉼표 [0] 2 135" xfId="309"/>
    <cellStyle name="쉼표 [0] 2 135 2" xfId="310"/>
    <cellStyle name="쉼표 [0] 2 135 3" xfId="311"/>
    <cellStyle name="쉼표 [0] 2 136" xfId="312"/>
    <cellStyle name="쉼표 [0] 2 136 2" xfId="313"/>
    <cellStyle name="쉼표 [0] 2 136 3" xfId="314"/>
    <cellStyle name="쉼표 [0] 2 137" xfId="315"/>
    <cellStyle name="쉼표 [0] 2 137 2" xfId="316"/>
    <cellStyle name="쉼표 [0] 2 137 3" xfId="317"/>
    <cellStyle name="쉼표 [0] 2 138" xfId="318"/>
    <cellStyle name="쉼표 [0] 2 138 2" xfId="319"/>
    <cellStyle name="쉼표 [0] 2 138 3" xfId="320"/>
    <cellStyle name="쉼표 [0] 2 139" xfId="321"/>
    <cellStyle name="쉼표 [0] 2 139 2" xfId="322"/>
    <cellStyle name="쉼표 [0] 2 139 3" xfId="323"/>
    <cellStyle name="쉼표 [0] 2 14" xfId="324"/>
    <cellStyle name="쉼표 [0] 2 14 10" xfId="325"/>
    <cellStyle name="쉼표 [0] 2 14 10 2" xfId="326"/>
    <cellStyle name="쉼표 [0] 2 14 10 3" xfId="327"/>
    <cellStyle name="쉼표 [0] 2 14 11" xfId="328"/>
    <cellStyle name="쉼표 [0] 2 14 11 2" xfId="329"/>
    <cellStyle name="쉼표 [0] 2 14 11 3" xfId="330"/>
    <cellStyle name="쉼표 [0] 2 14 12" xfId="331"/>
    <cellStyle name="쉼표 [0] 2 14 12 2" xfId="332"/>
    <cellStyle name="쉼표 [0] 2 14 12 3" xfId="333"/>
    <cellStyle name="쉼표 [0] 2 14 13" xfId="334"/>
    <cellStyle name="쉼표 [0] 2 14 13 2" xfId="335"/>
    <cellStyle name="쉼표 [0] 2 14 13 3" xfId="336"/>
    <cellStyle name="쉼표 [0] 2 14 14" xfId="337"/>
    <cellStyle name="쉼표 [0] 2 14 15" xfId="338"/>
    <cellStyle name="쉼표 [0] 2 14 16" xfId="3999"/>
    <cellStyle name="쉼표 [0] 2 14 17" xfId="4506"/>
    <cellStyle name="쉼표 [0] 2 14 2" xfId="339"/>
    <cellStyle name="쉼표 [0] 2 14 2 2" xfId="340"/>
    <cellStyle name="쉼표 [0] 2 14 2 3" xfId="341"/>
    <cellStyle name="쉼표 [0] 2 14 3" xfId="342"/>
    <cellStyle name="쉼표 [0] 2 14 3 2" xfId="343"/>
    <cellStyle name="쉼표 [0] 2 14 3 3" xfId="344"/>
    <cellStyle name="쉼표 [0] 2 14 4" xfId="345"/>
    <cellStyle name="쉼표 [0] 2 14 4 2" xfId="346"/>
    <cellStyle name="쉼표 [0] 2 14 4 3" xfId="347"/>
    <cellStyle name="쉼표 [0] 2 14 5" xfId="348"/>
    <cellStyle name="쉼표 [0] 2 14 5 2" xfId="349"/>
    <cellStyle name="쉼표 [0] 2 14 5 3" xfId="350"/>
    <cellStyle name="쉼표 [0] 2 14 6" xfId="351"/>
    <cellStyle name="쉼표 [0] 2 14 6 2" xfId="352"/>
    <cellStyle name="쉼표 [0] 2 14 6 3" xfId="353"/>
    <cellStyle name="쉼표 [0] 2 14 7" xfId="354"/>
    <cellStyle name="쉼표 [0] 2 14 7 2" xfId="355"/>
    <cellStyle name="쉼표 [0] 2 14 7 3" xfId="356"/>
    <cellStyle name="쉼표 [0] 2 14 8" xfId="357"/>
    <cellStyle name="쉼표 [0] 2 14 8 2" xfId="358"/>
    <cellStyle name="쉼표 [0] 2 14 8 3" xfId="359"/>
    <cellStyle name="쉼표 [0] 2 14 9" xfId="360"/>
    <cellStyle name="쉼표 [0] 2 14 9 2" xfId="361"/>
    <cellStyle name="쉼표 [0] 2 14 9 3" xfId="362"/>
    <cellStyle name="쉼표 [0] 2 140" xfId="363"/>
    <cellStyle name="쉼표 [0] 2 140 2" xfId="364"/>
    <cellStyle name="쉼표 [0] 2 140 3" xfId="365"/>
    <cellStyle name="쉼표 [0] 2 141" xfId="366"/>
    <cellStyle name="쉼표 [0] 2 142" xfId="367"/>
    <cellStyle name="쉼표 [0] 2 143" xfId="368"/>
    <cellStyle name="쉼표 [0] 2 144" xfId="369"/>
    <cellStyle name="쉼표 [0] 2 145" xfId="3430"/>
    <cellStyle name="쉼표 [0] 2 146" xfId="3751"/>
    <cellStyle name="쉼표 [0] 2 146 2" xfId="4505"/>
    <cellStyle name="쉼표 [0] 2 146 3" xfId="4572"/>
    <cellStyle name="쉼표 [0] 2 15" xfId="370"/>
    <cellStyle name="쉼표 [0] 2 15 10" xfId="371"/>
    <cellStyle name="쉼표 [0] 2 15 10 2" xfId="372"/>
    <cellStyle name="쉼표 [0] 2 15 10 3" xfId="373"/>
    <cellStyle name="쉼표 [0] 2 15 11" xfId="374"/>
    <cellStyle name="쉼표 [0] 2 15 11 2" xfId="375"/>
    <cellStyle name="쉼표 [0] 2 15 11 3" xfId="376"/>
    <cellStyle name="쉼표 [0] 2 15 12" xfId="377"/>
    <cellStyle name="쉼표 [0] 2 15 12 2" xfId="378"/>
    <cellStyle name="쉼표 [0] 2 15 12 3" xfId="379"/>
    <cellStyle name="쉼표 [0] 2 15 13" xfId="380"/>
    <cellStyle name="쉼표 [0] 2 15 13 2" xfId="381"/>
    <cellStyle name="쉼표 [0] 2 15 13 3" xfId="382"/>
    <cellStyle name="쉼표 [0] 2 15 14" xfId="383"/>
    <cellStyle name="쉼표 [0] 2 15 15" xfId="384"/>
    <cellStyle name="쉼표 [0] 2 15 16" xfId="4000"/>
    <cellStyle name="쉼표 [0] 2 15 17" xfId="4504"/>
    <cellStyle name="쉼표 [0] 2 15 2" xfId="385"/>
    <cellStyle name="쉼표 [0] 2 15 2 2" xfId="386"/>
    <cellStyle name="쉼표 [0] 2 15 2 3" xfId="387"/>
    <cellStyle name="쉼표 [0] 2 15 3" xfId="388"/>
    <cellStyle name="쉼표 [0] 2 15 3 2" xfId="389"/>
    <cellStyle name="쉼표 [0] 2 15 3 3" xfId="390"/>
    <cellStyle name="쉼표 [0] 2 15 4" xfId="391"/>
    <cellStyle name="쉼표 [0] 2 15 4 2" xfId="392"/>
    <cellStyle name="쉼표 [0] 2 15 4 3" xfId="393"/>
    <cellStyle name="쉼표 [0] 2 15 5" xfId="394"/>
    <cellStyle name="쉼표 [0] 2 15 5 2" xfId="395"/>
    <cellStyle name="쉼표 [0] 2 15 5 3" xfId="396"/>
    <cellStyle name="쉼표 [0] 2 15 6" xfId="397"/>
    <cellStyle name="쉼표 [0] 2 15 6 2" xfId="398"/>
    <cellStyle name="쉼표 [0] 2 15 6 3" xfId="399"/>
    <cellStyle name="쉼표 [0] 2 15 7" xfId="400"/>
    <cellStyle name="쉼표 [0] 2 15 7 2" xfId="401"/>
    <cellStyle name="쉼표 [0] 2 15 7 3" xfId="402"/>
    <cellStyle name="쉼표 [0] 2 15 8" xfId="403"/>
    <cellStyle name="쉼표 [0] 2 15 8 2" xfId="404"/>
    <cellStyle name="쉼표 [0] 2 15 8 3" xfId="405"/>
    <cellStyle name="쉼표 [0] 2 15 9" xfId="406"/>
    <cellStyle name="쉼표 [0] 2 15 9 2" xfId="407"/>
    <cellStyle name="쉼표 [0] 2 15 9 3" xfId="408"/>
    <cellStyle name="쉼표 [0] 2 16" xfId="409"/>
    <cellStyle name="쉼표 [0] 2 16 10" xfId="410"/>
    <cellStyle name="쉼표 [0] 2 16 10 2" xfId="411"/>
    <cellStyle name="쉼표 [0] 2 16 10 3" xfId="412"/>
    <cellStyle name="쉼표 [0] 2 16 11" xfId="413"/>
    <cellStyle name="쉼표 [0] 2 16 11 2" xfId="414"/>
    <cellStyle name="쉼표 [0] 2 16 11 3" xfId="415"/>
    <cellStyle name="쉼표 [0] 2 16 12" xfId="416"/>
    <cellStyle name="쉼표 [0] 2 16 12 2" xfId="417"/>
    <cellStyle name="쉼표 [0] 2 16 12 3" xfId="418"/>
    <cellStyle name="쉼표 [0] 2 16 13" xfId="419"/>
    <cellStyle name="쉼표 [0] 2 16 13 2" xfId="420"/>
    <cellStyle name="쉼표 [0] 2 16 13 3" xfId="421"/>
    <cellStyle name="쉼표 [0] 2 16 14" xfId="422"/>
    <cellStyle name="쉼표 [0] 2 16 15" xfId="423"/>
    <cellStyle name="쉼표 [0] 2 16 16" xfId="4001"/>
    <cellStyle name="쉼표 [0] 2 16 17" xfId="4503"/>
    <cellStyle name="쉼표 [0] 2 16 2" xfId="424"/>
    <cellStyle name="쉼표 [0] 2 16 2 2" xfId="425"/>
    <cellStyle name="쉼표 [0] 2 16 2 3" xfId="426"/>
    <cellStyle name="쉼표 [0] 2 16 3" xfId="427"/>
    <cellStyle name="쉼표 [0] 2 16 3 2" xfId="428"/>
    <cellStyle name="쉼표 [0] 2 16 3 3" xfId="429"/>
    <cellStyle name="쉼표 [0] 2 16 4" xfId="430"/>
    <cellStyle name="쉼표 [0] 2 16 4 2" xfId="431"/>
    <cellStyle name="쉼표 [0] 2 16 4 3" xfId="432"/>
    <cellStyle name="쉼표 [0] 2 16 5" xfId="433"/>
    <cellStyle name="쉼표 [0] 2 16 5 2" xfId="434"/>
    <cellStyle name="쉼표 [0] 2 16 5 3" xfId="435"/>
    <cellStyle name="쉼표 [0] 2 16 6" xfId="436"/>
    <cellStyle name="쉼표 [0] 2 16 6 2" xfId="437"/>
    <cellStyle name="쉼표 [0] 2 16 6 3" xfId="438"/>
    <cellStyle name="쉼표 [0] 2 16 7" xfId="439"/>
    <cellStyle name="쉼표 [0] 2 16 7 2" xfId="440"/>
    <cellStyle name="쉼표 [0] 2 16 7 3" xfId="441"/>
    <cellStyle name="쉼표 [0] 2 16 8" xfId="442"/>
    <cellStyle name="쉼표 [0] 2 16 8 2" xfId="443"/>
    <cellStyle name="쉼표 [0] 2 16 8 3" xfId="444"/>
    <cellStyle name="쉼표 [0] 2 16 9" xfId="445"/>
    <cellStyle name="쉼표 [0] 2 16 9 2" xfId="446"/>
    <cellStyle name="쉼표 [0] 2 16 9 3" xfId="447"/>
    <cellStyle name="쉼표 [0] 2 17" xfId="448"/>
    <cellStyle name="쉼표 [0] 2 17 10" xfId="449"/>
    <cellStyle name="쉼표 [0] 2 17 10 2" xfId="450"/>
    <cellStyle name="쉼표 [0] 2 17 10 3" xfId="451"/>
    <cellStyle name="쉼표 [0] 2 17 11" xfId="452"/>
    <cellStyle name="쉼표 [0] 2 17 11 2" xfId="453"/>
    <cellStyle name="쉼표 [0] 2 17 11 3" xfId="454"/>
    <cellStyle name="쉼표 [0] 2 17 12" xfId="455"/>
    <cellStyle name="쉼표 [0] 2 17 12 2" xfId="456"/>
    <cellStyle name="쉼표 [0] 2 17 12 3" xfId="457"/>
    <cellStyle name="쉼표 [0] 2 17 13" xfId="458"/>
    <cellStyle name="쉼표 [0] 2 17 13 2" xfId="459"/>
    <cellStyle name="쉼표 [0] 2 17 13 3" xfId="460"/>
    <cellStyle name="쉼표 [0] 2 17 14" xfId="461"/>
    <cellStyle name="쉼표 [0] 2 17 15" xfId="462"/>
    <cellStyle name="쉼표 [0] 2 17 16" xfId="4002"/>
    <cellStyle name="쉼표 [0] 2 17 17" xfId="4502"/>
    <cellStyle name="쉼표 [0] 2 17 2" xfId="463"/>
    <cellStyle name="쉼표 [0] 2 17 2 2" xfId="464"/>
    <cellStyle name="쉼표 [0] 2 17 2 3" xfId="465"/>
    <cellStyle name="쉼표 [0] 2 17 3" xfId="466"/>
    <cellStyle name="쉼표 [0] 2 17 3 2" xfId="467"/>
    <cellStyle name="쉼표 [0] 2 17 3 3" xfId="468"/>
    <cellStyle name="쉼표 [0] 2 17 4" xfId="469"/>
    <cellStyle name="쉼표 [0] 2 17 4 2" xfId="470"/>
    <cellStyle name="쉼표 [0] 2 17 4 3" xfId="471"/>
    <cellStyle name="쉼표 [0] 2 17 5" xfId="472"/>
    <cellStyle name="쉼표 [0] 2 17 5 2" xfId="473"/>
    <cellStyle name="쉼표 [0] 2 17 5 3" xfId="474"/>
    <cellStyle name="쉼표 [0] 2 17 6" xfId="475"/>
    <cellStyle name="쉼표 [0] 2 17 6 2" xfId="476"/>
    <cellStyle name="쉼표 [0] 2 17 6 3" xfId="477"/>
    <cellStyle name="쉼표 [0] 2 17 7" xfId="478"/>
    <cellStyle name="쉼표 [0] 2 17 7 2" xfId="479"/>
    <cellStyle name="쉼표 [0] 2 17 7 3" xfId="480"/>
    <cellStyle name="쉼표 [0] 2 17 8" xfId="481"/>
    <cellStyle name="쉼표 [0] 2 17 8 2" xfId="482"/>
    <cellStyle name="쉼표 [0] 2 17 8 3" xfId="483"/>
    <cellStyle name="쉼표 [0] 2 17 9" xfId="484"/>
    <cellStyle name="쉼표 [0] 2 17 9 2" xfId="485"/>
    <cellStyle name="쉼표 [0] 2 17 9 3" xfId="486"/>
    <cellStyle name="쉼표 [0] 2 18" xfId="487"/>
    <cellStyle name="쉼표 [0] 2 18 10" xfId="488"/>
    <cellStyle name="쉼표 [0] 2 18 10 2" xfId="489"/>
    <cellStyle name="쉼표 [0] 2 18 10 3" xfId="490"/>
    <cellStyle name="쉼표 [0] 2 18 11" xfId="491"/>
    <cellStyle name="쉼표 [0] 2 18 11 2" xfId="492"/>
    <cellStyle name="쉼표 [0] 2 18 11 3" xfId="493"/>
    <cellStyle name="쉼표 [0] 2 18 12" xfId="494"/>
    <cellStyle name="쉼표 [0] 2 18 12 2" xfId="495"/>
    <cellStyle name="쉼표 [0] 2 18 12 3" xfId="496"/>
    <cellStyle name="쉼표 [0] 2 18 13" xfId="497"/>
    <cellStyle name="쉼표 [0] 2 18 13 2" xfId="498"/>
    <cellStyle name="쉼표 [0] 2 18 13 3" xfId="499"/>
    <cellStyle name="쉼표 [0] 2 18 14" xfId="500"/>
    <cellStyle name="쉼표 [0] 2 18 15" xfId="501"/>
    <cellStyle name="쉼표 [0] 2 18 16" xfId="4003"/>
    <cellStyle name="쉼표 [0] 2 18 17" xfId="4501"/>
    <cellStyle name="쉼표 [0] 2 18 2" xfId="502"/>
    <cellStyle name="쉼표 [0] 2 18 2 2" xfId="503"/>
    <cellStyle name="쉼표 [0] 2 18 2 3" xfId="504"/>
    <cellStyle name="쉼표 [0] 2 18 3" xfId="505"/>
    <cellStyle name="쉼표 [0] 2 18 3 2" xfId="506"/>
    <cellStyle name="쉼표 [0] 2 18 3 3" xfId="507"/>
    <cellStyle name="쉼표 [0] 2 18 4" xfId="508"/>
    <cellStyle name="쉼표 [0] 2 18 4 2" xfId="509"/>
    <cellStyle name="쉼표 [0] 2 18 4 3" xfId="510"/>
    <cellStyle name="쉼표 [0] 2 18 5" xfId="511"/>
    <cellStyle name="쉼표 [0] 2 18 5 2" xfId="512"/>
    <cellStyle name="쉼표 [0] 2 18 5 3" xfId="513"/>
    <cellStyle name="쉼표 [0] 2 18 6" xfId="514"/>
    <cellStyle name="쉼표 [0] 2 18 6 2" xfId="515"/>
    <cellStyle name="쉼표 [0] 2 18 6 3" xfId="516"/>
    <cellStyle name="쉼표 [0] 2 18 7" xfId="517"/>
    <cellStyle name="쉼표 [0] 2 18 7 2" xfId="518"/>
    <cellStyle name="쉼표 [0] 2 18 7 3" xfId="519"/>
    <cellStyle name="쉼표 [0] 2 18 8" xfId="520"/>
    <cellStyle name="쉼표 [0] 2 18 8 2" xfId="521"/>
    <cellStyle name="쉼표 [0] 2 18 8 3" xfId="522"/>
    <cellStyle name="쉼표 [0] 2 18 9" xfId="523"/>
    <cellStyle name="쉼표 [0] 2 18 9 2" xfId="524"/>
    <cellStyle name="쉼표 [0] 2 18 9 3" xfId="525"/>
    <cellStyle name="쉼표 [0] 2 19" xfId="526"/>
    <cellStyle name="쉼표 [0] 2 19 10" xfId="527"/>
    <cellStyle name="쉼표 [0] 2 19 10 2" xfId="528"/>
    <cellStyle name="쉼표 [0] 2 19 10 3" xfId="529"/>
    <cellStyle name="쉼표 [0] 2 19 11" xfId="530"/>
    <cellStyle name="쉼표 [0] 2 19 11 2" xfId="531"/>
    <cellStyle name="쉼표 [0] 2 19 11 3" xfId="532"/>
    <cellStyle name="쉼표 [0] 2 19 12" xfId="533"/>
    <cellStyle name="쉼표 [0] 2 19 12 2" xfId="534"/>
    <cellStyle name="쉼표 [0] 2 19 12 3" xfId="535"/>
    <cellStyle name="쉼표 [0] 2 19 13" xfId="536"/>
    <cellStyle name="쉼표 [0] 2 19 13 2" xfId="537"/>
    <cellStyle name="쉼표 [0] 2 19 13 3" xfId="538"/>
    <cellStyle name="쉼표 [0] 2 19 14" xfId="539"/>
    <cellStyle name="쉼표 [0] 2 19 15" xfId="540"/>
    <cellStyle name="쉼표 [0] 2 19 16" xfId="4004"/>
    <cellStyle name="쉼표 [0] 2 19 17" xfId="4500"/>
    <cellStyle name="쉼표 [0] 2 19 2" xfId="541"/>
    <cellStyle name="쉼표 [0] 2 19 2 2" xfId="542"/>
    <cellStyle name="쉼표 [0] 2 19 2 3" xfId="543"/>
    <cellStyle name="쉼표 [0] 2 19 3" xfId="544"/>
    <cellStyle name="쉼표 [0] 2 19 3 2" xfId="545"/>
    <cellStyle name="쉼표 [0] 2 19 3 3" xfId="546"/>
    <cellStyle name="쉼표 [0] 2 19 4" xfId="547"/>
    <cellStyle name="쉼표 [0] 2 19 4 2" xfId="548"/>
    <cellStyle name="쉼표 [0] 2 19 4 3" xfId="549"/>
    <cellStyle name="쉼표 [0] 2 19 5" xfId="550"/>
    <cellStyle name="쉼표 [0] 2 19 5 2" xfId="551"/>
    <cellStyle name="쉼표 [0] 2 19 5 3" xfId="552"/>
    <cellStyle name="쉼표 [0] 2 19 6" xfId="553"/>
    <cellStyle name="쉼표 [0] 2 19 6 2" xfId="554"/>
    <cellStyle name="쉼표 [0] 2 19 6 3" xfId="555"/>
    <cellStyle name="쉼표 [0] 2 19 7" xfId="556"/>
    <cellStyle name="쉼표 [0] 2 19 7 2" xfId="557"/>
    <cellStyle name="쉼표 [0] 2 19 7 3" xfId="558"/>
    <cellStyle name="쉼표 [0] 2 19 8" xfId="559"/>
    <cellStyle name="쉼표 [0] 2 19 8 2" xfId="560"/>
    <cellStyle name="쉼표 [0] 2 19 8 3" xfId="561"/>
    <cellStyle name="쉼표 [0] 2 19 9" xfId="562"/>
    <cellStyle name="쉼표 [0] 2 19 9 2" xfId="563"/>
    <cellStyle name="쉼표 [0] 2 19 9 3" xfId="564"/>
    <cellStyle name="쉼표 [0] 2 2" xfId="565"/>
    <cellStyle name="쉼표 [0] 2 2 10" xfId="566"/>
    <cellStyle name="쉼표 [0] 2 2 10 2" xfId="567"/>
    <cellStyle name="쉼표 [0] 2 2 10 3" xfId="568"/>
    <cellStyle name="쉼표 [0] 2 2 11" xfId="569"/>
    <cellStyle name="쉼표 [0] 2 2 11 2" xfId="570"/>
    <cellStyle name="쉼표 [0] 2 2 11 3" xfId="571"/>
    <cellStyle name="쉼표 [0] 2 2 12" xfId="572"/>
    <cellStyle name="쉼표 [0] 2 2 12 2" xfId="573"/>
    <cellStyle name="쉼표 [0] 2 2 12 3" xfId="574"/>
    <cellStyle name="쉼표 [0] 2 2 13" xfId="575"/>
    <cellStyle name="쉼표 [0] 2 2 13 2" xfId="576"/>
    <cellStyle name="쉼표 [0] 2 2 13 3" xfId="577"/>
    <cellStyle name="쉼표 [0] 2 2 14" xfId="578"/>
    <cellStyle name="쉼표 [0] 2 2 15" xfId="579"/>
    <cellStyle name="쉼표 [0] 2 2 16" xfId="580"/>
    <cellStyle name="쉼표 [0] 2 2 17" xfId="3431"/>
    <cellStyle name="쉼표 [0] 2 2 18" xfId="4499"/>
    <cellStyle name="쉼표 [0] 2 2 2" xfId="581"/>
    <cellStyle name="쉼표 [0] 2 2 2 2" xfId="582"/>
    <cellStyle name="쉼표 [0] 2 2 2 3" xfId="583"/>
    <cellStyle name="쉼표 [0] 2 2 3" xfId="584"/>
    <cellStyle name="쉼표 [0] 2 2 3 2" xfId="585"/>
    <cellStyle name="쉼표 [0] 2 2 3 3" xfId="586"/>
    <cellStyle name="쉼표 [0] 2 2 4" xfId="587"/>
    <cellStyle name="쉼표 [0] 2 2 4 2" xfId="588"/>
    <cellStyle name="쉼표 [0] 2 2 4 3" xfId="589"/>
    <cellStyle name="쉼표 [0] 2 2 5" xfId="590"/>
    <cellStyle name="쉼표 [0] 2 2 5 2" xfId="591"/>
    <cellStyle name="쉼표 [0] 2 2 5 3" xfId="592"/>
    <cellStyle name="쉼표 [0] 2 2 6" xfId="593"/>
    <cellStyle name="쉼표 [0] 2 2 6 2" xfId="594"/>
    <cellStyle name="쉼표 [0] 2 2 6 3" xfId="595"/>
    <cellStyle name="쉼표 [0] 2 2 7" xfId="596"/>
    <cellStyle name="쉼표 [0] 2 2 7 2" xfId="597"/>
    <cellStyle name="쉼표 [0] 2 2 7 3" xfId="598"/>
    <cellStyle name="쉼표 [0] 2 2 8" xfId="599"/>
    <cellStyle name="쉼표 [0] 2 2 8 2" xfId="600"/>
    <cellStyle name="쉼표 [0] 2 2 8 3" xfId="601"/>
    <cellStyle name="쉼표 [0] 2 2 9" xfId="602"/>
    <cellStyle name="쉼표 [0] 2 2 9 2" xfId="603"/>
    <cellStyle name="쉼표 [0] 2 2 9 3" xfId="604"/>
    <cellStyle name="쉼표 [0] 2 20" xfId="605"/>
    <cellStyle name="쉼표 [0] 2 20 10" xfId="606"/>
    <cellStyle name="쉼표 [0] 2 20 10 2" xfId="607"/>
    <cellStyle name="쉼표 [0] 2 20 10 3" xfId="608"/>
    <cellStyle name="쉼표 [0] 2 20 11" xfId="609"/>
    <cellStyle name="쉼표 [0] 2 20 11 2" xfId="610"/>
    <cellStyle name="쉼표 [0] 2 20 11 3" xfId="611"/>
    <cellStyle name="쉼표 [0] 2 20 12" xfId="612"/>
    <cellStyle name="쉼표 [0] 2 20 12 2" xfId="613"/>
    <cellStyle name="쉼표 [0] 2 20 12 3" xfId="614"/>
    <cellStyle name="쉼표 [0] 2 20 13" xfId="615"/>
    <cellStyle name="쉼표 [0] 2 20 13 2" xfId="616"/>
    <cellStyle name="쉼표 [0] 2 20 13 3" xfId="617"/>
    <cellStyle name="쉼표 [0] 2 20 14" xfId="618"/>
    <cellStyle name="쉼표 [0] 2 20 15" xfId="619"/>
    <cellStyle name="쉼표 [0] 2 20 16" xfId="4005"/>
    <cellStyle name="쉼표 [0] 2 20 17" xfId="4498"/>
    <cellStyle name="쉼표 [0] 2 20 2" xfId="620"/>
    <cellStyle name="쉼표 [0] 2 20 2 2" xfId="621"/>
    <cellStyle name="쉼표 [0] 2 20 2 3" xfId="622"/>
    <cellStyle name="쉼표 [0] 2 20 3" xfId="623"/>
    <cellStyle name="쉼표 [0] 2 20 3 2" xfId="624"/>
    <cellStyle name="쉼표 [0] 2 20 3 3" xfId="625"/>
    <cellStyle name="쉼표 [0] 2 20 4" xfId="626"/>
    <cellStyle name="쉼표 [0] 2 20 4 2" xfId="627"/>
    <cellStyle name="쉼표 [0] 2 20 4 3" xfId="628"/>
    <cellStyle name="쉼표 [0] 2 20 5" xfId="629"/>
    <cellStyle name="쉼표 [0] 2 20 5 2" xfId="630"/>
    <cellStyle name="쉼표 [0] 2 20 5 3" xfId="631"/>
    <cellStyle name="쉼표 [0] 2 20 6" xfId="632"/>
    <cellStyle name="쉼표 [0] 2 20 6 2" xfId="633"/>
    <cellStyle name="쉼표 [0] 2 20 6 3" xfId="634"/>
    <cellStyle name="쉼표 [0] 2 20 7" xfId="635"/>
    <cellStyle name="쉼표 [0] 2 20 7 2" xfId="636"/>
    <cellStyle name="쉼표 [0] 2 20 7 3" xfId="637"/>
    <cellStyle name="쉼표 [0] 2 20 8" xfId="638"/>
    <cellStyle name="쉼표 [0] 2 20 8 2" xfId="639"/>
    <cellStyle name="쉼표 [0] 2 20 8 3" xfId="640"/>
    <cellStyle name="쉼표 [0] 2 20 9" xfId="641"/>
    <cellStyle name="쉼표 [0] 2 20 9 2" xfId="642"/>
    <cellStyle name="쉼표 [0] 2 20 9 3" xfId="643"/>
    <cellStyle name="쉼표 [0] 2 21" xfId="644"/>
    <cellStyle name="쉼표 [0] 2 21 10" xfId="645"/>
    <cellStyle name="쉼표 [0] 2 21 10 2" xfId="646"/>
    <cellStyle name="쉼표 [0] 2 21 10 3" xfId="647"/>
    <cellStyle name="쉼표 [0] 2 21 11" xfId="648"/>
    <cellStyle name="쉼표 [0] 2 21 11 2" xfId="649"/>
    <cellStyle name="쉼표 [0] 2 21 11 3" xfId="650"/>
    <cellStyle name="쉼표 [0] 2 21 12" xfId="651"/>
    <cellStyle name="쉼표 [0] 2 21 12 2" xfId="652"/>
    <cellStyle name="쉼표 [0] 2 21 12 3" xfId="653"/>
    <cellStyle name="쉼표 [0] 2 21 13" xfId="654"/>
    <cellStyle name="쉼표 [0] 2 21 13 2" xfId="655"/>
    <cellStyle name="쉼표 [0] 2 21 13 3" xfId="656"/>
    <cellStyle name="쉼표 [0] 2 21 14" xfId="657"/>
    <cellStyle name="쉼표 [0] 2 21 15" xfId="658"/>
    <cellStyle name="쉼표 [0] 2 21 16" xfId="4006"/>
    <cellStyle name="쉼표 [0] 2 21 17" xfId="4497"/>
    <cellStyle name="쉼표 [0] 2 21 2" xfId="659"/>
    <cellStyle name="쉼표 [0] 2 21 2 2" xfId="660"/>
    <cellStyle name="쉼표 [0] 2 21 2 3" xfId="661"/>
    <cellStyle name="쉼표 [0] 2 21 3" xfId="662"/>
    <cellStyle name="쉼표 [0] 2 21 3 2" xfId="663"/>
    <cellStyle name="쉼표 [0] 2 21 3 3" xfId="664"/>
    <cellStyle name="쉼표 [0] 2 21 4" xfId="665"/>
    <cellStyle name="쉼표 [0] 2 21 4 2" xfId="666"/>
    <cellStyle name="쉼표 [0] 2 21 4 3" xfId="667"/>
    <cellStyle name="쉼표 [0] 2 21 5" xfId="668"/>
    <cellStyle name="쉼표 [0] 2 21 5 2" xfId="669"/>
    <cellStyle name="쉼표 [0] 2 21 5 3" xfId="670"/>
    <cellStyle name="쉼표 [0] 2 21 6" xfId="671"/>
    <cellStyle name="쉼표 [0] 2 21 6 2" xfId="672"/>
    <cellStyle name="쉼표 [0] 2 21 6 3" xfId="673"/>
    <cellStyle name="쉼표 [0] 2 21 7" xfId="674"/>
    <cellStyle name="쉼표 [0] 2 21 7 2" xfId="675"/>
    <cellStyle name="쉼표 [0] 2 21 7 3" xfId="676"/>
    <cellStyle name="쉼표 [0] 2 21 8" xfId="677"/>
    <cellStyle name="쉼표 [0] 2 21 8 2" xfId="678"/>
    <cellStyle name="쉼표 [0] 2 21 8 3" xfId="679"/>
    <cellStyle name="쉼표 [0] 2 21 9" xfId="680"/>
    <cellStyle name="쉼표 [0] 2 21 9 2" xfId="681"/>
    <cellStyle name="쉼표 [0] 2 21 9 3" xfId="682"/>
    <cellStyle name="쉼표 [0] 2 22" xfId="683"/>
    <cellStyle name="쉼표 [0] 2 22 10" xfId="684"/>
    <cellStyle name="쉼표 [0] 2 22 10 2" xfId="685"/>
    <cellStyle name="쉼표 [0] 2 22 10 3" xfId="686"/>
    <cellStyle name="쉼표 [0] 2 22 11" xfId="687"/>
    <cellStyle name="쉼표 [0] 2 22 11 2" xfId="688"/>
    <cellStyle name="쉼표 [0] 2 22 11 3" xfId="689"/>
    <cellStyle name="쉼표 [0] 2 22 12" xfId="690"/>
    <cellStyle name="쉼표 [0] 2 22 12 2" xfId="691"/>
    <cellStyle name="쉼표 [0] 2 22 12 3" xfId="692"/>
    <cellStyle name="쉼표 [0] 2 22 13" xfId="693"/>
    <cellStyle name="쉼표 [0] 2 22 13 2" xfId="694"/>
    <cellStyle name="쉼표 [0] 2 22 13 3" xfId="695"/>
    <cellStyle name="쉼표 [0] 2 22 14" xfId="696"/>
    <cellStyle name="쉼표 [0] 2 22 15" xfId="697"/>
    <cellStyle name="쉼표 [0] 2 22 16" xfId="4007"/>
    <cellStyle name="쉼표 [0] 2 22 17" xfId="4496"/>
    <cellStyle name="쉼표 [0] 2 22 2" xfId="698"/>
    <cellStyle name="쉼표 [0] 2 22 2 2" xfId="699"/>
    <cellStyle name="쉼표 [0] 2 22 2 3" xfId="700"/>
    <cellStyle name="쉼표 [0] 2 22 3" xfId="701"/>
    <cellStyle name="쉼표 [0] 2 22 3 2" xfId="702"/>
    <cellStyle name="쉼표 [0] 2 22 3 3" xfId="703"/>
    <cellStyle name="쉼표 [0] 2 22 4" xfId="704"/>
    <cellStyle name="쉼표 [0] 2 22 4 2" xfId="705"/>
    <cellStyle name="쉼표 [0] 2 22 4 3" xfId="706"/>
    <cellStyle name="쉼표 [0] 2 22 5" xfId="707"/>
    <cellStyle name="쉼표 [0] 2 22 5 2" xfId="708"/>
    <cellStyle name="쉼표 [0] 2 22 5 3" xfId="709"/>
    <cellStyle name="쉼표 [0] 2 22 6" xfId="710"/>
    <cellStyle name="쉼표 [0] 2 22 6 2" xfId="711"/>
    <cellStyle name="쉼표 [0] 2 22 6 3" xfId="712"/>
    <cellStyle name="쉼표 [0] 2 22 7" xfId="713"/>
    <cellStyle name="쉼표 [0] 2 22 7 2" xfId="714"/>
    <cellStyle name="쉼표 [0] 2 22 7 3" xfId="715"/>
    <cellStyle name="쉼표 [0] 2 22 8" xfId="716"/>
    <cellStyle name="쉼표 [0] 2 22 8 2" xfId="717"/>
    <cellStyle name="쉼표 [0] 2 22 8 3" xfId="718"/>
    <cellStyle name="쉼표 [0] 2 22 9" xfId="719"/>
    <cellStyle name="쉼표 [0] 2 22 9 2" xfId="720"/>
    <cellStyle name="쉼표 [0] 2 22 9 3" xfId="721"/>
    <cellStyle name="쉼표 [0] 2 23" xfId="722"/>
    <cellStyle name="쉼표 [0] 2 23 10" xfId="723"/>
    <cellStyle name="쉼표 [0] 2 23 10 2" xfId="724"/>
    <cellStyle name="쉼표 [0] 2 23 10 3" xfId="725"/>
    <cellStyle name="쉼표 [0] 2 23 11" xfId="726"/>
    <cellStyle name="쉼표 [0] 2 23 11 2" xfId="727"/>
    <cellStyle name="쉼표 [0] 2 23 11 3" xfId="728"/>
    <cellStyle name="쉼표 [0] 2 23 12" xfId="729"/>
    <cellStyle name="쉼표 [0] 2 23 12 2" xfId="730"/>
    <cellStyle name="쉼표 [0] 2 23 12 3" xfId="731"/>
    <cellStyle name="쉼표 [0] 2 23 13" xfId="732"/>
    <cellStyle name="쉼표 [0] 2 23 13 2" xfId="733"/>
    <cellStyle name="쉼표 [0] 2 23 13 3" xfId="734"/>
    <cellStyle name="쉼표 [0] 2 23 14" xfId="735"/>
    <cellStyle name="쉼표 [0] 2 23 15" xfId="736"/>
    <cellStyle name="쉼표 [0] 2 23 16" xfId="4008"/>
    <cellStyle name="쉼표 [0] 2 23 17" xfId="4495"/>
    <cellStyle name="쉼표 [0] 2 23 2" xfId="737"/>
    <cellStyle name="쉼표 [0] 2 23 2 2" xfId="738"/>
    <cellStyle name="쉼표 [0] 2 23 2 3" xfId="739"/>
    <cellStyle name="쉼표 [0] 2 23 3" xfId="740"/>
    <cellStyle name="쉼표 [0] 2 23 3 2" xfId="741"/>
    <cellStyle name="쉼표 [0] 2 23 3 3" xfId="742"/>
    <cellStyle name="쉼표 [0] 2 23 4" xfId="743"/>
    <cellStyle name="쉼표 [0] 2 23 4 2" xfId="744"/>
    <cellStyle name="쉼표 [0] 2 23 4 3" xfId="745"/>
    <cellStyle name="쉼표 [0] 2 23 5" xfId="746"/>
    <cellStyle name="쉼표 [0] 2 23 5 2" xfId="747"/>
    <cellStyle name="쉼표 [0] 2 23 5 3" xfId="748"/>
    <cellStyle name="쉼표 [0] 2 23 6" xfId="749"/>
    <cellStyle name="쉼표 [0] 2 23 6 2" xfId="750"/>
    <cellStyle name="쉼표 [0] 2 23 6 3" xfId="751"/>
    <cellStyle name="쉼표 [0] 2 23 7" xfId="752"/>
    <cellStyle name="쉼표 [0] 2 23 7 2" xfId="753"/>
    <cellStyle name="쉼표 [0] 2 23 7 3" xfId="754"/>
    <cellStyle name="쉼표 [0] 2 23 8" xfId="755"/>
    <cellStyle name="쉼표 [0] 2 23 8 2" xfId="756"/>
    <cellStyle name="쉼표 [0] 2 23 8 3" xfId="757"/>
    <cellStyle name="쉼표 [0] 2 23 9" xfId="758"/>
    <cellStyle name="쉼표 [0] 2 23 9 2" xfId="759"/>
    <cellStyle name="쉼표 [0] 2 23 9 3" xfId="760"/>
    <cellStyle name="쉼표 [0] 2 24" xfId="761"/>
    <cellStyle name="쉼표 [0] 2 24 10" xfId="762"/>
    <cellStyle name="쉼표 [0] 2 24 10 2" xfId="763"/>
    <cellStyle name="쉼표 [0] 2 24 10 3" xfId="764"/>
    <cellStyle name="쉼표 [0] 2 24 11" xfId="765"/>
    <cellStyle name="쉼표 [0] 2 24 11 2" xfId="766"/>
    <cellStyle name="쉼표 [0] 2 24 11 3" xfId="767"/>
    <cellStyle name="쉼표 [0] 2 24 12" xfId="768"/>
    <cellStyle name="쉼표 [0] 2 24 12 2" xfId="769"/>
    <cellStyle name="쉼표 [0] 2 24 12 3" xfId="770"/>
    <cellStyle name="쉼표 [0] 2 24 13" xfId="771"/>
    <cellStyle name="쉼표 [0] 2 24 13 2" xfId="772"/>
    <cellStyle name="쉼표 [0] 2 24 13 3" xfId="773"/>
    <cellStyle name="쉼표 [0] 2 24 14" xfId="774"/>
    <cellStyle name="쉼표 [0] 2 24 15" xfId="775"/>
    <cellStyle name="쉼표 [0] 2 24 16" xfId="4009"/>
    <cellStyle name="쉼표 [0] 2 24 17" xfId="4494"/>
    <cellStyle name="쉼표 [0] 2 24 2" xfId="776"/>
    <cellStyle name="쉼표 [0] 2 24 2 2" xfId="777"/>
    <cellStyle name="쉼표 [0] 2 24 2 3" xfId="778"/>
    <cellStyle name="쉼표 [0] 2 24 3" xfId="779"/>
    <cellStyle name="쉼표 [0] 2 24 3 2" xfId="780"/>
    <cellStyle name="쉼표 [0] 2 24 3 3" xfId="781"/>
    <cellStyle name="쉼표 [0] 2 24 4" xfId="782"/>
    <cellStyle name="쉼표 [0] 2 24 4 2" xfId="783"/>
    <cellStyle name="쉼표 [0] 2 24 4 3" xfId="784"/>
    <cellStyle name="쉼표 [0] 2 24 5" xfId="785"/>
    <cellStyle name="쉼표 [0] 2 24 5 2" xfId="786"/>
    <cellStyle name="쉼표 [0] 2 24 5 3" xfId="787"/>
    <cellStyle name="쉼표 [0] 2 24 6" xfId="788"/>
    <cellStyle name="쉼표 [0] 2 24 6 2" xfId="789"/>
    <cellStyle name="쉼표 [0] 2 24 6 3" xfId="790"/>
    <cellStyle name="쉼표 [0] 2 24 7" xfId="791"/>
    <cellStyle name="쉼표 [0] 2 24 7 2" xfId="792"/>
    <cellStyle name="쉼표 [0] 2 24 7 3" xfId="793"/>
    <cellStyle name="쉼표 [0] 2 24 8" xfId="794"/>
    <cellStyle name="쉼표 [0] 2 24 8 2" xfId="795"/>
    <cellStyle name="쉼표 [0] 2 24 8 3" xfId="796"/>
    <cellStyle name="쉼표 [0] 2 24 9" xfId="797"/>
    <cellStyle name="쉼표 [0] 2 24 9 2" xfId="798"/>
    <cellStyle name="쉼표 [0] 2 24 9 3" xfId="799"/>
    <cellStyle name="쉼표 [0] 2 25" xfId="800"/>
    <cellStyle name="쉼표 [0] 2 25 10" xfId="801"/>
    <cellStyle name="쉼표 [0] 2 25 10 2" xfId="802"/>
    <cellStyle name="쉼표 [0] 2 25 10 3" xfId="803"/>
    <cellStyle name="쉼표 [0] 2 25 11" xfId="804"/>
    <cellStyle name="쉼표 [0] 2 25 11 2" xfId="805"/>
    <cellStyle name="쉼표 [0] 2 25 11 3" xfId="806"/>
    <cellStyle name="쉼표 [0] 2 25 12" xfId="807"/>
    <cellStyle name="쉼표 [0] 2 25 12 2" xfId="808"/>
    <cellStyle name="쉼표 [0] 2 25 12 3" xfId="809"/>
    <cellStyle name="쉼표 [0] 2 25 13" xfId="810"/>
    <cellStyle name="쉼표 [0] 2 25 13 2" xfId="811"/>
    <cellStyle name="쉼표 [0] 2 25 13 3" xfId="812"/>
    <cellStyle name="쉼표 [0] 2 25 14" xfId="813"/>
    <cellStyle name="쉼표 [0] 2 25 15" xfId="814"/>
    <cellStyle name="쉼표 [0] 2 25 16" xfId="4010"/>
    <cellStyle name="쉼표 [0] 2 25 17" xfId="4493"/>
    <cellStyle name="쉼표 [0] 2 25 2" xfId="815"/>
    <cellStyle name="쉼표 [0] 2 25 2 2" xfId="816"/>
    <cellStyle name="쉼표 [0] 2 25 2 3" xfId="817"/>
    <cellStyle name="쉼표 [0] 2 25 3" xfId="818"/>
    <cellStyle name="쉼표 [0] 2 25 3 2" xfId="819"/>
    <cellStyle name="쉼표 [0] 2 25 3 3" xfId="820"/>
    <cellStyle name="쉼표 [0] 2 25 4" xfId="821"/>
    <cellStyle name="쉼표 [0] 2 25 4 2" xfId="822"/>
    <cellStyle name="쉼표 [0] 2 25 4 3" xfId="823"/>
    <cellStyle name="쉼표 [0] 2 25 5" xfId="824"/>
    <cellStyle name="쉼표 [0] 2 25 5 2" xfId="825"/>
    <cellStyle name="쉼표 [0] 2 25 5 3" xfId="826"/>
    <cellStyle name="쉼표 [0] 2 25 6" xfId="827"/>
    <cellStyle name="쉼표 [0] 2 25 6 2" xfId="828"/>
    <cellStyle name="쉼표 [0] 2 25 6 3" xfId="829"/>
    <cellStyle name="쉼표 [0] 2 25 7" xfId="830"/>
    <cellStyle name="쉼표 [0] 2 25 7 2" xfId="831"/>
    <cellStyle name="쉼표 [0] 2 25 7 3" xfId="832"/>
    <cellStyle name="쉼표 [0] 2 25 8" xfId="833"/>
    <cellStyle name="쉼표 [0] 2 25 8 2" xfId="834"/>
    <cellStyle name="쉼표 [0] 2 25 8 3" xfId="835"/>
    <cellStyle name="쉼표 [0] 2 25 9" xfId="836"/>
    <cellStyle name="쉼표 [0] 2 25 9 2" xfId="837"/>
    <cellStyle name="쉼표 [0] 2 25 9 3" xfId="838"/>
    <cellStyle name="쉼표 [0] 2 26" xfId="839"/>
    <cellStyle name="쉼표 [0] 2 26 10" xfId="840"/>
    <cellStyle name="쉼표 [0] 2 26 10 2" xfId="841"/>
    <cellStyle name="쉼표 [0] 2 26 10 3" xfId="842"/>
    <cellStyle name="쉼표 [0] 2 26 11" xfId="843"/>
    <cellStyle name="쉼표 [0] 2 26 11 2" xfId="844"/>
    <cellStyle name="쉼표 [0] 2 26 11 3" xfId="845"/>
    <cellStyle name="쉼표 [0] 2 26 12" xfId="846"/>
    <cellStyle name="쉼표 [0] 2 26 12 2" xfId="847"/>
    <cellStyle name="쉼표 [0] 2 26 12 3" xfId="848"/>
    <cellStyle name="쉼표 [0] 2 26 13" xfId="849"/>
    <cellStyle name="쉼표 [0] 2 26 13 2" xfId="850"/>
    <cellStyle name="쉼표 [0] 2 26 13 3" xfId="851"/>
    <cellStyle name="쉼표 [0] 2 26 14" xfId="852"/>
    <cellStyle name="쉼표 [0] 2 26 15" xfId="853"/>
    <cellStyle name="쉼표 [0] 2 26 16" xfId="4011"/>
    <cellStyle name="쉼표 [0] 2 26 17" xfId="4492"/>
    <cellStyle name="쉼표 [0] 2 26 2" xfId="854"/>
    <cellStyle name="쉼표 [0] 2 26 2 2" xfId="855"/>
    <cellStyle name="쉼표 [0] 2 26 2 3" xfId="856"/>
    <cellStyle name="쉼표 [0] 2 26 3" xfId="857"/>
    <cellStyle name="쉼표 [0] 2 26 3 2" xfId="858"/>
    <cellStyle name="쉼표 [0] 2 26 3 3" xfId="859"/>
    <cellStyle name="쉼표 [0] 2 26 4" xfId="860"/>
    <cellStyle name="쉼표 [0] 2 26 4 2" xfId="861"/>
    <cellStyle name="쉼표 [0] 2 26 4 3" xfId="862"/>
    <cellStyle name="쉼표 [0] 2 26 5" xfId="863"/>
    <cellStyle name="쉼표 [0] 2 26 5 2" xfId="864"/>
    <cellStyle name="쉼표 [0] 2 26 5 3" xfId="865"/>
    <cellStyle name="쉼표 [0] 2 26 6" xfId="866"/>
    <cellStyle name="쉼표 [0] 2 26 6 2" xfId="867"/>
    <cellStyle name="쉼표 [0] 2 26 6 3" xfId="868"/>
    <cellStyle name="쉼표 [0] 2 26 7" xfId="869"/>
    <cellStyle name="쉼표 [0] 2 26 7 2" xfId="870"/>
    <cellStyle name="쉼표 [0] 2 26 7 3" xfId="871"/>
    <cellStyle name="쉼표 [0] 2 26 8" xfId="872"/>
    <cellStyle name="쉼표 [0] 2 26 8 2" xfId="873"/>
    <cellStyle name="쉼표 [0] 2 26 8 3" xfId="874"/>
    <cellStyle name="쉼표 [0] 2 26 9" xfId="875"/>
    <cellStyle name="쉼표 [0] 2 26 9 2" xfId="876"/>
    <cellStyle name="쉼표 [0] 2 26 9 3" xfId="877"/>
    <cellStyle name="쉼표 [0] 2 27" xfId="878"/>
    <cellStyle name="쉼표 [0] 2 27 10" xfId="879"/>
    <cellStyle name="쉼표 [0] 2 27 10 2" xfId="880"/>
    <cellStyle name="쉼표 [0] 2 27 10 3" xfId="881"/>
    <cellStyle name="쉼표 [0] 2 27 11" xfId="882"/>
    <cellStyle name="쉼표 [0] 2 27 11 2" xfId="883"/>
    <cellStyle name="쉼표 [0] 2 27 11 3" xfId="884"/>
    <cellStyle name="쉼표 [0] 2 27 12" xfId="885"/>
    <cellStyle name="쉼표 [0] 2 27 12 2" xfId="886"/>
    <cellStyle name="쉼표 [0] 2 27 12 3" xfId="887"/>
    <cellStyle name="쉼표 [0] 2 27 13" xfId="888"/>
    <cellStyle name="쉼표 [0] 2 27 13 2" xfId="889"/>
    <cellStyle name="쉼표 [0] 2 27 13 3" xfId="890"/>
    <cellStyle name="쉼표 [0] 2 27 14" xfId="891"/>
    <cellStyle name="쉼표 [0] 2 27 15" xfId="892"/>
    <cellStyle name="쉼표 [0] 2 27 16" xfId="4012"/>
    <cellStyle name="쉼표 [0] 2 27 17" xfId="4491"/>
    <cellStyle name="쉼표 [0] 2 27 2" xfId="893"/>
    <cellStyle name="쉼표 [0] 2 27 2 2" xfId="894"/>
    <cellStyle name="쉼표 [0] 2 27 2 3" xfId="895"/>
    <cellStyle name="쉼표 [0] 2 27 3" xfId="896"/>
    <cellStyle name="쉼표 [0] 2 27 3 2" xfId="897"/>
    <cellStyle name="쉼표 [0] 2 27 3 3" xfId="898"/>
    <cellStyle name="쉼표 [0] 2 27 4" xfId="899"/>
    <cellStyle name="쉼표 [0] 2 27 4 2" xfId="900"/>
    <cellStyle name="쉼표 [0] 2 27 4 3" xfId="901"/>
    <cellStyle name="쉼표 [0] 2 27 5" xfId="902"/>
    <cellStyle name="쉼표 [0] 2 27 5 2" xfId="903"/>
    <cellStyle name="쉼표 [0] 2 27 5 3" xfId="904"/>
    <cellStyle name="쉼표 [0] 2 27 6" xfId="905"/>
    <cellStyle name="쉼표 [0] 2 27 6 2" xfId="906"/>
    <cellStyle name="쉼표 [0] 2 27 6 3" xfId="907"/>
    <cellStyle name="쉼표 [0] 2 27 7" xfId="908"/>
    <cellStyle name="쉼표 [0] 2 27 7 2" xfId="909"/>
    <cellStyle name="쉼표 [0] 2 27 7 3" xfId="910"/>
    <cellStyle name="쉼표 [0] 2 27 8" xfId="911"/>
    <cellStyle name="쉼표 [0] 2 27 8 2" xfId="912"/>
    <cellStyle name="쉼표 [0] 2 27 8 3" xfId="913"/>
    <cellStyle name="쉼표 [0] 2 27 9" xfId="914"/>
    <cellStyle name="쉼표 [0] 2 27 9 2" xfId="915"/>
    <cellStyle name="쉼표 [0] 2 27 9 3" xfId="916"/>
    <cellStyle name="쉼표 [0] 2 28" xfId="917"/>
    <cellStyle name="쉼표 [0] 2 28 10" xfId="918"/>
    <cellStyle name="쉼표 [0] 2 28 10 2" xfId="919"/>
    <cellStyle name="쉼표 [0] 2 28 10 3" xfId="920"/>
    <cellStyle name="쉼표 [0] 2 28 11" xfId="921"/>
    <cellStyle name="쉼표 [0] 2 28 11 2" xfId="922"/>
    <cellStyle name="쉼표 [0] 2 28 11 3" xfId="923"/>
    <cellStyle name="쉼표 [0] 2 28 12" xfId="924"/>
    <cellStyle name="쉼표 [0] 2 28 12 2" xfId="925"/>
    <cellStyle name="쉼표 [0] 2 28 12 3" xfId="926"/>
    <cellStyle name="쉼표 [0] 2 28 13" xfId="927"/>
    <cellStyle name="쉼표 [0] 2 28 13 2" xfId="928"/>
    <cellStyle name="쉼표 [0] 2 28 13 3" xfId="929"/>
    <cellStyle name="쉼표 [0] 2 28 14" xfId="930"/>
    <cellStyle name="쉼표 [0] 2 28 15" xfId="931"/>
    <cellStyle name="쉼표 [0] 2 28 16" xfId="4013"/>
    <cellStyle name="쉼표 [0] 2 28 17" xfId="4490"/>
    <cellStyle name="쉼표 [0] 2 28 2" xfId="932"/>
    <cellStyle name="쉼표 [0] 2 28 2 2" xfId="933"/>
    <cellStyle name="쉼표 [0] 2 28 2 3" xfId="934"/>
    <cellStyle name="쉼표 [0] 2 28 3" xfId="935"/>
    <cellStyle name="쉼표 [0] 2 28 3 2" xfId="936"/>
    <cellStyle name="쉼표 [0] 2 28 3 3" xfId="937"/>
    <cellStyle name="쉼표 [0] 2 28 4" xfId="938"/>
    <cellStyle name="쉼표 [0] 2 28 4 2" xfId="939"/>
    <cellStyle name="쉼표 [0] 2 28 4 3" xfId="940"/>
    <cellStyle name="쉼표 [0] 2 28 5" xfId="941"/>
    <cellStyle name="쉼표 [0] 2 28 5 2" xfId="942"/>
    <cellStyle name="쉼표 [0] 2 28 5 3" xfId="943"/>
    <cellStyle name="쉼표 [0] 2 28 6" xfId="944"/>
    <cellStyle name="쉼표 [0] 2 28 6 2" xfId="945"/>
    <cellStyle name="쉼표 [0] 2 28 6 3" xfId="946"/>
    <cellStyle name="쉼표 [0] 2 28 7" xfId="947"/>
    <cellStyle name="쉼표 [0] 2 28 7 2" xfId="948"/>
    <cellStyle name="쉼표 [0] 2 28 7 3" xfId="949"/>
    <cellStyle name="쉼표 [0] 2 28 8" xfId="950"/>
    <cellStyle name="쉼표 [0] 2 28 8 2" xfId="951"/>
    <cellStyle name="쉼표 [0] 2 28 8 3" xfId="952"/>
    <cellStyle name="쉼표 [0] 2 28 9" xfId="953"/>
    <cellStyle name="쉼표 [0] 2 28 9 2" xfId="954"/>
    <cellStyle name="쉼표 [0] 2 28 9 3" xfId="955"/>
    <cellStyle name="쉼표 [0] 2 29" xfId="956"/>
    <cellStyle name="쉼표 [0] 2 29 10" xfId="957"/>
    <cellStyle name="쉼표 [0] 2 29 10 2" xfId="958"/>
    <cellStyle name="쉼표 [0] 2 29 10 3" xfId="959"/>
    <cellStyle name="쉼표 [0] 2 29 11" xfId="960"/>
    <cellStyle name="쉼표 [0] 2 29 11 2" xfId="961"/>
    <cellStyle name="쉼표 [0] 2 29 11 3" xfId="962"/>
    <cellStyle name="쉼표 [0] 2 29 12" xfId="963"/>
    <cellStyle name="쉼표 [0] 2 29 12 2" xfId="964"/>
    <cellStyle name="쉼표 [0] 2 29 12 3" xfId="965"/>
    <cellStyle name="쉼표 [0] 2 29 13" xfId="966"/>
    <cellStyle name="쉼표 [0] 2 29 13 2" xfId="967"/>
    <cellStyle name="쉼표 [0] 2 29 13 3" xfId="968"/>
    <cellStyle name="쉼표 [0] 2 29 14" xfId="969"/>
    <cellStyle name="쉼표 [0] 2 29 15" xfId="970"/>
    <cellStyle name="쉼표 [0] 2 29 16" xfId="4014"/>
    <cellStyle name="쉼표 [0] 2 29 17" xfId="4489"/>
    <cellStyle name="쉼표 [0] 2 29 2" xfId="971"/>
    <cellStyle name="쉼표 [0] 2 29 2 2" xfId="972"/>
    <cellStyle name="쉼표 [0] 2 29 2 3" xfId="973"/>
    <cellStyle name="쉼표 [0] 2 29 3" xfId="974"/>
    <cellStyle name="쉼표 [0] 2 29 3 2" xfId="975"/>
    <cellStyle name="쉼표 [0] 2 29 3 3" xfId="976"/>
    <cellStyle name="쉼표 [0] 2 29 4" xfId="977"/>
    <cellStyle name="쉼표 [0] 2 29 4 2" xfId="978"/>
    <cellStyle name="쉼표 [0] 2 29 4 3" xfId="979"/>
    <cellStyle name="쉼표 [0] 2 29 5" xfId="980"/>
    <cellStyle name="쉼표 [0] 2 29 5 2" xfId="981"/>
    <cellStyle name="쉼표 [0] 2 29 5 3" xfId="982"/>
    <cellStyle name="쉼표 [0] 2 29 6" xfId="983"/>
    <cellStyle name="쉼표 [0] 2 29 6 2" xfId="984"/>
    <cellStyle name="쉼표 [0] 2 29 6 3" xfId="985"/>
    <cellStyle name="쉼표 [0] 2 29 7" xfId="986"/>
    <cellStyle name="쉼표 [0] 2 29 7 2" xfId="987"/>
    <cellStyle name="쉼표 [0] 2 29 7 3" xfId="988"/>
    <cellStyle name="쉼표 [0] 2 29 8" xfId="989"/>
    <cellStyle name="쉼표 [0] 2 29 8 2" xfId="990"/>
    <cellStyle name="쉼표 [0] 2 29 8 3" xfId="991"/>
    <cellStyle name="쉼표 [0] 2 29 9" xfId="992"/>
    <cellStyle name="쉼표 [0] 2 29 9 2" xfId="993"/>
    <cellStyle name="쉼표 [0] 2 29 9 3" xfId="994"/>
    <cellStyle name="쉼표 [0] 2 3" xfId="995"/>
    <cellStyle name="쉼표 [0] 2 3 10" xfId="996"/>
    <cellStyle name="쉼표 [0] 2 3 10 2" xfId="997"/>
    <cellStyle name="쉼표 [0] 2 3 10 3" xfId="998"/>
    <cellStyle name="쉼표 [0] 2 3 11" xfId="999"/>
    <cellStyle name="쉼표 [0] 2 3 11 2" xfId="1000"/>
    <cellStyle name="쉼표 [0] 2 3 11 3" xfId="1001"/>
    <cellStyle name="쉼표 [0] 2 3 12" xfId="1002"/>
    <cellStyle name="쉼표 [0] 2 3 12 2" xfId="1003"/>
    <cellStyle name="쉼표 [0] 2 3 12 3" xfId="1004"/>
    <cellStyle name="쉼표 [0] 2 3 13" xfId="1005"/>
    <cellStyle name="쉼표 [0] 2 3 13 2" xfId="1006"/>
    <cellStyle name="쉼표 [0] 2 3 13 3" xfId="1007"/>
    <cellStyle name="쉼표 [0] 2 3 14" xfId="1008"/>
    <cellStyle name="쉼표 [0] 2 3 15" xfId="1009"/>
    <cellStyle name="쉼표 [0] 2 3 16" xfId="1010"/>
    <cellStyle name="쉼표 [0] 2 3 17" xfId="3432"/>
    <cellStyle name="쉼표 [0] 2 3 18" xfId="4488"/>
    <cellStyle name="쉼표 [0] 2 3 2" xfId="1011"/>
    <cellStyle name="쉼표 [0] 2 3 2 2" xfId="1012"/>
    <cellStyle name="쉼표 [0] 2 3 2 3" xfId="1013"/>
    <cellStyle name="쉼표 [0] 2 3 3" xfId="1014"/>
    <cellStyle name="쉼표 [0] 2 3 3 2" xfId="1015"/>
    <cellStyle name="쉼표 [0] 2 3 3 3" xfId="1016"/>
    <cellStyle name="쉼표 [0] 2 3 4" xfId="1017"/>
    <cellStyle name="쉼표 [0] 2 3 4 2" xfId="1018"/>
    <cellStyle name="쉼표 [0] 2 3 4 3" xfId="1019"/>
    <cellStyle name="쉼표 [0] 2 3 5" xfId="1020"/>
    <cellStyle name="쉼표 [0] 2 3 5 2" xfId="1021"/>
    <cellStyle name="쉼표 [0] 2 3 5 3" xfId="1022"/>
    <cellStyle name="쉼표 [0] 2 3 6" xfId="1023"/>
    <cellStyle name="쉼표 [0] 2 3 6 2" xfId="1024"/>
    <cellStyle name="쉼표 [0] 2 3 6 3" xfId="1025"/>
    <cellStyle name="쉼표 [0] 2 3 7" xfId="1026"/>
    <cellStyle name="쉼표 [0] 2 3 7 2" xfId="1027"/>
    <cellStyle name="쉼표 [0] 2 3 7 3" xfId="1028"/>
    <cellStyle name="쉼표 [0] 2 3 8" xfId="1029"/>
    <cellStyle name="쉼표 [0] 2 3 8 2" xfId="1030"/>
    <cellStyle name="쉼표 [0] 2 3 8 3" xfId="1031"/>
    <cellStyle name="쉼표 [0] 2 3 9" xfId="1032"/>
    <cellStyle name="쉼표 [0] 2 3 9 2" xfId="1033"/>
    <cellStyle name="쉼표 [0] 2 3 9 3" xfId="1034"/>
    <cellStyle name="쉼표 [0] 2 30" xfId="1035"/>
    <cellStyle name="쉼표 [0] 2 30 10" xfId="1036"/>
    <cellStyle name="쉼표 [0] 2 30 10 2" xfId="1037"/>
    <cellStyle name="쉼표 [0] 2 30 10 3" xfId="1038"/>
    <cellStyle name="쉼표 [0] 2 30 11" xfId="1039"/>
    <cellStyle name="쉼표 [0] 2 30 11 2" xfId="1040"/>
    <cellStyle name="쉼표 [0] 2 30 11 3" xfId="1041"/>
    <cellStyle name="쉼표 [0] 2 30 12" xfId="1042"/>
    <cellStyle name="쉼표 [0] 2 30 12 2" xfId="1043"/>
    <cellStyle name="쉼표 [0] 2 30 12 3" xfId="1044"/>
    <cellStyle name="쉼표 [0] 2 30 13" xfId="1045"/>
    <cellStyle name="쉼표 [0] 2 30 13 2" xfId="1046"/>
    <cellStyle name="쉼표 [0] 2 30 13 3" xfId="1047"/>
    <cellStyle name="쉼표 [0] 2 30 14" xfId="1048"/>
    <cellStyle name="쉼표 [0] 2 30 15" xfId="1049"/>
    <cellStyle name="쉼표 [0] 2 30 16" xfId="4015"/>
    <cellStyle name="쉼표 [0] 2 30 17" xfId="4487"/>
    <cellStyle name="쉼표 [0] 2 30 2" xfId="1050"/>
    <cellStyle name="쉼표 [0] 2 30 2 2" xfId="1051"/>
    <cellStyle name="쉼표 [0] 2 30 2 3" xfId="1052"/>
    <cellStyle name="쉼표 [0] 2 30 3" xfId="1053"/>
    <cellStyle name="쉼표 [0] 2 30 3 2" xfId="1054"/>
    <cellStyle name="쉼표 [0] 2 30 3 3" xfId="1055"/>
    <cellStyle name="쉼표 [0] 2 30 4" xfId="1056"/>
    <cellStyle name="쉼표 [0] 2 30 4 2" xfId="1057"/>
    <cellStyle name="쉼표 [0] 2 30 4 3" xfId="1058"/>
    <cellStyle name="쉼표 [0] 2 30 5" xfId="1059"/>
    <cellStyle name="쉼표 [0] 2 30 5 2" xfId="1060"/>
    <cellStyle name="쉼표 [0] 2 30 5 3" xfId="1061"/>
    <cellStyle name="쉼표 [0] 2 30 6" xfId="1062"/>
    <cellStyle name="쉼표 [0] 2 30 6 2" xfId="1063"/>
    <cellStyle name="쉼표 [0] 2 30 6 3" xfId="1064"/>
    <cellStyle name="쉼표 [0] 2 30 7" xfId="1065"/>
    <cellStyle name="쉼표 [0] 2 30 7 2" xfId="1066"/>
    <cellStyle name="쉼표 [0] 2 30 7 3" xfId="1067"/>
    <cellStyle name="쉼표 [0] 2 30 8" xfId="1068"/>
    <cellStyle name="쉼표 [0] 2 30 8 2" xfId="1069"/>
    <cellStyle name="쉼표 [0] 2 30 8 3" xfId="1070"/>
    <cellStyle name="쉼표 [0] 2 30 9" xfId="1071"/>
    <cellStyle name="쉼표 [0] 2 30 9 2" xfId="1072"/>
    <cellStyle name="쉼표 [0] 2 30 9 3" xfId="1073"/>
    <cellStyle name="쉼표 [0] 2 31" xfId="1074"/>
    <cellStyle name="쉼표 [0] 2 31 10" xfId="1075"/>
    <cellStyle name="쉼표 [0] 2 31 10 2" xfId="1076"/>
    <cellStyle name="쉼표 [0] 2 31 10 3" xfId="1077"/>
    <cellStyle name="쉼표 [0] 2 31 11" xfId="1078"/>
    <cellStyle name="쉼표 [0] 2 31 11 2" xfId="1079"/>
    <cellStyle name="쉼표 [0] 2 31 11 3" xfId="1080"/>
    <cellStyle name="쉼표 [0] 2 31 12" xfId="1081"/>
    <cellStyle name="쉼표 [0] 2 31 12 2" xfId="1082"/>
    <cellStyle name="쉼표 [0] 2 31 12 3" xfId="1083"/>
    <cellStyle name="쉼표 [0] 2 31 13" xfId="1084"/>
    <cellStyle name="쉼표 [0] 2 31 13 2" xfId="1085"/>
    <cellStyle name="쉼표 [0] 2 31 13 3" xfId="1086"/>
    <cellStyle name="쉼표 [0] 2 31 14" xfId="1087"/>
    <cellStyle name="쉼표 [0] 2 31 15" xfId="1088"/>
    <cellStyle name="쉼표 [0] 2 31 16" xfId="4016"/>
    <cellStyle name="쉼표 [0] 2 31 17" xfId="4486"/>
    <cellStyle name="쉼표 [0] 2 31 2" xfId="1089"/>
    <cellStyle name="쉼표 [0] 2 31 2 2" xfId="1090"/>
    <cellStyle name="쉼표 [0] 2 31 2 3" xfId="1091"/>
    <cellStyle name="쉼표 [0] 2 31 3" xfId="1092"/>
    <cellStyle name="쉼표 [0] 2 31 3 2" xfId="1093"/>
    <cellStyle name="쉼표 [0] 2 31 3 3" xfId="1094"/>
    <cellStyle name="쉼표 [0] 2 31 4" xfId="1095"/>
    <cellStyle name="쉼표 [0] 2 31 4 2" xfId="1096"/>
    <cellStyle name="쉼표 [0] 2 31 4 3" xfId="1097"/>
    <cellStyle name="쉼표 [0] 2 31 5" xfId="1098"/>
    <cellStyle name="쉼표 [0] 2 31 5 2" xfId="1099"/>
    <cellStyle name="쉼표 [0] 2 31 5 3" xfId="1100"/>
    <cellStyle name="쉼표 [0] 2 31 6" xfId="1101"/>
    <cellStyle name="쉼표 [0] 2 31 6 2" xfId="1102"/>
    <cellStyle name="쉼표 [0] 2 31 6 3" xfId="1103"/>
    <cellStyle name="쉼표 [0] 2 31 7" xfId="1104"/>
    <cellStyle name="쉼표 [0] 2 31 7 2" xfId="1105"/>
    <cellStyle name="쉼표 [0] 2 31 7 3" xfId="1106"/>
    <cellStyle name="쉼표 [0] 2 31 8" xfId="1107"/>
    <cellStyle name="쉼표 [0] 2 31 8 2" xfId="1108"/>
    <cellStyle name="쉼표 [0] 2 31 8 3" xfId="1109"/>
    <cellStyle name="쉼표 [0] 2 31 9" xfId="1110"/>
    <cellStyle name="쉼표 [0] 2 31 9 2" xfId="1111"/>
    <cellStyle name="쉼표 [0] 2 31 9 3" xfId="1112"/>
    <cellStyle name="쉼표 [0] 2 32" xfId="1113"/>
    <cellStyle name="쉼표 [0] 2 32 10" xfId="1114"/>
    <cellStyle name="쉼표 [0] 2 32 10 2" xfId="1115"/>
    <cellStyle name="쉼표 [0] 2 32 10 3" xfId="1116"/>
    <cellStyle name="쉼표 [0] 2 32 11" xfId="1117"/>
    <cellStyle name="쉼표 [0] 2 32 11 2" xfId="1118"/>
    <cellStyle name="쉼표 [0] 2 32 11 3" xfId="1119"/>
    <cellStyle name="쉼표 [0] 2 32 12" xfId="1120"/>
    <cellStyle name="쉼표 [0] 2 32 12 2" xfId="1121"/>
    <cellStyle name="쉼표 [0] 2 32 12 3" xfId="1122"/>
    <cellStyle name="쉼표 [0] 2 32 13" xfId="1123"/>
    <cellStyle name="쉼표 [0] 2 32 13 2" xfId="1124"/>
    <cellStyle name="쉼표 [0] 2 32 13 3" xfId="1125"/>
    <cellStyle name="쉼표 [0] 2 32 14" xfId="1126"/>
    <cellStyle name="쉼표 [0] 2 32 15" xfId="1127"/>
    <cellStyle name="쉼표 [0] 2 32 16" xfId="4017"/>
    <cellStyle name="쉼표 [0] 2 32 17" xfId="4485"/>
    <cellStyle name="쉼표 [0] 2 32 2" xfId="1128"/>
    <cellStyle name="쉼표 [0] 2 32 2 2" xfId="1129"/>
    <cellStyle name="쉼표 [0] 2 32 2 3" xfId="1130"/>
    <cellStyle name="쉼표 [0] 2 32 3" xfId="1131"/>
    <cellStyle name="쉼표 [0] 2 32 3 2" xfId="1132"/>
    <cellStyle name="쉼표 [0] 2 32 3 3" xfId="1133"/>
    <cellStyle name="쉼표 [0] 2 32 4" xfId="1134"/>
    <cellStyle name="쉼표 [0] 2 32 4 2" xfId="1135"/>
    <cellStyle name="쉼표 [0] 2 32 4 3" xfId="1136"/>
    <cellStyle name="쉼표 [0] 2 32 5" xfId="1137"/>
    <cellStyle name="쉼표 [0] 2 32 5 2" xfId="1138"/>
    <cellStyle name="쉼표 [0] 2 32 5 3" xfId="1139"/>
    <cellStyle name="쉼표 [0] 2 32 6" xfId="1140"/>
    <cellStyle name="쉼표 [0] 2 32 6 2" xfId="1141"/>
    <cellStyle name="쉼표 [0] 2 32 6 3" xfId="1142"/>
    <cellStyle name="쉼표 [0] 2 32 7" xfId="1143"/>
    <cellStyle name="쉼표 [0] 2 32 7 2" xfId="1144"/>
    <cellStyle name="쉼표 [0] 2 32 7 3" xfId="1145"/>
    <cellStyle name="쉼표 [0] 2 32 8" xfId="1146"/>
    <cellStyle name="쉼표 [0] 2 32 8 2" xfId="1147"/>
    <cellStyle name="쉼표 [0] 2 32 8 3" xfId="1148"/>
    <cellStyle name="쉼표 [0] 2 32 9" xfId="1149"/>
    <cellStyle name="쉼표 [0] 2 32 9 2" xfId="1150"/>
    <cellStyle name="쉼표 [0] 2 32 9 3" xfId="1151"/>
    <cellStyle name="쉼표 [0] 2 33" xfId="1152"/>
    <cellStyle name="쉼표 [0] 2 33 10" xfId="1153"/>
    <cellStyle name="쉼표 [0] 2 33 10 2" xfId="1154"/>
    <cellStyle name="쉼표 [0] 2 33 10 3" xfId="1155"/>
    <cellStyle name="쉼표 [0] 2 33 11" xfId="1156"/>
    <cellStyle name="쉼표 [0] 2 33 11 2" xfId="1157"/>
    <cellStyle name="쉼표 [0] 2 33 11 3" xfId="1158"/>
    <cellStyle name="쉼표 [0] 2 33 12" xfId="1159"/>
    <cellStyle name="쉼표 [0] 2 33 12 2" xfId="1160"/>
    <cellStyle name="쉼표 [0] 2 33 12 3" xfId="1161"/>
    <cellStyle name="쉼표 [0] 2 33 13" xfId="1162"/>
    <cellStyle name="쉼표 [0] 2 33 13 2" xfId="1163"/>
    <cellStyle name="쉼표 [0] 2 33 13 3" xfId="1164"/>
    <cellStyle name="쉼표 [0] 2 33 14" xfId="1165"/>
    <cellStyle name="쉼표 [0] 2 33 15" xfId="1166"/>
    <cellStyle name="쉼표 [0] 2 33 16" xfId="4018"/>
    <cellStyle name="쉼표 [0] 2 33 17" xfId="4484"/>
    <cellStyle name="쉼표 [0] 2 33 2" xfId="1167"/>
    <cellStyle name="쉼표 [0] 2 33 2 2" xfId="1168"/>
    <cellStyle name="쉼표 [0] 2 33 2 3" xfId="1169"/>
    <cellStyle name="쉼표 [0] 2 33 3" xfId="1170"/>
    <cellStyle name="쉼표 [0] 2 33 3 2" xfId="1171"/>
    <cellStyle name="쉼표 [0] 2 33 3 3" xfId="1172"/>
    <cellStyle name="쉼표 [0] 2 33 4" xfId="1173"/>
    <cellStyle name="쉼표 [0] 2 33 4 2" xfId="1174"/>
    <cellStyle name="쉼표 [0] 2 33 4 3" xfId="1175"/>
    <cellStyle name="쉼표 [0] 2 33 5" xfId="1176"/>
    <cellStyle name="쉼표 [0] 2 33 5 2" xfId="1177"/>
    <cellStyle name="쉼표 [0] 2 33 5 3" xfId="1178"/>
    <cellStyle name="쉼표 [0] 2 33 6" xfId="1179"/>
    <cellStyle name="쉼표 [0] 2 33 6 2" xfId="1180"/>
    <cellStyle name="쉼표 [0] 2 33 6 3" xfId="1181"/>
    <cellStyle name="쉼표 [0] 2 33 7" xfId="1182"/>
    <cellStyle name="쉼표 [0] 2 33 7 2" xfId="1183"/>
    <cellStyle name="쉼표 [0] 2 33 7 3" xfId="1184"/>
    <cellStyle name="쉼표 [0] 2 33 8" xfId="1185"/>
    <cellStyle name="쉼표 [0] 2 33 8 2" xfId="1186"/>
    <cellStyle name="쉼표 [0] 2 33 8 3" xfId="1187"/>
    <cellStyle name="쉼표 [0] 2 33 9" xfId="1188"/>
    <cellStyle name="쉼표 [0] 2 33 9 2" xfId="1189"/>
    <cellStyle name="쉼표 [0] 2 33 9 3" xfId="1190"/>
    <cellStyle name="쉼표 [0] 2 34" xfId="1191"/>
    <cellStyle name="쉼표 [0] 2 34 10" xfId="1192"/>
    <cellStyle name="쉼표 [0] 2 34 10 2" xfId="1193"/>
    <cellStyle name="쉼표 [0] 2 34 10 3" xfId="1194"/>
    <cellStyle name="쉼표 [0] 2 34 11" xfId="1195"/>
    <cellStyle name="쉼표 [0] 2 34 11 2" xfId="1196"/>
    <cellStyle name="쉼표 [0] 2 34 11 3" xfId="1197"/>
    <cellStyle name="쉼표 [0] 2 34 12" xfId="1198"/>
    <cellStyle name="쉼표 [0] 2 34 12 2" xfId="1199"/>
    <cellStyle name="쉼표 [0] 2 34 12 3" xfId="1200"/>
    <cellStyle name="쉼표 [0] 2 34 13" xfId="1201"/>
    <cellStyle name="쉼표 [0] 2 34 13 2" xfId="1202"/>
    <cellStyle name="쉼표 [0] 2 34 13 3" xfId="1203"/>
    <cellStyle name="쉼표 [0] 2 34 14" xfId="1204"/>
    <cellStyle name="쉼표 [0] 2 34 15" xfId="1205"/>
    <cellStyle name="쉼표 [0] 2 34 16" xfId="4019"/>
    <cellStyle name="쉼표 [0] 2 34 17" xfId="4483"/>
    <cellStyle name="쉼표 [0] 2 34 2" xfId="1206"/>
    <cellStyle name="쉼표 [0] 2 34 2 2" xfId="1207"/>
    <cellStyle name="쉼표 [0] 2 34 2 3" xfId="1208"/>
    <cellStyle name="쉼표 [0] 2 34 3" xfId="1209"/>
    <cellStyle name="쉼표 [0] 2 34 3 2" xfId="1210"/>
    <cellStyle name="쉼표 [0] 2 34 3 3" xfId="1211"/>
    <cellStyle name="쉼표 [0] 2 34 4" xfId="1212"/>
    <cellStyle name="쉼표 [0] 2 34 4 2" xfId="1213"/>
    <cellStyle name="쉼표 [0] 2 34 4 3" xfId="1214"/>
    <cellStyle name="쉼표 [0] 2 34 5" xfId="1215"/>
    <cellStyle name="쉼표 [0] 2 34 5 2" xfId="1216"/>
    <cellStyle name="쉼표 [0] 2 34 5 3" xfId="1217"/>
    <cellStyle name="쉼표 [0] 2 34 6" xfId="1218"/>
    <cellStyle name="쉼표 [0] 2 34 6 2" xfId="1219"/>
    <cellStyle name="쉼표 [0] 2 34 6 3" xfId="1220"/>
    <cellStyle name="쉼표 [0] 2 34 7" xfId="1221"/>
    <cellStyle name="쉼표 [0] 2 34 7 2" xfId="1222"/>
    <cellStyle name="쉼표 [0] 2 34 7 3" xfId="1223"/>
    <cellStyle name="쉼표 [0] 2 34 8" xfId="1224"/>
    <cellStyle name="쉼표 [0] 2 34 8 2" xfId="1225"/>
    <cellStyle name="쉼표 [0] 2 34 8 3" xfId="1226"/>
    <cellStyle name="쉼표 [0] 2 34 9" xfId="1227"/>
    <cellStyle name="쉼표 [0] 2 34 9 2" xfId="1228"/>
    <cellStyle name="쉼표 [0] 2 34 9 3" xfId="1229"/>
    <cellStyle name="쉼표 [0] 2 35" xfId="1230"/>
    <cellStyle name="쉼표 [0] 2 35 10" xfId="1231"/>
    <cellStyle name="쉼표 [0] 2 35 10 2" xfId="1232"/>
    <cellStyle name="쉼표 [0] 2 35 10 3" xfId="1233"/>
    <cellStyle name="쉼표 [0] 2 35 11" xfId="1234"/>
    <cellStyle name="쉼표 [0] 2 35 11 2" xfId="1235"/>
    <cellStyle name="쉼표 [0] 2 35 11 3" xfId="1236"/>
    <cellStyle name="쉼표 [0] 2 35 12" xfId="1237"/>
    <cellStyle name="쉼표 [0] 2 35 12 2" xfId="1238"/>
    <cellStyle name="쉼표 [0] 2 35 12 3" xfId="1239"/>
    <cellStyle name="쉼표 [0] 2 35 13" xfId="1240"/>
    <cellStyle name="쉼표 [0] 2 35 13 2" xfId="1241"/>
    <cellStyle name="쉼표 [0] 2 35 13 3" xfId="1242"/>
    <cellStyle name="쉼표 [0] 2 35 14" xfId="1243"/>
    <cellStyle name="쉼표 [0] 2 35 15" xfId="1244"/>
    <cellStyle name="쉼표 [0] 2 35 16" xfId="4020"/>
    <cellStyle name="쉼표 [0] 2 35 17" xfId="4482"/>
    <cellStyle name="쉼표 [0] 2 35 2" xfId="1245"/>
    <cellStyle name="쉼표 [0] 2 35 2 2" xfId="1246"/>
    <cellStyle name="쉼표 [0] 2 35 2 3" xfId="1247"/>
    <cellStyle name="쉼표 [0] 2 35 3" xfId="1248"/>
    <cellStyle name="쉼표 [0] 2 35 3 2" xfId="1249"/>
    <cellStyle name="쉼표 [0] 2 35 3 3" xfId="1250"/>
    <cellStyle name="쉼표 [0] 2 35 4" xfId="1251"/>
    <cellStyle name="쉼표 [0] 2 35 4 2" xfId="1252"/>
    <cellStyle name="쉼표 [0] 2 35 4 3" xfId="1253"/>
    <cellStyle name="쉼표 [0] 2 35 5" xfId="1254"/>
    <cellStyle name="쉼표 [0] 2 35 5 2" xfId="1255"/>
    <cellStyle name="쉼표 [0] 2 35 5 3" xfId="1256"/>
    <cellStyle name="쉼표 [0] 2 35 6" xfId="1257"/>
    <cellStyle name="쉼표 [0] 2 35 6 2" xfId="1258"/>
    <cellStyle name="쉼표 [0] 2 35 6 3" xfId="1259"/>
    <cellStyle name="쉼표 [0] 2 35 7" xfId="1260"/>
    <cellStyle name="쉼표 [0] 2 35 7 2" xfId="1261"/>
    <cellStyle name="쉼표 [0] 2 35 7 3" xfId="1262"/>
    <cellStyle name="쉼표 [0] 2 35 8" xfId="1263"/>
    <cellStyle name="쉼표 [0] 2 35 8 2" xfId="1264"/>
    <cellStyle name="쉼표 [0] 2 35 8 3" xfId="1265"/>
    <cellStyle name="쉼표 [0] 2 35 9" xfId="1266"/>
    <cellStyle name="쉼표 [0] 2 35 9 2" xfId="1267"/>
    <cellStyle name="쉼표 [0] 2 35 9 3" xfId="1268"/>
    <cellStyle name="쉼표 [0] 2 36" xfId="1269"/>
    <cellStyle name="쉼표 [0] 2 36 10" xfId="1270"/>
    <cellStyle name="쉼표 [0] 2 36 10 2" xfId="1271"/>
    <cellStyle name="쉼표 [0] 2 36 10 3" xfId="1272"/>
    <cellStyle name="쉼표 [0] 2 36 11" xfId="1273"/>
    <cellStyle name="쉼표 [0] 2 36 11 2" xfId="1274"/>
    <cellStyle name="쉼표 [0] 2 36 11 3" xfId="1275"/>
    <cellStyle name="쉼표 [0] 2 36 12" xfId="1276"/>
    <cellStyle name="쉼표 [0] 2 36 12 2" xfId="1277"/>
    <cellStyle name="쉼표 [0] 2 36 12 3" xfId="1278"/>
    <cellStyle name="쉼표 [0] 2 36 13" xfId="1279"/>
    <cellStyle name="쉼표 [0] 2 36 13 2" xfId="1280"/>
    <cellStyle name="쉼표 [0] 2 36 13 3" xfId="1281"/>
    <cellStyle name="쉼표 [0] 2 36 14" xfId="1282"/>
    <cellStyle name="쉼표 [0] 2 36 15" xfId="1283"/>
    <cellStyle name="쉼표 [0] 2 36 16" xfId="4021"/>
    <cellStyle name="쉼표 [0] 2 36 17" xfId="4481"/>
    <cellStyle name="쉼표 [0] 2 36 2" xfId="1284"/>
    <cellStyle name="쉼표 [0] 2 36 2 2" xfId="1285"/>
    <cellStyle name="쉼표 [0] 2 36 2 3" xfId="1286"/>
    <cellStyle name="쉼표 [0] 2 36 3" xfId="1287"/>
    <cellStyle name="쉼표 [0] 2 36 3 2" xfId="1288"/>
    <cellStyle name="쉼표 [0] 2 36 3 3" xfId="1289"/>
    <cellStyle name="쉼표 [0] 2 36 4" xfId="1290"/>
    <cellStyle name="쉼표 [0] 2 36 4 2" xfId="1291"/>
    <cellStyle name="쉼표 [0] 2 36 4 3" xfId="1292"/>
    <cellStyle name="쉼표 [0] 2 36 5" xfId="1293"/>
    <cellStyle name="쉼표 [0] 2 36 5 2" xfId="1294"/>
    <cellStyle name="쉼표 [0] 2 36 5 3" xfId="1295"/>
    <cellStyle name="쉼표 [0] 2 36 6" xfId="1296"/>
    <cellStyle name="쉼표 [0] 2 36 6 2" xfId="1297"/>
    <cellStyle name="쉼표 [0] 2 36 6 3" xfId="1298"/>
    <cellStyle name="쉼표 [0] 2 36 7" xfId="1299"/>
    <cellStyle name="쉼표 [0] 2 36 7 2" xfId="1300"/>
    <cellStyle name="쉼표 [0] 2 36 7 3" xfId="1301"/>
    <cellStyle name="쉼표 [0] 2 36 8" xfId="1302"/>
    <cellStyle name="쉼표 [0] 2 36 8 2" xfId="1303"/>
    <cellStyle name="쉼표 [0] 2 36 8 3" xfId="1304"/>
    <cellStyle name="쉼표 [0] 2 36 9" xfId="1305"/>
    <cellStyle name="쉼표 [0] 2 36 9 2" xfId="1306"/>
    <cellStyle name="쉼표 [0] 2 36 9 3" xfId="1307"/>
    <cellStyle name="쉼표 [0] 2 37" xfId="1308"/>
    <cellStyle name="쉼표 [0] 2 37 10" xfId="1309"/>
    <cellStyle name="쉼표 [0] 2 37 10 2" xfId="1310"/>
    <cellStyle name="쉼표 [0] 2 37 10 3" xfId="1311"/>
    <cellStyle name="쉼표 [0] 2 37 11" xfId="1312"/>
    <cellStyle name="쉼표 [0] 2 37 11 2" xfId="1313"/>
    <cellStyle name="쉼표 [0] 2 37 11 3" xfId="1314"/>
    <cellStyle name="쉼표 [0] 2 37 12" xfId="1315"/>
    <cellStyle name="쉼표 [0] 2 37 12 2" xfId="1316"/>
    <cellStyle name="쉼표 [0] 2 37 12 3" xfId="1317"/>
    <cellStyle name="쉼표 [0] 2 37 13" xfId="1318"/>
    <cellStyle name="쉼표 [0] 2 37 13 2" xfId="1319"/>
    <cellStyle name="쉼표 [0] 2 37 13 3" xfId="1320"/>
    <cellStyle name="쉼표 [0] 2 37 14" xfId="1321"/>
    <cellStyle name="쉼표 [0] 2 37 15" xfId="1322"/>
    <cellStyle name="쉼표 [0] 2 37 16" xfId="4022"/>
    <cellStyle name="쉼표 [0] 2 37 17" xfId="4480"/>
    <cellStyle name="쉼표 [0] 2 37 2" xfId="1323"/>
    <cellStyle name="쉼표 [0] 2 37 2 2" xfId="1324"/>
    <cellStyle name="쉼표 [0] 2 37 2 3" xfId="1325"/>
    <cellStyle name="쉼표 [0] 2 37 3" xfId="1326"/>
    <cellStyle name="쉼표 [0] 2 37 3 2" xfId="1327"/>
    <cellStyle name="쉼표 [0] 2 37 3 3" xfId="1328"/>
    <cellStyle name="쉼표 [0] 2 37 4" xfId="1329"/>
    <cellStyle name="쉼표 [0] 2 37 4 2" xfId="1330"/>
    <cellStyle name="쉼표 [0] 2 37 4 3" xfId="1331"/>
    <cellStyle name="쉼표 [0] 2 37 5" xfId="1332"/>
    <cellStyle name="쉼표 [0] 2 37 5 2" xfId="1333"/>
    <cellStyle name="쉼표 [0] 2 37 5 3" xfId="1334"/>
    <cellStyle name="쉼표 [0] 2 37 6" xfId="1335"/>
    <cellStyle name="쉼표 [0] 2 37 6 2" xfId="1336"/>
    <cellStyle name="쉼표 [0] 2 37 6 3" xfId="1337"/>
    <cellStyle name="쉼표 [0] 2 37 7" xfId="1338"/>
    <cellStyle name="쉼표 [0] 2 37 7 2" xfId="1339"/>
    <cellStyle name="쉼표 [0] 2 37 7 3" xfId="1340"/>
    <cellStyle name="쉼표 [0] 2 37 8" xfId="1341"/>
    <cellStyle name="쉼표 [0] 2 37 8 2" xfId="1342"/>
    <cellStyle name="쉼표 [0] 2 37 8 3" xfId="1343"/>
    <cellStyle name="쉼표 [0] 2 37 9" xfId="1344"/>
    <cellStyle name="쉼표 [0] 2 37 9 2" xfId="1345"/>
    <cellStyle name="쉼표 [0] 2 37 9 3" xfId="1346"/>
    <cellStyle name="쉼표 [0] 2 38" xfId="1347"/>
    <cellStyle name="쉼표 [0] 2 38 10" xfId="1348"/>
    <cellStyle name="쉼표 [0] 2 38 10 2" xfId="1349"/>
    <cellStyle name="쉼표 [0] 2 38 10 3" xfId="1350"/>
    <cellStyle name="쉼표 [0] 2 38 11" xfId="1351"/>
    <cellStyle name="쉼표 [0] 2 38 11 2" xfId="1352"/>
    <cellStyle name="쉼표 [0] 2 38 11 3" xfId="1353"/>
    <cellStyle name="쉼표 [0] 2 38 12" xfId="1354"/>
    <cellStyle name="쉼표 [0] 2 38 12 2" xfId="1355"/>
    <cellStyle name="쉼표 [0] 2 38 12 3" xfId="1356"/>
    <cellStyle name="쉼표 [0] 2 38 13" xfId="1357"/>
    <cellStyle name="쉼표 [0] 2 38 13 2" xfId="1358"/>
    <cellStyle name="쉼표 [0] 2 38 13 3" xfId="1359"/>
    <cellStyle name="쉼표 [0] 2 38 14" xfId="1360"/>
    <cellStyle name="쉼표 [0] 2 38 15" xfId="1361"/>
    <cellStyle name="쉼표 [0] 2 38 16" xfId="4023"/>
    <cellStyle name="쉼표 [0] 2 38 17" xfId="4479"/>
    <cellStyle name="쉼표 [0] 2 38 2" xfId="1362"/>
    <cellStyle name="쉼표 [0] 2 38 2 2" xfId="1363"/>
    <cellStyle name="쉼표 [0] 2 38 2 3" xfId="1364"/>
    <cellStyle name="쉼표 [0] 2 38 3" xfId="1365"/>
    <cellStyle name="쉼표 [0] 2 38 3 2" xfId="1366"/>
    <cellStyle name="쉼표 [0] 2 38 3 3" xfId="1367"/>
    <cellStyle name="쉼표 [0] 2 38 4" xfId="1368"/>
    <cellStyle name="쉼표 [0] 2 38 4 2" xfId="1369"/>
    <cellStyle name="쉼표 [0] 2 38 4 3" xfId="1370"/>
    <cellStyle name="쉼표 [0] 2 38 5" xfId="1371"/>
    <cellStyle name="쉼표 [0] 2 38 5 2" xfId="1372"/>
    <cellStyle name="쉼표 [0] 2 38 5 3" xfId="1373"/>
    <cellStyle name="쉼표 [0] 2 38 6" xfId="1374"/>
    <cellStyle name="쉼표 [0] 2 38 6 2" xfId="1375"/>
    <cellStyle name="쉼표 [0] 2 38 6 3" xfId="1376"/>
    <cellStyle name="쉼표 [0] 2 38 7" xfId="1377"/>
    <cellStyle name="쉼표 [0] 2 38 7 2" xfId="1378"/>
    <cellStyle name="쉼표 [0] 2 38 7 3" xfId="1379"/>
    <cellStyle name="쉼표 [0] 2 38 8" xfId="1380"/>
    <cellStyle name="쉼표 [0] 2 38 8 2" xfId="1381"/>
    <cellStyle name="쉼표 [0] 2 38 8 3" xfId="1382"/>
    <cellStyle name="쉼표 [0] 2 38 9" xfId="1383"/>
    <cellStyle name="쉼표 [0] 2 38 9 2" xfId="1384"/>
    <cellStyle name="쉼표 [0] 2 38 9 3" xfId="1385"/>
    <cellStyle name="쉼표 [0] 2 39" xfId="1386"/>
    <cellStyle name="쉼표 [0] 2 39 10" xfId="1387"/>
    <cellStyle name="쉼표 [0] 2 39 10 2" xfId="1388"/>
    <cellStyle name="쉼표 [0] 2 39 10 3" xfId="1389"/>
    <cellStyle name="쉼표 [0] 2 39 11" xfId="1390"/>
    <cellStyle name="쉼표 [0] 2 39 11 2" xfId="1391"/>
    <cellStyle name="쉼표 [0] 2 39 11 3" xfId="1392"/>
    <cellStyle name="쉼표 [0] 2 39 12" xfId="1393"/>
    <cellStyle name="쉼표 [0] 2 39 12 2" xfId="1394"/>
    <cellStyle name="쉼표 [0] 2 39 12 3" xfId="1395"/>
    <cellStyle name="쉼표 [0] 2 39 13" xfId="1396"/>
    <cellStyle name="쉼표 [0] 2 39 13 2" xfId="1397"/>
    <cellStyle name="쉼표 [0] 2 39 13 3" xfId="1398"/>
    <cellStyle name="쉼표 [0] 2 39 14" xfId="1399"/>
    <cellStyle name="쉼표 [0] 2 39 15" xfId="1400"/>
    <cellStyle name="쉼표 [0] 2 39 16" xfId="4024"/>
    <cellStyle name="쉼표 [0] 2 39 17" xfId="4478"/>
    <cellStyle name="쉼표 [0] 2 39 2" xfId="1401"/>
    <cellStyle name="쉼표 [0] 2 39 2 2" xfId="1402"/>
    <cellStyle name="쉼표 [0] 2 39 2 3" xfId="1403"/>
    <cellStyle name="쉼표 [0] 2 39 3" xfId="1404"/>
    <cellStyle name="쉼표 [0] 2 39 3 2" xfId="1405"/>
    <cellStyle name="쉼표 [0] 2 39 3 3" xfId="1406"/>
    <cellStyle name="쉼표 [0] 2 39 4" xfId="1407"/>
    <cellStyle name="쉼표 [0] 2 39 4 2" xfId="1408"/>
    <cellStyle name="쉼표 [0] 2 39 4 3" xfId="1409"/>
    <cellStyle name="쉼표 [0] 2 39 5" xfId="1410"/>
    <cellStyle name="쉼표 [0] 2 39 5 2" xfId="1411"/>
    <cellStyle name="쉼표 [0] 2 39 5 3" xfId="1412"/>
    <cellStyle name="쉼표 [0] 2 39 6" xfId="1413"/>
    <cellStyle name="쉼표 [0] 2 39 6 2" xfId="1414"/>
    <cellStyle name="쉼표 [0] 2 39 6 3" xfId="1415"/>
    <cellStyle name="쉼표 [0] 2 39 7" xfId="1416"/>
    <cellStyle name="쉼표 [0] 2 39 7 2" xfId="1417"/>
    <cellStyle name="쉼표 [0] 2 39 7 3" xfId="1418"/>
    <cellStyle name="쉼표 [0] 2 39 8" xfId="1419"/>
    <cellStyle name="쉼표 [0] 2 39 8 2" xfId="1420"/>
    <cellStyle name="쉼표 [0] 2 39 8 3" xfId="1421"/>
    <cellStyle name="쉼표 [0] 2 39 9" xfId="1422"/>
    <cellStyle name="쉼표 [0] 2 39 9 2" xfId="1423"/>
    <cellStyle name="쉼표 [0] 2 39 9 3" xfId="1424"/>
    <cellStyle name="쉼표 [0] 2 4" xfId="1425"/>
    <cellStyle name="쉼표 [0] 2 4 10" xfId="1426"/>
    <cellStyle name="쉼표 [0] 2 4 10 2" xfId="1427"/>
    <cellStyle name="쉼표 [0] 2 4 10 3" xfId="1428"/>
    <cellStyle name="쉼표 [0] 2 4 11" xfId="1429"/>
    <cellStyle name="쉼표 [0] 2 4 11 2" xfId="1430"/>
    <cellStyle name="쉼표 [0] 2 4 11 3" xfId="1431"/>
    <cellStyle name="쉼표 [0] 2 4 12" xfId="1432"/>
    <cellStyle name="쉼표 [0] 2 4 12 2" xfId="1433"/>
    <cellStyle name="쉼표 [0] 2 4 12 3" xfId="1434"/>
    <cellStyle name="쉼표 [0] 2 4 13" xfId="1435"/>
    <cellStyle name="쉼표 [0] 2 4 13 2" xfId="1436"/>
    <cellStyle name="쉼표 [0] 2 4 13 3" xfId="1437"/>
    <cellStyle name="쉼표 [0] 2 4 14" xfId="1438"/>
    <cellStyle name="쉼표 [0] 2 4 15" xfId="1439"/>
    <cellStyle name="쉼표 [0] 2 4 16" xfId="1440"/>
    <cellStyle name="쉼표 [0] 2 4 17" xfId="3433"/>
    <cellStyle name="쉼표 [0] 2 4 18" xfId="4477"/>
    <cellStyle name="쉼표 [0] 2 4 2" xfId="1441"/>
    <cellStyle name="쉼표 [0] 2 4 2 2" xfId="1442"/>
    <cellStyle name="쉼표 [0] 2 4 2 3" xfId="1443"/>
    <cellStyle name="쉼표 [0] 2 4 3" xfId="1444"/>
    <cellStyle name="쉼표 [0] 2 4 3 2" xfId="1445"/>
    <cellStyle name="쉼표 [0] 2 4 3 3" xfId="1446"/>
    <cellStyle name="쉼표 [0] 2 4 4" xfId="1447"/>
    <cellStyle name="쉼표 [0] 2 4 4 2" xfId="1448"/>
    <cellStyle name="쉼표 [0] 2 4 4 3" xfId="1449"/>
    <cellStyle name="쉼표 [0] 2 4 5" xfId="1450"/>
    <cellStyle name="쉼표 [0] 2 4 5 2" xfId="1451"/>
    <cellStyle name="쉼표 [0] 2 4 5 3" xfId="1452"/>
    <cellStyle name="쉼표 [0] 2 4 6" xfId="1453"/>
    <cellStyle name="쉼표 [0] 2 4 6 2" xfId="1454"/>
    <cellStyle name="쉼표 [0] 2 4 6 3" xfId="1455"/>
    <cellStyle name="쉼표 [0] 2 4 7" xfId="1456"/>
    <cellStyle name="쉼표 [0] 2 4 7 2" xfId="1457"/>
    <cellStyle name="쉼표 [0] 2 4 7 3" xfId="1458"/>
    <cellStyle name="쉼표 [0] 2 4 8" xfId="1459"/>
    <cellStyle name="쉼표 [0] 2 4 8 2" xfId="1460"/>
    <cellStyle name="쉼표 [0] 2 4 8 3" xfId="1461"/>
    <cellStyle name="쉼표 [0] 2 4 9" xfId="1462"/>
    <cellStyle name="쉼표 [0] 2 4 9 2" xfId="1463"/>
    <cellStyle name="쉼표 [0] 2 4 9 3" xfId="1464"/>
    <cellStyle name="쉼표 [0] 2 40" xfId="1465"/>
    <cellStyle name="쉼표 [0] 2 40 10" xfId="1466"/>
    <cellStyle name="쉼표 [0] 2 40 10 2" xfId="1467"/>
    <cellStyle name="쉼표 [0] 2 40 10 3" xfId="1468"/>
    <cellStyle name="쉼표 [0] 2 40 11" xfId="1469"/>
    <cellStyle name="쉼표 [0] 2 40 11 2" xfId="1470"/>
    <cellStyle name="쉼표 [0] 2 40 11 3" xfId="1471"/>
    <cellStyle name="쉼표 [0] 2 40 12" xfId="1472"/>
    <cellStyle name="쉼표 [0] 2 40 12 2" xfId="1473"/>
    <cellStyle name="쉼표 [0] 2 40 12 3" xfId="1474"/>
    <cellStyle name="쉼표 [0] 2 40 13" xfId="1475"/>
    <cellStyle name="쉼표 [0] 2 40 13 2" xfId="1476"/>
    <cellStyle name="쉼표 [0] 2 40 13 3" xfId="1477"/>
    <cellStyle name="쉼표 [0] 2 40 14" xfId="1478"/>
    <cellStyle name="쉼표 [0] 2 40 15" xfId="1479"/>
    <cellStyle name="쉼표 [0] 2 40 16" xfId="4025"/>
    <cellStyle name="쉼표 [0] 2 40 17" xfId="4476"/>
    <cellStyle name="쉼표 [0] 2 40 2" xfId="1480"/>
    <cellStyle name="쉼표 [0] 2 40 2 2" xfId="1481"/>
    <cellStyle name="쉼표 [0] 2 40 2 3" xfId="1482"/>
    <cellStyle name="쉼표 [0] 2 40 3" xfId="1483"/>
    <cellStyle name="쉼표 [0] 2 40 3 2" xfId="1484"/>
    <cellStyle name="쉼표 [0] 2 40 3 3" xfId="1485"/>
    <cellStyle name="쉼표 [0] 2 40 4" xfId="1486"/>
    <cellStyle name="쉼표 [0] 2 40 4 2" xfId="1487"/>
    <cellStyle name="쉼표 [0] 2 40 4 3" xfId="1488"/>
    <cellStyle name="쉼표 [0] 2 40 5" xfId="1489"/>
    <cellStyle name="쉼표 [0] 2 40 5 2" xfId="1490"/>
    <cellStyle name="쉼표 [0] 2 40 5 3" xfId="1491"/>
    <cellStyle name="쉼표 [0] 2 40 6" xfId="1492"/>
    <cellStyle name="쉼표 [0] 2 40 6 2" xfId="1493"/>
    <cellStyle name="쉼표 [0] 2 40 6 3" xfId="1494"/>
    <cellStyle name="쉼표 [0] 2 40 7" xfId="1495"/>
    <cellStyle name="쉼표 [0] 2 40 7 2" xfId="1496"/>
    <cellStyle name="쉼표 [0] 2 40 7 3" xfId="1497"/>
    <cellStyle name="쉼표 [0] 2 40 8" xfId="1498"/>
    <cellStyle name="쉼표 [0] 2 40 8 2" xfId="1499"/>
    <cellStyle name="쉼표 [0] 2 40 8 3" xfId="1500"/>
    <cellStyle name="쉼표 [0] 2 40 9" xfId="1501"/>
    <cellStyle name="쉼표 [0] 2 40 9 2" xfId="1502"/>
    <cellStyle name="쉼표 [0] 2 40 9 3" xfId="1503"/>
    <cellStyle name="쉼표 [0] 2 41" xfId="1504"/>
    <cellStyle name="쉼표 [0] 2 41 10" xfId="1505"/>
    <cellStyle name="쉼표 [0] 2 41 10 2" xfId="1506"/>
    <cellStyle name="쉼표 [0] 2 41 10 3" xfId="1507"/>
    <cellStyle name="쉼표 [0] 2 41 11" xfId="1508"/>
    <cellStyle name="쉼표 [0] 2 41 11 2" xfId="1509"/>
    <cellStyle name="쉼표 [0] 2 41 11 3" xfId="1510"/>
    <cellStyle name="쉼표 [0] 2 41 12" xfId="1511"/>
    <cellStyle name="쉼표 [0] 2 41 12 2" xfId="1512"/>
    <cellStyle name="쉼표 [0] 2 41 12 3" xfId="1513"/>
    <cellStyle name="쉼표 [0] 2 41 13" xfId="1514"/>
    <cellStyle name="쉼표 [0] 2 41 13 2" xfId="1515"/>
    <cellStyle name="쉼표 [0] 2 41 13 3" xfId="1516"/>
    <cellStyle name="쉼표 [0] 2 41 14" xfId="1517"/>
    <cellStyle name="쉼표 [0] 2 41 15" xfId="1518"/>
    <cellStyle name="쉼표 [0] 2 41 16" xfId="4026"/>
    <cellStyle name="쉼표 [0] 2 41 17" xfId="4475"/>
    <cellStyle name="쉼표 [0] 2 41 2" xfId="1519"/>
    <cellStyle name="쉼표 [0] 2 41 2 2" xfId="1520"/>
    <cellStyle name="쉼표 [0] 2 41 2 3" xfId="1521"/>
    <cellStyle name="쉼표 [0] 2 41 3" xfId="1522"/>
    <cellStyle name="쉼표 [0] 2 41 3 2" xfId="1523"/>
    <cellStyle name="쉼표 [0] 2 41 3 3" xfId="1524"/>
    <cellStyle name="쉼표 [0] 2 41 4" xfId="1525"/>
    <cellStyle name="쉼표 [0] 2 41 4 2" xfId="1526"/>
    <cellStyle name="쉼표 [0] 2 41 4 3" xfId="1527"/>
    <cellStyle name="쉼표 [0] 2 41 5" xfId="1528"/>
    <cellStyle name="쉼표 [0] 2 41 5 2" xfId="1529"/>
    <cellStyle name="쉼표 [0] 2 41 5 3" xfId="1530"/>
    <cellStyle name="쉼표 [0] 2 41 6" xfId="1531"/>
    <cellStyle name="쉼표 [0] 2 41 6 2" xfId="1532"/>
    <cellStyle name="쉼표 [0] 2 41 6 3" xfId="1533"/>
    <cellStyle name="쉼표 [0] 2 41 7" xfId="1534"/>
    <cellStyle name="쉼표 [0] 2 41 7 2" xfId="1535"/>
    <cellStyle name="쉼표 [0] 2 41 7 3" xfId="1536"/>
    <cellStyle name="쉼표 [0] 2 41 8" xfId="1537"/>
    <cellStyle name="쉼표 [0] 2 41 8 2" xfId="1538"/>
    <cellStyle name="쉼표 [0] 2 41 8 3" xfId="1539"/>
    <cellStyle name="쉼표 [0] 2 41 9" xfId="1540"/>
    <cellStyle name="쉼표 [0] 2 41 9 2" xfId="1541"/>
    <cellStyle name="쉼표 [0] 2 41 9 3" xfId="1542"/>
    <cellStyle name="쉼표 [0] 2 42" xfId="1543"/>
    <cellStyle name="쉼표 [0] 2 42 10" xfId="1544"/>
    <cellStyle name="쉼표 [0] 2 42 10 2" xfId="1545"/>
    <cellStyle name="쉼표 [0] 2 42 10 3" xfId="1546"/>
    <cellStyle name="쉼표 [0] 2 42 11" xfId="1547"/>
    <cellStyle name="쉼표 [0] 2 42 11 2" xfId="1548"/>
    <cellStyle name="쉼표 [0] 2 42 11 3" xfId="1549"/>
    <cellStyle name="쉼표 [0] 2 42 12" xfId="1550"/>
    <cellStyle name="쉼표 [0] 2 42 12 2" xfId="1551"/>
    <cellStyle name="쉼표 [0] 2 42 12 3" xfId="1552"/>
    <cellStyle name="쉼표 [0] 2 42 13" xfId="1553"/>
    <cellStyle name="쉼표 [0] 2 42 13 2" xfId="1554"/>
    <cellStyle name="쉼표 [0] 2 42 13 3" xfId="1555"/>
    <cellStyle name="쉼표 [0] 2 42 14" xfId="1556"/>
    <cellStyle name="쉼표 [0] 2 42 15" xfId="1557"/>
    <cellStyle name="쉼표 [0] 2 42 16" xfId="4027"/>
    <cellStyle name="쉼표 [0] 2 42 17" xfId="4474"/>
    <cellStyle name="쉼표 [0] 2 42 2" xfId="1558"/>
    <cellStyle name="쉼표 [0] 2 42 2 2" xfId="1559"/>
    <cellStyle name="쉼표 [0] 2 42 2 3" xfId="1560"/>
    <cellStyle name="쉼표 [0] 2 42 3" xfId="1561"/>
    <cellStyle name="쉼표 [0] 2 42 3 2" xfId="1562"/>
    <cellStyle name="쉼표 [0] 2 42 3 3" xfId="1563"/>
    <cellStyle name="쉼표 [0] 2 42 4" xfId="1564"/>
    <cellStyle name="쉼표 [0] 2 42 4 2" xfId="1565"/>
    <cellStyle name="쉼표 [0] 2 42 4 3" xfId="1566"/>
    <cellStyle name="쉼표 [0] 2 42 5" xfId="1567"/>
    <cellStyle name="쉼표 [0] 2 42 5 2" xfId="1568"/>
    <cellStyle name="쉼표 [0] 2 42 5 3" xfId="1569"/>
    <cellStyle name="쉼표 [0] 2 42 6" xfId="1570"/>
    <cellStyle name="쉼표 [0] 2 42 6 2" xfId="1571"/>
    <cellStyle name="쉼표 [0] 2 42 6 3" xfId="1572"/>
    <cellStyle name="쉼표 [0] 2 42 7" xfId="1573"/>
    <cellStyle name="쉼표 [0] 2 42 7 2" xfId="1574"/>
    <cellStyle name="쉼표 [0] 2 42 7 3" xfId="1575"/>
    <cellStyle name="쉼표 [0] 2 42 8" xfId="1576"/>
    <cellStyle name="쉼표 [0] 2 42 8 2" xfId="1577"/>
    <cellStyle name="쉼표 [0] 2 42 8 3" xfId="1578"/>
    <cellStyle name="쉼표 [0] 2 42 9" xfId="1579"/>
    <cellStyle name="쉼표 [0] 2 42 9 2" xfId="1580"/>
    <cellStyle name="쉼표 [0] 2 42 9 3" xfId="1581"/>
    <cellStyle name="쉼표 [0] 2 43" xfId="1582"/>
    <cellStyle name="쉼표 [0] 2 43 10" xfId="1583"/>
    <cellStyle name="쉼표 [0] 2 43 10 2" xfId="1584"/>
    <cellStyle name="쉼표 [0] 2 43 10 3" xfId="1585"/>
    <cellStyle name="쉼표 [0] 2 43 11" xfId="1586"/>
    <cellStyle name="쉼표 [0] 2 43 11 2" xfId="1587"/>
    <cellStyle name="쉼표 [0] 2 43 11 3" xfId="1588"/>
    <cellStyle name="쉼표 [0] 2 43 12" xfId="1589"/>
    <cellStyle name="쉼표 [0] 2 43 12 2" xfId="1590"/>
    <cellStyle name="쉼표 [0] 2 43 12 3" xfId="1591"/>
    <cellStyle name="쉼표 [0] 2 43 13" xfId="1592"/>
    <cellStyle name="쉼표 [0] 2 43 13 2" xfId="1593"/>
    <cellStyle name="쉼표 [0] 2 43 13 3" xfId="1594"/>
    <cellStyle name="쉼표 [0] 2 43 14" xfId="1595"/>
    <cellStyle name="쉼표 [0] 2 43 15" xfId="1596"/>
    <cellStyle name="쉼표 [0] 2 43 16" xfId="4028"/>
    <cellStyle name="쉼표 [0] 2 43 17" xfId="4473"/>
    <cellStyle name="쉼표 [0] 2 43 2" xfId="1597"/>
    <cellStyle name="쉼표 [0] 2 43 2 2" xfId="1598"/>
    <cellStyle name="쉼표 [0] 2 43 2 3" xfId="1599"/>
    <cellStyle name="쉼표 [0] 2 43 3" xfId="1600"/>
    <cellStyle name="쉼표 [0] 2 43 3 2" xfId="1601"/>
    <cellStyle name="쉼표 [0] 2 43 3 3" xfId="1602"/>
    <cellStyle name="쉼표 [0] 2 43 4" xfId="1603"/>
    <cellStyle name="쉼표 [0] 2 43 4 2" xfId="1604"/>
    <cellStyle name="쉼표 [0] 2 43 4 3" xfId="1605"/>
    <cellStyle name="쉼표 [0] 2 43 5" xfId="1606"/>
    <cellStyle name="쉼표 [0] 2 43 5 2" xfId="1607"/>
    <cellStyle name="쉼표 [0] 2 43 5 3" xfId="1608"/>
    <cellStyle name="쉼표 [0] 2 43 6" xfId="1609"/>
    <cellStyle name="쉼표 [0] 2 43 6 2" xfId="1610"/>
    <cellStyle name="쉼표 [0] 2 43 6 3" xfId="1611"/>
    <cellStyle name="쉼표 [0] 2 43 7" xfId="1612"/>
    <cellStyle name="쉼표 [0] 2 43 7 2" xfId="1613"/>
    <cellStyle name="쉼표 [0] 2 43 7 3" xfId="1614"/>
    <cellStyle name="쉼표 [0] 2 43 8" xfId="1615"/>
    <cellStyle name="쉼표 [0] 2 43 8 2" xfId="1616"/>
    <cellStyle name="쉼표 [0] 2 43 8 3" xfId="1617"/>
    <cellStyle name="쉼표 [0] 2 43 9" xfId="1618"/>
    <cellStyle name="쉼표 [0] 2 43 9 2" xfId="1619"/>
    <cellStyle name="쉼표 [0] 2 43 9 3" xfId="1620"/>
    <cellStyle name="쉼표 [0] 2 44" xfId="1621"/>
    <cellStyle name="쉼표 [0] 2 44 10" xfId="1622"/>
    <cellStyle name="쉼표 [0] 2 44 10 2" xfId="1623"/>
    <cellStyle name="쉼표 [0] 2 44 10 3" xfId="1624"/>
    <cellStyle name="쉼표 [0] 2 44 11" xfId="1625"/>
    <cellStyle name="쉼표 [0] 2 44 11 2" xfId="1626"/>
    <cellStyle name="쉼표 [0] 2 44 11 3" xfId="1627"/>
    <cellStyle name="쉼표 [0] 2 44 12" xfId="1628"/>
    <cellStyle name="쉼표 [0] 2 44 12 2" xfId="1629"/>
    <cellStyle name="쉼표 [0] 2 44 12 3" xfId="1630"/>
    <cellStyle name="쉼표 [0] 2 44 13" xfId="1631"/>
    <cellStyle name="쉼표 [0] 2 44 13 2" xfId="1632"/>
    <cellStyle name="쉼표 [0] 2 44 13 3" xfId="1633"/>
    <cellStyle name="쉼표 [0] 2 44 14" xfId="1634"/>
    <cellStyle name="쉼표 [0] 2 44 15" xfId="1635"/>
    <cellStyle name="쉼표 [0] 2 44 16" xfId="4029"/>
    <cellStyle name="쉼표 [0] 2 44 17" xfId="4472"/>
    <cellStyle name="쉼표 [0] 2 44 2" xfId="1636"/>
    <cellStyle name="쉼표 [0] 2 44 2 2" xfId="1637"/>
    <cellStyle name="쉼표 [0] 2 44 2 3" xfId="1638"/>
    <cellStyle name="쉼표 [0] 2 44 3" xfId="1639"/>
    <cellStyle name="쉼표 [0] 2 44 3 2" xfId="1640"/>
    <cellStyle name="쉼표 [0] 2 44 3 3" xfId="1641"/>
    <cellStyle name="쉼표 [0] 2 44 4" xfId="1642"/>
    <cellStyle name="쉼표 [0] 2 44 4 2" xfId="1643"/>
    <cellStyle name="쉼표 [0] 2 44 4 3" xfId="1644"/>
    <cellStyle name="쉼표 [0] 2 44 5" xfId="1645"/>
    <cellStyle name="쉼표 [0] 2 44 5 2" xfId="1646"/>
    <cellStyle name="쉼표 [0] 2 44 5 3" xfId="1647"/>
    <cellStyle name="쉼표 [0] 2 44 6" xfId="1648"/>
    <cellStyle name="쉼표 [0] 2 44 6 2" xfId="1649"/>
    <cellStyle name="쉼표 [0] 2 44 6 3" xfId="1650"/>
    <cellStyle name="쉼표 [0] 2 44 7" xfId="1651"/>
    <cellStyle name="쉼표 [0] 2 44 7 2" xfId="1652"/>
    <cellStyle name="쉼표 [0] 2 44 7 3" xfId="1653"/>
    <cellStyle name="쉼표 [0] 2 44 8" xfId="1654"/>
    <cellStyle name="쉼표 [0] 2 44 8 2" xfId="1655"/>
    <cellStyle name="쉼표 [0] 2 44 8 3" xfId="1656"/>
    <cellStyle name="쉼표 [0] 2 44 9" xfId="1657"/>
    <cellStyle name="쉼표 [0] 2 44 9 2" xfId="1658"/>
    <cellStyle name="쉼표 [0] 2 44 9 3" xfId="1659"/>
    <cellStyle name="쉼표 [0] 2 45" xfId="1660"/>
    <cellStyle name="쉼표 [0] 2 45 10" xfId="1661"/>
    <cellStyle name="쉼표 [0] 2 45 10 2" xfId="1662"/>
    <cellStyle name="쉼표 [0] 2 45 10 3" xfId="1663"/>
    <cellStyle name="쉼표 [0] 2 45 11" xfId="1664"/>
    <cellStyle name="쉼표 [0] 2 45 11 2" xfId="1665"/>
    <cellStyle name="쉼표 [0] 2 45 11 3" xfId="1666"/>
    <cellStyle name="쉼표 [0] 2 45 12" xfId="1667"/>
    <cellStyle name="쉼표 [0] 2 45 12 2" xfId="1668"/>
    <cellStyle name="쉼표 [0] 2 45 12 3" xfId="1669"/>
    <cellStyle name="쉼표 [0] 2 45 13" xfId="1670"/>
    <cellStyle name="쉼표 [0] 2 45 13 2" xfId="1671"/>
    <cellStyle name="쉼표 [0] 2 45 13 3" xfId="1672"/>
    <cellStyle name="쉼표 [0] 2 45 14" xfId="1673"/>
    <cellStyle name="쉼표 [0] 2 45 15" xfId="1674"/>
    <cellStyle name="쉼표 [0] 2 45 16" xfId="4030"/>
    <cellStyle name="쉼표 [0] 2 45 17" xfId="4471"/>
    <cellStyle name="쉼표 [0] 2 45 2" xfId="1675"/>
    <cellStyle name="쉼표 [0] 2 45 2 2" xfId="1676"/>
    <cellStyle name="쉼표 [0] 2 45 2 3" xfId="1677"/>
    <cellStyle name="쉼표 [0] 2 45 3" xfId="1678"/>
    <cellStyle name="쉼표 [0] 2 45 3 2" xfId="1679"/>
    <cellStyle name="쉼표 [0] 2 45 3 3" xfId="1680"/>
    <cellStyle name="쉼표 [0] 2 45 4" xfId="1681"/>
    <cellStyle name="쉼표 [0] 2 45 4 2" xfId="1682"/>
    <cellStyle name="쉼표 [0] 2 45 4 3" xfId="1683"/>
    <cellStyle name="쉼표 [0] 2 45 5" xfId="1684"/>
    <cellStyle name="쉼표 [0] 2 45 5 2" xfId="1685"/>
    <cellStyle name="쉼표 [0] 2 45 5 3" xfId="1686"/>
    <cellStyle name="쉼표 [0] 2 45 6" xfId="1687"/>
    <cellStyle name="쉼표 [0] 2 45 6 2" xfId="1688"/>
    <cellStyle name="쉼표 [0] 2 45 6 3" xfId="1689"/>
    <cellStyle name="쉼표 [0] 2 45 7" xfId="1690"/>
    <cellStyle name="쉼표 [0] 2 45 7 2" xfId="1691"/>
    <cellStyle name="쉼표 [0] 2 45 7 3" xfId="1692"/>
    <cellStyle name="쉼표 [0] 2 45 8" xfId="1693"/>
    <cellStyle name="쉼표 [0] 2 45 8 2" xfId="1694"/>
    <cellStyle name="쉼표 [0] 2 45 8 3" xfId="1695"/>
    <cellStyle name="쉼표 [0] 2 45 9" xfId="1696"/>
    <cellStyle name="쉼표 [0] 2 45 9 2" xfId="1697"/>
    <cellStyle name="쉼표 [0] 2 45 9 3" xfId="1698"/>
    <cellStyle name="쉼표 [0] 2 46" xfId="1699"/>
    <cellStyle name="쉼표 [0] 2 46 10" xfId="1700"/>
    <cellStyle name="쉼표 [0] 2 46 10 2" xfId="1701"/>
    <cellStyle name="쉼표 [0] 2 46 10 3" xfId="1702"/>
    <cellStyle name="쉼표 [0] 2 46 11" xfId="1703"/>
    <cellStyle name="쉼표 [0] 2 46 11 2" xfId="1704"/>
    <cellStyle name="쉼표 [0] 2 46 11 3" xfId="1705"/>
    <cellStyle name="쉼표 [0] 2 46 12" xfId="1706"/>
    <cellStyle name="쉼표 [0] 2 46 12 2" xfId="1707"/>
    <cellStyle name="쉼표 [0] 2 46 12 3" xfId="1708"/>
    <cellStyle name="쉼표 [0] 2 46 13" xfId="1709"/>
    <cellStyle name="쉼표 [0] 2 46 13 2" xfId="1710"/>
    <cellStyle name="쉼표 [0] 2 46 13 3" xfId="1711"/>
    <cellStyle name="쉼표 [0] 2 46 14" xfId="1712"/>
    <cellStyle name="쉼표 [0] 2 46 15" xfId="1713"/>
    <cellStyle name="쉼표 [0] 2 46 16" xfId="4031"/>
    <cellStyle name="쉼표 [0] 2 46 17" xfId="4470"/>
    <cellStyle name="쉼표 [0] 2 46 2" xfId="1714"/>
    <cellStyle name="쉼표 [0] 2 46 2 2" xfId="1715"/>
    <cellStyle name="쉼표 [0] 2 46 2 3" xfId="1716"/>
    <cellStyle name="쉼표 [0] 2 46 3" xfId="1717"/>
    <cellStyle name="쉼표 [0] 2 46 3 2" xfId="1718"/>
    <cellStyle name="쉼표 [0] 2 46 3 3" xfId="1719"/>
    <cellStyle name="쉼표 [0] 2 46 4" xfId="1720"/>
    <cellStyle name="쉼표 [0] 2 46 4 2" xfId="1721"/>
    <cellStyle name="쉼표 [0] 2 46 4 3" xfId="1722"/>
    <cellStyle name="쉼표 [0] 2 46 5" xfId="1723"/>
    <cellStyle name="쉼표 [0] 2 46 5 2" xfId="1724"/>
    <cellStyle name="쉼표 [0] 2 46 5 3" xfId="1725"/>
    <cellStyle name="쉼표 [0] 2 46 6" xfId="1726"/>
    <cellStyle name="쉼표 [0] 2 46 6 2" xfId="1727"/>
    <cellStyle name="쉼표 [0] 2 46 6 3" xfId="1728"/>
    <cellStyle name="쉼표 [0] 2 46 7" xfId="1729"/>
    <cellStyle name="쉼표 [0] 2 46 7 2" xfId="1730"/>
    <cellStyle name="쉼표 [0] 2 46 7 3" xfId="1731"/>
    <cellStyle name="쉼표 [0] 2 46 8" xfId="1732"/>
    <cellStyle name="쉼표 [0] 2 46 8 2" xfId="1733"/>
    <cellStyle name="쉼표 [0] 2 46 8 3" xfId="1734"/>
    <cellStyle name="쉼표 [0] 2 46 9" xfId="1735"/>
    <cellStyle name="쉼표 [0] 2 46 9 2" xfId="1736"/>
    <cellStyle name="쉼표 [0] 2 46 9 3" xfId="1737"/>
    <cellStyle name="쉼표 [0] 2 47" xfId="1738"/>
    <cellStyle name="쉼표 [0] 2 47 10" xfId="1739"/>
    <cellStyle name="쉼표 [0] 2 47 10 2" xfId="1740"/>
    <cellStyle name="쉼표 [0] 2 47 10 3" xfId="1741"/>
    <cellStyle name="쉼표 [0] 2 47 11" xfId="1742"/>
    <cellStyle name="쉼표 [0] 2 47 11 2" xfId="1743"/>
    <cellStyle name="쉼표 [0] 2 47 11 3" xfId="1744"/>
    <cellStyle name="쉼표 [0] 2 47 12" xfId="1745"/>
    <cellStyle name="쉼표 [0] 2 47 12 2" xfId="1746"/>
    <cellStyle name="쉼표 [0] 2 47 12 3" xfId="1747"/>
    <cellStyle name="쉼표 [0] 2 47 13" xfId="1748"/>
    <cellStyle name="쉼표 [0] 2 47 13 2" xfId="1749"/>
    <cellStyle name="쉼표 [0] 2 47 13 3" xfId="1750"/>
    <cellStyle name="쉼표 [0] 2 47 14" xfId="1751"/>
    <cellStyle name="쉼표 [0] 2 47 15" xfId="1752"/>
    <cellStyle name="쉼표 [0] 2 47 16" xfId="4032"/>
    <cellStyle name="쉼표 [0] 2 47 17" xfId="4469"/>
    <cellStyle name="쉼표 [0] 2 47 2" xfId="1753"/>
    <cellStyle name="쉼표 [0] 2 47 2 2" xfId="1754"/>
    <cellStyle name="쉼표 [0] 2 47 2 3" xfId="1755"/>
    <cellStyle name="쉼표 [0] 2 47 3" xfId="1756"/>
    <cellStyle name="쉼표 [0] 2 47 3 2" xfId="1757"/>
    <cellStyle name="쉼표 [0] 2 47 3 3" xfId="1758"/>
    <cellStyle name="쉼표 [0] 2 47 4" xfId="1759"/>
    <cellStyle name="쉼표 [0] 2 47 4 2" xfId="1760"/>
    <cellStyle name="쉼표 [0] 2 47 4 3" xfId="1761"/>
    <cellStyle name="쉼표 [0] 2 47 5" xfId="1762"/>
    <cellStyle name="쉼표 [0] 2 47 5 2" xfId="1763"/>
    <cellStyle name="쉼표 [0] 2 47 5 3" xfId="1764"/>
    <cellStyle name="쉼표 [0] 2 47 6" xfId="1765"/>
    <cellStyle name="쉼표 [0] 2 47 6 2" xfId="1766"/>
    <cellStyle name="쉼표 [0] 2 47 6 3" xfId="1767"/>
    <cellStyle name="쉼표 [0] 2 47 7" xfId="1768"/>
    <cellStyle name="쉼표 [0] 2 47 7 2" xfId="1769"/>
    <cellStyle name="쉼표 [0] 2 47 7 3" xfId="1770"/>
    <cellStyle name="쉼표 [0] 2 47 8" xfId="1771"/>
    <cellStyle name="쉼표 [0] 2 47 8 2" xfId="1772"/>
    <cellStyle name="쉼표 [0] 2 47 8 3" xfId="1773"/>
    <cellStyle name="쉼표 [0] 2 47 9" xfId="1774"/>
    <cellStyle name="쉼표 [0] 2 47 9 2" xfId="1775"/>
    <cellStyle name="쉼표 [0] 2 47 9 3" xfId="1776"/>
    <cellStyle name="쉼표 [0] 2 48" xfId="1777"/>
    <cellStyle name="쉼표 [0] 2 48 10" xfId="1778"/>
    <cellStyle name="쉼표 [0] 2 48 10 2" xfId="1779"/>
    <cellStyle name="쉼표 [0] 2 48 10 3" xfId="1780"/>
    <cellStyle name="쉼표 [0] 2 48 11" xfId="1781"/>
    <cellStyle name="쉼표 [0] 2 48 11 2" xfId="1782"/>
    <cellStyle name="쉼표 [0] 2 48 11 3" xfId="1783"/>
    <cellStyle name="쉼표 [0] 2 48 12" xfId="1784"/>
    <cellStyle name="쉼표 [0] 2 48 12 2" xfId="1785"/>
    <cellStyle name="쉼표 [0] 2 48 12 3" xfId="1786"/>
    <cellStyle name="쉼표 [0] 2 48 13" xfId="1787"/>
    <cellStyle name="쉼표 [0] 2 48 13 2" xfId="1788"/>
    <cellStyle name="쉼표 [0] 2 48 13 3" xfId="1789"/>
    <cellStyle name="쉼표 [0] 2 48 14" xfId="1790"/>
    <cellStyle name="쉼표 [0] 2 48 15" xfId="1791"/>
    <cellStyle name="쉼표 [0] 2 48 16" xfId="4033"/>
    <cellStyle name="쉼표 [0] 2 48 17" xfId="4468"/>
    <cellStyle name="쉼표 [0] 2 48 2" xfId="1792"/>
    <cellStyle name="쉼표 [0] 2 48 2 2" xfId="1793"/>
    <cellStyle name="쉼표 [0] 2 48 2 3" xfId="1794"/>
    <cellStyle name="쉼표 [0] 2 48 3" xfId="1795"/>
    <cellStyle name="쉼표 [0] 2 48 3 2" xfId="1796"/>
    <cellStyle name="쉼표 [0] 2 48 3 3" xfId="1797"/>
    <cellStyle name="쉼표 [0] 2 48 4" xfId="1798"/>
    <cellStyle name="쉼표 [0] 2 48 4 2" xfId="1799"/>
    <cellStyle name="쉼표 [0] 2 48 4 3" xfId="1800"/>
    <cellStyle name="쉼표 [0] 2 48 5" xfId="1801"/>
    <cellStyle name="쉼표 [0] 2 48 5 2" xfId="1802"/>
    <cellStyle name="쉼표 [0] 2 48 5 3" xfId="1803"/>
    <cellStyle name="쉼표 [0] 2 48 6" xfId="1804"/>
    <cellStyle name="쉼표 [0] 2 48 6 2" xfId="1805"/>
    <cellStyle name="쉼표 [0] 2 48 6 3" xfId="1806"/>
    <cellStyle name="쉼표 [0] 2 48 7" xfId="1807"/>
    <cellStyle name="쉼표 [0] 2 48 7 2" xfId="1808"/>
    <cellStyle name="쉼표 [0] 2 48 7 3" xfId="1809"/>
    <cellStyle name="쉼표 [0] 2 48 8" xfId="1810"/>
    <cellStyle name="쉼표 [0] 2 48 8 2" xfId="1811"/>
    <cellStyle name="쉼표 [0] 2 48 8 3" xfId="1812"/>
    <cellStyle name="쉼표 [0] 2 48 9" xfId="1813"/>
    <cellStyle name="쉼표 [0] 2 48 9 2" xfId="1814"/>
    <cellStyle name="쉼표 [0] 2 48 9 3" xfId="1815"/>
    <cellStyle name="쉼표 [0] 2 49" xfId="1816"/>
    <cellStyle name="쉼표 [0] 2 49 10" xfId="1817"/>
    <cellStyle name="쉼표 [0] 2 49 10 2" xfId="1818"/>
    <cellStyle name="쉼표 [0] 2 49 10 3" xfId="1819"/>
    <cellStyle name="쉼표 [0] 2 49 11" xfId="1820"/>
    <cellStyle name="쉼표 [0] 2 49 11 2" xfId="1821"/>
    <cellStyle name="쉼표 [0] 2 49 11 3" xfId="1822"/>
    <cellStyle name="쉼표 [0] 2 49 12" xfId="1823"/>
    <cellStyle name="쉼표 [0] 2 49 12 2" xfId="1824"/>
    <cellStyle name="쉼표 [0] 2 49 12 3" xfId="1825"/>
    <cellStyle name="쉼표 [0] 2 49 13" xfId="1826"/>
    <cellStyle name="쉼표 [0] 2 49 13 2" xfId="1827"/>
    <cellStyle name="쉼표 [0] 2 49 13 3" xfId="1828"/>
    <cellStyle name="쉼표 [0] 2 49 14" xfId="1829"/>
    <cellStyle name="쉼표 [0] 2 49 15" xfId="1830"/>
    <cellStyle name="쉼표 [0] 2 49 16" xfId="4034"/>
    <cellStyle name="쉼표 [0] 2 49 17" xfId="4467"/>
    <cellStyle name="쉼표 [0] 2 49 2" xfId="1831"/>
    <cellStyle name="쉼표 [0] 2 49 2 2" xfId="1832"/>
    <cellStyle name="쉼표 [0] 2 49 2 3" xfId="1833"/>
    <cellStyle name="쉼표 [0] 2 49 3" xfId="1834"/>
    <cellStyle name="쉼표 [0] 2 49 3 2" xfId="1835"/>
    <cellStyle name="쉼표 [0] 2 49 3 3" xfId="1836"/>
    <cellStyle name="쉼표 [0] 2 49 4" xfId="1837"/>
    <cellStyle name="쉼표 [0] 2 49 4 2" xfId="1838"/>
    <cellStyle name="쉼표 [0] 2 49 4 3" xfId="1839"/>
    <cellStyle name="쉼표 [0] 2 49 5" xfId="1840"/>
    <cellStyle name="쉼표 [0] 2 49 5 2" xfId="1841"/>
    <cellStyle name="쉼표 [0] 2 49 5 3" xfId="1842"/>
    <cellStyle name="쉼표 [0] 2 49 6" xfId="1843"/>
    <cellStyle name="쉼표 [0] 2 49 6 2" xfId="1844"/>
    <cellStyle name="쉼표 [0] 2 49 6 3" xfId="1845"/>
    <cellStyle name="쉼표 [0] 2 49 7" xfId="1846"/>
    <cellStyle name="쉼표 [0] 2 49 7 2" xfId="1847"/>
    <cellStyle name="쉼표 [0] 2 49 7 3" xfId="1848"/>
    <cellStyle name="쉼표 [0] 2 49 8" xfId="1849"/>
    <cellStyle name="쉼표 [0] 2 49 8 2" xfId="1850"/>
    <cellStyle name="쉼표 [0] 2 49 8 3" xfId="1851"/>
    <cellStyle name="쉼표 [0] 2 49 9" xfId="1852"/>
    <cellStyle name="쉼표 [0] 2 49 9 2" xfId="1853"/>
    <cellStyle name="쉼표 [0] 2 49 9 3" xfId="1854"/>
    <cellStyle name="쉼표 [0] 2 5" xfId="1855"/>
    <cellStyle name="쉼표 [0] 2 5 10" xfId="1856"/>
    <cellStyle name="쉼표 [0] 2 5 10 2" xfId="1857"/>
    <cellStyle name="쉼표 [0] 2 5 10 3" xfId="1858"/>
    <cellStyle name="쉼표 [0] 2 5 11" xfId="1859"/>
    <cellStyle name="쉼표 [0] 2 5 11 2" xfId="1860"/>
    <cellStyle name="쉼표 [0] 2 5 11 3" xfId="1861"/>
    <cellStyle name="쉼표 [0] 2 5 12" xfId="1862"/>
    <cellStyle name="쉼표 [0] 2 5 12 2" xfId="1863"/>
    <cellStyle name="쉼표 [0] 2 5 12 3" xfId="1864"/>
    <cellStyle name="쉼표 [0] 2 5 13" xfId="1865"/>
    <cellStyle name="쉼표 [0] 2 5 13 2" xfId="1866"/>
    <cellStyle name="쉼표 [0] 2 5 13 3" xfId="1867"/>
    <cellStyle name="쉼표 [0] 2 5 14" xfId="1868"/>
    <cellStyle name="쉼표 [0] 2 5 15" xfId="1869"/>
    <cellStyle name="쉼표 [0] 2 5 16" xfId="1870"/>
    <cellStyle name="쉼표 [0] 2 5 17" xfId="3434"/>
    <cellStyle name="쉼표 [0] 2 5 18" xfId="4466"/>
    <cellStyle name="쉼표 [0] 2 5 2" xfId="1871"/>
    <cellStyle name="쉼표 [0] 2 5 2 2" xfId="1872"/>
    <cellStyle name="쉼표 [0] 2 5 2 3" xfId="1873"/>
    <cellStyle name="쉼표 [0] 2 5 3" xfId="1874"/>
    <cellStyle name="쉼표 [0] 2 5 3 2" xfId="1875"/>
    <cellStyle name="쉼표 [0] 2 5 3 3" xfId="1876"/>
    <cellStyle name="쉼표 [0] 2 5 4" xfId="1877"/>
    <cellStyle name="쉼표 [0] 2 5 4 2" xfId="1878"/>
    <cellStyle name="쉼표 [0] 2 5 4 3" xfId="1879"/>
    <cellStyle name="쉼표 [0] 2 5 5" xfId="1880"/>
    <cellStyle name="쉼표 [0] 2 5 5 2" xfId="1881"/>
    <cellStyle name="쉼표 [0] 2 5 5 3" xfId="1882"/>
    <cellStyle name="쉼표 [0] 2 5 6" xfId="1883"/>
    <cellStyle name="쉼표 [0] 2 5 6 2" xfId="1884"/>
    <cellStyle name="쉼표 [0] 2 5 6 3" xfId="1885"/>
    <cellStyle name="쉼표 [0] 2 5 7" xfId="1886"/>
    <cellStyle name="쉼표 [0] 2 5 7 2" xfId="1887"/>
    <cellStyle name="쉼표 [0] 2 5 7 3" xfId="1888"/>
    <cellStyle name="쉼표 [0] 2 5 8" xfId="1889"/>
    <cellStyle name="쉼표 [0] 2 5 8 2" xfId="1890"/>
    <cellStyle name="쉼표 [0] 2 5 8 3" xfId="1891"/>
    <cellStyle name="쉼표 [0] 2 5 9" xfId="1892"/>
    <cellStyle name="쉼표 [0] 2 5 9 2" xfId="1893"/>
    <cellStyle name="쉼표 [0] 2 5 9 3" xfId="1894"/>
    <cellStyle name="쉼표 [0] 2 50" xfId="1895"/>
    <cellStyle name="쉼표 [0] 2 50 10" xfId="1896"/>
    <cellStyle name="쉼표 [0] 2 50 10 2" xfId="1897"/>
    <cellStyle name="쉼표 [0] 2 50 10 3" xfId="1898"/>
    <cellStyle name="쉼표 [0] 2 50 11" xfId="1899"/>
    <cellStyle name="쉼표 [0] 2 50 11 2" xfId="1900"/>
    <cellStyle name="쉼표 [0] 2 50 11 3" xfId="1901"/>
    <cellStyle name="쉼표 [0] 2 50 12" xfId="1902"/>
    <cellStyle name="쉼표 [0] 2 50 12 2" xfId="1903"/>
    <cellStyle name="쉼표 [0] 2 50 12 3" xfId="1904"/>
    <cellStyle name="쉼표 [0] 2 50 13" xfId="1905"/>
    <cellStyle name="쉼표 [0] 2 50 13 2" xfId="1906"/>
    <cellStyle name="쉼표 [0] 2 50 13 3" xfId="1907"/>
    <cellStyle name="쉼표 [0] 2 50 14" xfId="1908"/>
    <cellStyle name="쉼표 [0] 2 50 15" xfId="1909"/>
    <cellStyle name="쉼표 [0] 2 50 16" xfId="4035"/>
    <cellStyle name="쉼표 [0] 2 50 17" xfId="4465"/>
    <cellStyle name="쉼표 [0] 2 50 2" xfId="1910"/>
    <cellStyle name="쉼표 [0] 2 50 2 2" xfId="1911"/>
    <cellStyle name="쉼표 [0] 2 50 2 3" xfId="1912"/>
    <cellStyle name="쉼표 [0] 2 50 3" xfId="1913"/>
    <cellStyle name="쉼표 [0] 2 50 3 2" xfId="1914"/>
    <cellStyle name="쉼표 [0] 2 50 3 3" xfId="1915"/>
    <cellStyle name="쉼표 [0] 2 50 4" xfId="1916"/>
    <cellStyle name="쉼표 [0] 2 50 4 2" xfId="1917"/>
    <cellStyle name="쉼표 [0] 2 50 4 3" xfId="1918"/>
    <cellStyle name="쉼표 [0] 2 50 5" xfId="1919"/>
    <cellStyle name="쉼표 [0] 2 50 5 2" xfId="1920"/>
    <cellStyle name="쉼표 [0] 2 50 5 3" xfId="1921"/>
    <cellStyle name="쉼표 [0] 2 50 6" xfId="1922"/>
    <cellStyle name="쉼표 [0] 2 50 6 2" xfId="1923"/>
    <cellStyle name="쉼표 [0] 2 50 6 3" xfId="1924"/>
    <cellStyle name="쉼표 [0] 2 50 7" xfId="1925"/>
    <cellStyle name="쉼표 [0] 2 50 7 2" xfId="1926"/>
    <cellStyle name="쉼표 [0] 2 50 7 3" xfId="1927"/>
    <cellStyle name="쉼표 [0] 2 50 8" xfId="1928"/>
    <cellStyle name="쉼표 [0] 2 50 8 2" xfId="1929"/>
    <cellStyle name="쉼표 [0] 2 50 8 3" xfId="1930"/>
    <cellStyle name="쉼표 [0] 2 50 9" xfId="1931"/>
    <cellStyle name="쉼표 [0] 2 50 9 2" xfId="1932"/>
    <cellStyle name="쉼표 [0] 2 50 9 3" xfId="1933"/>
    <cellStyle name="쉼표 [0] 2 51" xfId="1934"/>
    <cellStyle name="쉼표 [0] 2 51 10" xfId="1935"/>
    <cellStyle name="쉼표 [0] 2 51 10 2" xfId="1936"/>
    <cellStyle name="쉼표 [0] 2 51 10 3" xfId="1937"/>
    <cellStyle name="쉼표 [0] 2 51 11" xfId="1938"/>
    <cellStyle name="쉼표 [0] 2 51 11 2" xfId="1939"/>
    <cellStyle name="쉼표 [0] 2 51 11 3" xfId="1940"/>
    <cellStyle name="쉼표 [0] 2 51 12" xfId="1941"/>
    <cellStyle name="쉼표 [0] 2 51 12 2" xfId="1942"/>
    <cellStyle name="쉼표 [0] 2 51 12 3" xfId="1943"/>
    <cellStyle name="쉼표 [0] 2 51 13" xfId="1944"/>
    <cellStyle name="쉼표 [0] 2 51 13 2" xfId="1945"/>
    <cellStyle name="쉼표 [0] 2 51 13 3" xfId="1946"/>
    <cellStyle name="쉼표 [0] 2 51 14" xfId="1947"/>
    <cellStyle name="쉼표 [0] 2 51 15" xfId="1948"/>
    <cellStyle name="쉼표 [0] 2 51 16" xfId="4036"/>
    <cellStyle name="쉼표 [0] 2 51 17" xfId="4464"/>
    <cellStyle name="쉼표 [0] 2 51 2" xfId="1949"/>
    <cellStyle name="쉼표 [0] 2 51 2 2" xfId="1950"/>
    <cellStyle name="쉼표 [0] 2 51 2 3" xfId="1951"/>
    <cellStyle name="쉼표 [0] 2 51 3" xfId="1952"/>
    <cellStyle name="쉼표 [0] 2 51 3 2" xfId="1953"/>
    <cellStyle name="쉼표 [0] 2 51 3 3" xfId="1954"/>
    <cellStyle name="쉼표 [0] 2 51 4" xfId="1955"/>
    <cellStyle name="쉼표 [0] 2 51 4 2" xfId="1956"/>
    <cellStyle name="쉼표 [0] 2 51 4 3" xfId="1957"/>
    <cellStyle name="쉼표 [0] 2 51 5" xfId="1958"/>
    <cellStyle name="쉼표 [0] 2 51 5 2" xfId="1959"/>
    <cellStyle name="쉼표 [0] 2 51 5 3" xfId="1960"/>
    <cellStyle name="쉼표 [0] 2 51 6" xfId="1961"/>
    <cellStyle name="쉼표 [0] 2 51 6 2" xfId="1962"/>
    <cellStyle name="쉼표 [0] 2 51 6 3" xfId="1963"/>
    <cellStyle name="쉼표 [0] 2 51 7" xfId="1964"/>
    <cellStyle name="쉼표 [0] 2 51 7 2" xfId="1965"/>
    <cellStyle name="쉼표 [0] 2 51 7 3" xfId="1966"/>
    <cellStyle name="쉼표 [0] 2 51 8" xfId="1967"/>
    <cellStyle name="쉼표 [0] 2 51 8 2" xfId="1968"/>
    <cellStyle name="쉼표 [0] 2 51 8 3" xfId="1969"/>
    <cellStyle name="쉼표 [0] 2 51 9" xfId="1970"/>
    <cellStyle name="쉼표 [0] 2 51 9 2" xfId="1971"/>
    <cellStyle name="쉼표 [0] 2 51 9 3" xfId="1972"/>
    <cellStyle name="쉼표 [0] 2 52" xfId="1973"/>
    <cellStyle name="쉼표 [0] 2 52 10" xfId="1974"/>
    <cellStyle name="쉼표 [0] 2 52 10 2" xfId="1975"/>
    <cellStyle name="쉼표 [0] 2 52 10 3" xfId="1976"/>
    <cellStyle name="쉼표 [0] 2 52 11" xfId="1977"/>
    <cellStyle name="쉼표 [0] 2 52 11 2" xfId="1978"/>
    <cellStyle name="쉼표 [0] 2 52 11 3" xfId="1979"/>
    <cellStyle name="쉼표 [0] 2 52 12" xfId="1980"/>
    <cellStyle name="쉼표 [0] 2 52 12 2" xfId="1981"/>
    <cellStyle name="쉼표 [0] 2 52 12 3" xfId="1982"/>
    <cellStyle name="쉼표 [0] 2 52 13" xfId="1983"/>
    <cellStyle name="쉼표 [0] 2 52 13 2" xfId="1984"/>
    <cellStyle name="쉼표 [0] 2 52 13 3" xfId="1985"/>
    <cellStyle name="쉼표 [0] 2 52 14" xfId="1986"/>
    <cellStyle name="쉼표 [0] 2 52 15" xfId="1987"/>
    <cellStyle name="쉼표 [0] 2 52 16" xfId="4037"/>
    <cellStyle name="쉼표 [0] 2 52 17" xfId="4463"/>
    <cellStyle name="쉼표 [0] 2 52 2" xfId="1988"/>
    <cellStyle name="쉼표 [0] 2 52 2 2" xfId="1989"/>
    <cellStyle name="쉼표 [0] 2 52 2 3" xfId="1990"/>
    <cellStyle name="쉼표 [0] 2 52 3" xfId="1991"/>
    <cellStyle name="쉼표 [0] 2 52 3 2" xfId="1992"/>
    <cellStyle name="쉼표 [0] 2 52 3 3" xfId="1993"/>
    <cellStyle name="쉼표 [0] 2 52 4" xfId="1994"/>
    <cellStyle name="쉼표 [0] 2 52 4 2" xfId="1995"/>
    <cellStyle name="쉼표 [0] 2 52 4 3" xfId="1996"/>
    <cellStyle name="쉼표 [0] 2 52 5" xfId="1997"/>
    <cellStyle name="쉼표 [0] 2 52 5 2" xfId="1998"/>
    <cellStyle name="쉼표 [0] 2 52 5 3" xfId="1999"/>
    <cellStyle name="쉼표 [0] 2 52 6" xfId="2000"/>
    <cellStyle name="쉼표 [0] 2 52 6 2" xfId="2001"/>
    <cellStyle name="쉼표 [0] 2 52 6 3" xfId="2002"/>
    <cellStyle name="쉼표 [0] 2 52 7" xfId="2003"/>
    <cellStyle name="쉼표 [0] 2 52 7 2" xfId="2004"/>
    <cellStyle name="쉼표 [0] 2 52 7 3" xfId="2005"/>
    <cellStyle name="쉼표 [0] 2 52 8" xfId="2006"/>
    <cellStyle name="쉼표 [0] 2 52 8 2" xfId="2007"/>
    <cellStyle name="쉼표 [0] 2 52 8 3" xfId="2008"/>
    <cellStyle name="쉼표 [0] 2 52 9" xfId="2009"/>
    <cellStyle name="쉼표 [0] 2 52 9 2" xfId="2010"/>
    <cellStyle name="쉼표 [0] 2 52 9 3" xfId="2011"/>
    <cellStyle name="쉼표 [0] 2 53" xfId="2012"/>
    <cellStyle name="쉼표 [0] 2 53 10" xfId="2013"/>
    <cellStyle name="쉼표 [0] 2 53 10 2" xfId="2014"/>
    <cellStyle name="쉼표 [0] 2 53 10 3" xfId="2015"/>
    <cellStyle name="쉼표 [0] 2 53 11" xfId="2016"/>
    <cellStyle name="쉼표 [0] 2 53 11 2" xfId="2017"/>
    <cellStyle name="쉼표 [0] 2 53 11 3" xfId="2018"/>
    <cellStyle name="쉼표 [0] 2 53 12" xfId="2019"/>
    <cellStyle name="쉼표 [0] 2 53 12 2" xfId="2020"/>
    <cellStyle name="쉼표 [0] 2 53 12 3" xfId="2021"/>
    <cellStyle name="쉼표 [0] 2 53 13" xfId="2022"/>
    <cellStyle name="쉼표 [0] 2 53 13 2" xfId="2023"/>
    <cellStyle name="쉼표 [0] 2 53 13 3" xfId="2024"/>
    <cellStyle name="쉼표 [0] 2 53 14" xfId="2025"/>
    <cellStyle name="쉼표 [0] 2 53 15" xfId="2026"/>
    <cellStyle name="쉼표 [0] 2 53 16" xfId="4038"/>
    <cellStyle name="쉼표 [0] 2 53 17" xfId="4462"/>
    <cellStyle name="쉼표 [0] 2 53 2" xfId="2027"/>
    <cellStyle name="쉼표 [0] 2 53 2 2" xfId="2028"/>
    <cellStyle name="쉼표 [0] 2 53 2 3" xfId="2029"/>
    <cellStyle name="쉼표 [0] 2 53 3" xfId="2030"/>
    <cellStyle name="쉼표 [0] 2 53 3 2" xfId="2031"/>
    <cellStyle name="쉼표 [0] 2 53 3 3" xfId="2032"/>
    <cellStyle name="쉼표 [0] 2 53 4" xfId="2033"/>
    <cellStyle name="쉼표 [0] 2 53 4 2" xfId="2034"/>
    <cellStyle name="쉼표 [0] 2 53 4 3" xfId="2035"/>
    <cellStyle name="쉼표 [0] 2 53 5" xfId="2036"/>
    <cellStyle name="쉼표 [0] 2 53 5 2" xfId="2037"/>
    <cellStyle name="쉼표 [0] 2 53 5 3" xfId="2038"/>
    <cellStyle name="쉼표 [0] 2 53 6" xfId="2039"/>
    <cellStyle name="쉼표 [0] 2 53 6 2" xfId="2040"/>
    <cellStyle name="쉼표 [0] 2 53 6 3" xfId="2041"/>
    <cellStyle name="쉼표 [0] 2 53 7" xfId="2042"/>
    <cellStyle name="쉼표 [0] 2 53 7 2" xfId="2043"/>
    <cellStyle name="쉼표 [0] 2 53 7 3" xfId="2044"/>
    <cellStyle name="쉼표 [0] 2 53 8" xfId="2045"/>
    <cellStyle name="쉼표 [0] 2 53 8 2" xfId="2046"/>
    <cellStyle name="쉼표 [0] 2 53 8 3" xfId="2047"/>
    <cellStyle name="쉼표 [0] 2 53 9" xfId="2048"/>
    <cellStyle name="쉼표 [0] 2 53 9 2" xfId="2049"/>
    <cellStyle name="쉼표 [0] 2 53 9 3" xfId="2050"/>
    <cellStyle name="쉼표 [0] 2 54" xfId="2051"/>
    <cellStyle name="쉼표 [0] 2 54 10" xfId="2052"/>
    <cellStyle name="쉼표 [0] 2 54 10 2" xfId="2053"/>
    <cellStyle name="쉼표 [0] 2 54 10 3" xfId="2054"/>
    <cellStyle name="쉼표 [0] 2 54 11" xfId="2055"/>
    <cellStyle name="쉼표 [0] 2 54 11 2" xfId="2056"/>
    <cellStyle name="쉼표 [0] 2 54 11 3" xfId="2057"/>
    <cellStyle name="쉼표 [0] 2 54 12" xfId="2058"/>
    <cellStyle name="쉼표 [0] 2 54 12 2" xfId="2059"/>
    <cellStyle name="쉼표 [0] 2 54 12 3" xfId="2060"/>
    <cellStyle name="쉼표 [0] 2 54 13" xfId="2061"/>
    <cellStyle name="쉼표 [0] 2 54 13 2" xfId="2062"/>
    <cellStyle name="쉼표 [0] 2 54 13 3" xfId="2063"/>
    <cellStyle name="쉼표 [0] 2 54 14" xfId="2064"/>
    <cellStyle name="쉼표 [0] 2 54 15" xfId="2065"/>
    <cellStyle name="쉼표 [0] 2 54 16" xfId="4039"/>
    <cellStyle name="쉼표 [0] 2 54 17" xfId="4461"/>
    <cellStyle name="쉼표 [0] 2 54 2" xfId="2066"/>
    <cellStyle name="쉼표 [0] 2 54 2 2" xfId="2067"/>
    <cellStyle name="쉼표 [0] 2 54 2 3" xfId="2068"/>
    <cellStyle name="쉼표 [0] 2 54 3" xfId="2069"/>
    <cellStyle name="쉼표 [0] 2 54 3 2" xfId="2070"/>
    <cellStyle name="쉼표 [0] 2 54 3 3" xfId="2071"/>
    <cellStyle name="쉼표 [0] 2 54 4" xfId="2072"/>
    <cellStyle name="쉼표 [0] 2 54 4 2" xfId="2073"/>
    <cellStyle name="쉼표 [0] 2 54 4 3" xfId="2074"/>
    <cellStyle name="쉼표 [0] 2 54 5" xfId="2075"/>
    <cellStyle name="쉼표 [0] 2 54 5 2" xfId="2076"/>
    <cellStyle name="쉼표 [0] 2 54 5 3" xfId="2077"/>
    <cellStyle name="쉼표 [0] 2 54 6" xfId="2078"/>
    <cellStyle name="쉼표 [0] 2 54 6 2" xfId="2079"/>
    <cellStyle name="쉼표 [0] 2 54 6 3" xfId="2080"/>
    <cellStyle name="쉼표 [0] 2 54 7" xfId="2081"/>
    <cellStyle name="쉼표 [0] 2 54 7 2" xfId="2082"/>
    <cellStyle name="쉼표 [0] 2 54 7 3" xfId="2083"/>
    <cellStyle name="쉼표 [0] 2 54 8" xfId="2084"/>
    <cellStyle name="쉼표 [0] 2 54 8 2" xfId="2085"/>
    <cellStyle name="쉼표 [0] 2 54 8 3" xfId="2086"/>
    <cellStyle name="쉼표 [0] 2 54 9" xfId="2087"/>
    <cellStyle name="쉼표 [0] 2 54 9 2" xfId="2088"/>
    <cellStyle name="쉼표 [0] 2 54 9 3" xfId="2089"/>
    <cellStyle name="쉼표 [0] 2 55" xfId="2090"/>
    <cellStyle name="쉼표 [0] 2 55 10" xfId="2091"/>
    <cellStyle name="쉼표 [0] 2 55 10 2" xfId="2092"/>
    <cellStyle name="쉼표 [0] 2 55 10 3" xfId="2093"/>
    <cellStyle name="쉼표 [0] 2 55 11" xfId="2094"/>
    <cellStyle name="쉼표 [0] 2 55 11 2" xfId="2095"/>
    <cellStyle name="쉼표 [0] 2 55 11 3" xfId="2096"/>
    <cellStyle name="쉼표 [0] 2 55 12" xfId="2097"/>
    <cellStyle name="쉼표 [0] 2 55 12 2" xfId="2098"/>
    <cellStyle name="쉼표 [0] 2 55 12 3" xfId="2099"/>
    <cellStyle name="쉼표 [0] 2 55 13" xfId="2100"/>
    <cellStyle name="쉼표 [0] 2 55 13 2" xfId="2101"/>
    <cellStyle name="쉼표 [0] 2 55 13 3" xfId="2102"/>
    <cellStyle name="쉼표 [0] 2 55 14" xfId="2103"/>
    <cellStyle name="쉼표 [0] 2 55 15" xfId="2104"/>
    <cellStyle name="쉼표 [0] 2 55 16" xfId="4040"/>
    <cellStyle name="쉼표 [0] 2 55 17" xfId="4460"/>
    <cellStyle name="쉼표 [0] 2 55 2" xfId="2105"/>
    <cellStyle name="쉼표 [0] 2 55 2 2" xfId="2106"/>
    <cellStyle name="쉼표 [0] 2 55 2 3" xfId="2107"/>
    <cellStyle name="쉼표 [0] 2 55 3" xfId="2108"/>
    <cellStyle name="쉼표 [0] 2 55 3 2" xfId="2109"/>
    <cellStyle name="쉼표 [0] 2 55 3 3" xfId="2110"/>
    <cellStyle name="쉼표 [0] 2 55 4" xfId="2111"/>
    <cellStyle name="쉼표 [0] 2 55 4 2" xfId="2112"/>
    <cellStyle name="쉼표 [0] 2 55 4 3" xfId="2113"/>
    <cellStyle name="쉼표 [0] 2 55 5" xfId="2114"/>
    <cellStyle name="쉼표 [0] 2 55 5 2" xfId="2115"/>
    <cellStyle name="쉼표 [0] 2 55 5 3" xfId="2116"/>
    <cellStyle name="쉼표 [0] 2 55 6" xfId="2117"/>
    <cellStyle name="쉼표 [0] 2 55 6 2" xfId="2118"/>
    <cellStyle name="쉼표 [0] 2 55 6 3" xfId="2119"/>
    <cellStyle name="쉼표 [0] 2 55 7" xfId="2120"/>
    <cellStyle name="쉼표 [0] 2 55 7 2" xfId="2121"/>
    <cellStyle name="쉼표 [0] 2 55 7 3" xfId="2122"/>
    <cellStyle name="쉼표 [0] 2 55 8" xfId="2123"/>
    <cellStyle name="쉼표 [0] 2 55 8 2" xfId="2124"/>
    <cellStyle name="쉼표 [0] 2 55 8 3" xfId="2125"/>
    <cellStyle name="쉼표 [0] 2 55 9" xfId="2126"/>
    <cellStyle name="쉼표 [0] 2 55 9 2" xfId="2127"/>
    <cellStyle name="쉼표 [0] 2 55 9 3" xfId="2128"/>
    <cellStyle name="쉼표 [0] 2 56" xfId="2129"/>
    <cellStyle name="쉼표 [0] 2 56 10" xfId="2130"/>
    <cellStyle name="쉼표 [0] 2 56 10 2" xfId="2131"/>
    <cellStyle name="쉼표 [0] 2 56 10 3" xfId="2132"/>
    <cellStyle name="쉼표 [0] 2 56 11" xfId="2133"/>
    <cellStyle name="쉼표 [0] 2 56 11 2" xfId="2134"/>
    <cellStyle name="쉼표 [0] 2 56 11 3" xfId="2135"/>
    <cellStyle name="쉼표 [0] 2 56 12" xfId="2136"/>
    <cellStyle name="쉼표 [0] 2 56 12 2" xfId="2137"/>
    <cellStyle name="쉼표 [0] 2 56 12 3" xfId="2138"/>
    <cellStyle name="쉼표 [0] 2 56 13" xfId="2139"/>
    <cellStyle name="쉼표 [0] 2 56 13 2" xfId="2140"/>
    <cellStyle name="쉼표 [0] 2 56 13 3" xfId="2141"/>
    <cellStyle name="쉼표 [0] 2 56 14" xfId="2142"/>
    <cellStyle name="쉼표 [0] 2 56 15" xfId="2143"/>
    <cellStyle name="쉼표 [0] 2 56 16" xfId="4041"/>
    <cellStyle name="쉼표 [0] 2 56 17" xfId="4459"/>
    <cellStyle name="쉼표 [0] 2 56 2" xfId="2144"/>
    <cellStyle name="쉼표 [0] 2 56 2 2" xfId="2145"/>
    <cellStyle name="쉼표 [0] 2 56 2 3" xfId="2146"/>
    <cellStyle name="쉼표 [0] 2 56 3" xfId="2147"/>
    <cellStyle name="쉼표 [0] 2 56 3 2" xfId="2148"/>
    <cellStyle name="쉼표 [0] 2 56 3 3" xfId="2149"/>
    <cellStyle name="쉼표 [0] 2 56 4" xfId="2150"/>
    <cellStyle name="쉼표 [0] 2 56 4 2" xfId="2151"/>
    <cellStyle name="쉼표 [0] 2 56 4 3" xfId="2152"/>
    <cellStyle name="쉼표 [0] 2 56 5" xfId="2153"/>
    <cellStyle name="쉼표 [0] 2 56 5 2" xfId="2154"/>
    <cellStyle name="쉼표 [0] 2 56 5 3" xfId="2155"/>
    <cellStyle name="쉼표 [0] 2 56 6" xfId="2156"/>
    <cellStyle name="쉼표 [0] 2 56 6 2" xfId="2157"/>
    <cellStyle name="쉼표 [0] 2 56 6 3" xfId="2158"/>
    <cellStyle name="쉼표 [0] 2 56 7" xfId="2159"/>
    <cellStyle name="쉼표 [0] 2 56 7 2" xfId="2160"/>
    <cellStyle name="쉼표 [0] 2 56 7 3" xfId="2161"/>
    <cellStyle name="쉼표 [0] 2 56 8" xfId="2162"/>
    <cellStyle name="쉼표 [0] 2 56 8 2" xfId="2163"/>
    <cellStyle name="쉼표 [0] 2 56 8 3" xfId="2164"/>
    <cellStyle name="쉼표 [0] 2 56 9" xfId="2165"/>
    <cellStyle name="쉼표 [0] 2 56 9 2" xfId="2166"/>
    <cellStyle name="쉼표 [0] 2 56 9 3" xfId="2167"/>
    <cellStyle name="쉼표 [0] 2 57" xfId="2168"/>
    <cellStyle name="쉼표 [0] 2 57 10" xfId="2169"/>
    <cellStyle name="쉼표 [0] 2 57 10 2" xfId="2170"/>
    <cellStyle name="쉼표 [0] 2 57 10 3" xfId="2171"/>
    <cellStyle name="쉼표 [0] 2 57 11" xfId="2172"/>
    <cellStyle name="쉼표 [0] 2 57 11 2" xfId="2173"/>
    <cellStyle name="쉼표 [0] 2 57 11 3" xfId="2174"/>
    <cellStyle name="쉼표 [0] 2 57 12" xfId="2175"/>
    <cellStyle name="쉼표 [0] 2 57 12 2" xfId="2176"/>
    <cellStyle name="쉼표 [0] 2 57 12 3" xfId="2177"/>
    <cellStyle name="쉼표 [0] 2 57 13" xfId="2178"/>
    <cellStyle name="쉼표 [0] 2 57 13 2" xfId="2179"/>
    <cellStyle name="쉼표 [0] 2 57 13 3" xfId="2180"/>
    <cellStyle name="쉼표 [0] 2 57 14" xfId="2181"/>
    <cellStyle name="쉼표 [0] 2 57 15" xfId="2182"/>
    <cellStyle name="쉼표 [0] 2 57 16" xfId="4042"/>
    <cellStyle name="쉼표 [0] 2 57 17" xfId="4458"/>
    <cellStyle name="쉼표 [0] 2 57 2" xfId="2183"/>
    <cellStyle name="쉼표 [0] 2 57 2 2" xfId="2184"/>
    <cellStyle name="쉼표 [0] 2 57 2 3" xfId="2185"/>
    <cellStyle name="쉼표 [0] 2 57 3" xfId="2186"/>
    <cellStyle name="쉼표 [0] 2 57 3 2" xfId="2187"/>
    <cellStyle name="쉼표 [0] 2 57 3 3" xfId="2188"/>
    <cellStyle name="쉼표 [0] 2 57 4" xfId="2189"/>
    <cellStyle name="쉼표 [0] 2 57 4 2" xfId="2190"/>
    <cellStyle name="쉼표 [0] 2 57 4 3" xfId="2191"/>
    <cellStyle name="쉼표 [0] 2 57 5" xfId="2192"/>
    <cellStyle name="쉼표 [0] 2 57 5 2" xfId="2193"/>
    <cellStyle name="쉼표 [0] 2 57 5 3" xfId="2194"/>
    <cellStyle name="쉼표 [0] 2 57 6" xfId="2195"/>
    <cellStyle name="쉼표 [0] 2 57 6 2" xfId="2196"/>
    <cellStyle name="쉼표 [0] 2 57 6 3" xfId="2197"/>
    <cellStyle name="쉼표 [0] 2 57 7" xfId="2198"/>
    <cellStyle name="쉼표 [0] 2 57 7 2" xfId="2199"/>
    <cellStyle name="쉼표 [0] 2 57 7 3" xfId="2200"/>
    <cellStyle name="쉼표 [0] 2 57 8" xfId="2201"/>
    <cellStyle name="쉼표 [0] 2 57 8 2" xfId="2202"/>
    <cellStyle name="쉼표 [0] 2 57 8 3" xfId="2203"/>
    <cellStyle name="쉼표 [0] 2 57 9" xfId="2204"/>
    <cellStyle name="쉼표 [0] 2 57 9 2" xfId="2205"/>
    <cellStyle name="쉼표 [0] 2 57 9 3" xfId="2206"/>
    <cellStyle name="쉼표 [0] 2 58" xfId="2207"/>
    <cellStyle name="쉼표 [0] 2 58 10" xfId="2208"/>
    <cellStyle name="쉼표 [0] 2 58 10 2" xfId="2209"/>
    <cellStyle name="쉼표 [0] 2 58 10 3" xfId="2210"/>
    <cellStyle name="쉼표 [0] 2 58 11" xfId="2211"/>
    <cellStyle name="쉼표 [0] 2 58 11 2" xfId="2212"/>
    <cellStyle name="쉼표 [0] 2 58 11 3" xfId="2213"/>
    <cellStyle name="쉼표 [0] 2 58 12" xfId="2214"/>
    <cellStyle name="쉼표 [0] 2 58 12 2" xfId="2215"/>
    <cellStyle name="쉼표 [0] 2 58 12 3" xfId="2216"/>
    <cellStyle name="쉼표 [0] 2 58 13" xfId="2217"/>
    <cellStyle name="쉼표 [0] 2 58 13 2" xfId="2218"/>
    <cellStyle name="쉼표 [0] 2 58 13 3" xfId="2219"/>
    <cellStyle name="쉼표 [0] 2 58 14" xfId="2220"/>
    <cellStyle name="쉼표 [0] 2 58 15" xfId="2221"/>
    <cellStyle name="쉼표 [0] 2 58 16" xfId="4043"/>
    <cellStyle name="쉼표 [0] 2 58 17" xfId="4457"/>
    <cellStyle name="쉼표 [0] 2 58 2" xfId="2222"/>
    <cellStyle name="쉼표 [0] 2 58 2 2" xfId="2223"/>
    <cellStyle name="쉼표 [0] 2 58 2 3" xfId="2224"/>
    <cellStyle name="쉼표 [0] 2 58 3" xfId="2225"/>
    <cellStyle name="쉼표 [0] 2 58 3 2" xfId="2226"/>
    <cellStyle name="쉼표 [0] 2 58 3 3" xfId="2227"/>
    <cellStyle name="쉼표 [0] 2 58 4" xfId="2228"/>
    <cellStyle name="쉼표 [0] 2 58 4 2" xfId="2229"/>
    <cellStyle name="쉼표 [0] 2 58 4 3" xfId="2230"/>
    <cellStyle name="쉼표 [0] 2 58 5" xfId="2231"/>
    <cellStyle name="쉼표 [0] 2 58 5 2" xfId="2232"/>
    <cellStyle name="쉼표 [0] 2 58 5 3" xfId="2233"/>
    <cellStyle name="쉼표 [0] 2 58 6" xfId="2234"/>
    <cellStyle name="쉼표 [0] 2 58 6 2" xfId="2235"/>
    <cellStyle name="쉼표 [0] 2 58 6 3" xfId="2236"/>
    <cellStyle name="쉼표 [0] 2 58 7" xfId="2237"/>
    <cellStyle name="쉼표 [0] 2 58 7 2" xfId="2238"/>
    <cellStyle name="쉼표 [0] 2 58 7 3" xfId="2239"/>
    <cellStyle name="쉼표 [0] 2 58 8" xfId="2240"/>
    <cellStyle name="쉼표 [0] 2 58 8 2" xfId="2241"/>
    <cellStyle name="쉼표 [0] 2 58 8 3" xfId="2242"/>
    <cellStyle name="쉼표 [0] 2 58 9" xfId="2243"/>
    <cellStyle name="쉼표 [0] 2 58 9 2" xfId="2244"/>
    <cellStyle name="쉼표 [0] 2 58 9 3" xfId="2245"/>
    <cellStyle name="쉼표 [0] 2 59" xfId="2246"/>
    <cellStyle name="쉼표 [0] 2 59 10" xfId="2247"/>
    <cellStyle name="쉼표 [0] 2 59 10 2" xfId="2248"/>
    <cellStyle name="쉼표 [0] 2 59 10 3" xfId="2249"/>
    <cellStyle name="쉼표 [0] 2 59 11" xfId="2250"/>
    <cellStyle name="쉼표 [0] 2 59 11 2" xfId="2251"/>
    <cellStyle name="쉼표 [0] 2 59 11 3" xfId="2252"/>
    <cellStyle name="쉼표 [0] 2 59 12" xfId="2253"/>
    <cellStyle name="쉼표 [0] 2 59 12 2" xfId="2254"/>
    <cellStyle name="쉼표 [0] 2 59 12 3" xfId="2255"/>
    <cellStyle name="쉼표 [0] 2 59 13" xfId="2256"/>
    <cellStyle name="쉼표 [0] 2 59 13 2" xfId="2257"/>
    <cellStyle name="쉼표 [0] 2 59 13 3" xfId="2258"/>
    <cellStyle name="쉼표 [0] 2 59 14" xfId="2259"/>
    <cellStyle name="쉼표 [0] 2 59 15" xfId="2260"/>
    <cellStyle name="쉼표 [0] 2 59 16" xfId="4044"/>
    <cellStyle name="쉼표 [0] 2 59 17" xfId="4456"/>
    <cellStyle name="쉼표 [0] 2 59 2" xfId="2261"/>
    <cellStyle name="쉼표 [0] 2 59 2 2" xfId="2262"/>
    <cellStyle name="쉼표 [0] 2 59 2 3" xfId="2263"/>
    <cellStyle name="쉼표 [0] 2 59 3" xfId="2264"/>
    <cellStyle name="쉼표 [0] 2 59 3 2" xfId="2265"/>
    <cellStyle name="쉼표 [0] 2 59 3 3" xfId="2266"/>
    <cellStyle name="쉼표 [0] 2 59 4" xfId="2267"/>
    <cellStyle name="쉼표 [0] 2 59 4 2" xfId="2268"/>
    <cellStyle name="쉼표 [0] 2 59 4 3" xfId="2269"/>
    <cellStyle name="쉼표 [0] 2 59 5" xfId="2270"/>
    <cellStyle name="쉼표 [0] 2 59 5 2" xfId="2271"/>
    <cellStyle name="쉼표 [0] 2 59 5 3" xfId="2272"/>
    <cellStyle name="쉼표 [0] 2 59 6" xfId="2273"/>
    <cellStyle name="쉼표 [0] 2 59 6 2" xfId="2274"/>
    <cellStyle name="쉼표 [0] 2 59 6 3" xfId="2275"/>
    <cellStyle name="쉼표 [0] 2 59 7" xfId="2276"/>
    <cellStyle name="쉼표 [0] 2 59 7 2" xfId="2277"/>
    <cellStyle name="쉼표 [0] 2 59 7 3" xfId="2278"/>
    <cellStyle name="쉼표 [0] 2 59 8" xfId="2279"/>
    <cellStyle name="쉼표 [0] 2 59 8 2" xfId="2280"/>
    <cellStyle name="쉼표 [0] 2 59 8 3" xfId="2281"/>
    <cellStyle name="쉼표 [0] 2 59 9" xfId="2282"/>
    <cellStyle name="쉼표 [0] 2 59 9 2" xfId="2283"/>
    <cellStyle name="쉼표 [0] 2 59 9 3" xfId="2284"/>
    <cellStyle name="쉼표 [0] 2 6" xfId="2285"/>
    <cellStyle name="쉼표 [0] 2 6 10" xfId="2286"/>
    <cellStyle name="쉼표 [0] 2 6 10 2" xfId="2287"/>
    <cellStyle name="쉼표 [0] 2 6 10 3" xfId="2288"/>
    <cellStyle name="쉼표 [0] 2 6 11" xfId="2289"/>
    <cellStyle name="쉼표 [0] 2 6 11 2" xfId="2290"/>
    <cellStyle name="쉼표 [0] 2 6 11 3" xfId="2291"/>
    <cellStyle name="쉼표 [0] 2 6 12" xfId="2292"/>
    <cellStyle name="쉼표 [0] 2 6 12 2" xfId="2293"/>
    <cellStyle name="쉼표 [0] 2 6 12 3" xfId="2294"/>
    <cellStyle name="쉼표 [0] 2 6 13" xfId="2295"/>
    <cellStyle name="쉼표 [0] 2 6 13 2" xfId="2296"/>
    <cellStyle name="쉼표 [0] 2 6 13 3" xfId="2297"/>
    <cellStyle name="쉼표 [0] 2 6 14" xfId="2298"/>
    <cellStyle name="쉼표 [0] 2 6 15" xfId="2299"/>
    <cellStyle name="쉼표 [0] 2 6 16" xfId="2300"/>
    <cellStyle name="쉼표 [0] 2 6 17" xfId="3435"/>
    <cellStyle name="쉼표 [0] 2 6 18" xfId="4455"/>
    <cellStyle name="쉼표 [0] 2 6 2" xfId="2301"/>
    <cellStyle name="쉼표 [0] 2 6 2 2" xfId="2302"/>
    <cellStyle name="쉼표 [0] 2 6 2 3" xfId="2303"/>
    <cellStyle name="쉼표 [0] 2 6 3" xfId="2304"/>
    <cellStyle name="쉼표 [0] 2 6 3 2" xfId="2305"/>
    <cellStyle name="쉼표 [0] 2 6 3 3" xfId="2306"/>
    <cellStyle name="쉼표 [0] 2 6 4" xfId="2307"/>
    <cellStyle name="쉼표 [0] 2 6 4 2" xfId="2308"/>
    <cellStyle name="쉼표 [0] 2 6 4 3" xfId="2309"/>
    <cellStyle name="쉼표 [0] 2 6 5" xfId="2310"/>
    <cellStyle name="쉼표 [0] 2 6 5 2" xfId="2311"/>
    <cellStyle name="쉼표 [0] 2 6 5 3" xfId="2312"/>
    <cellStyle name="쉼표 [0] 2 6 6" xfId="2313"/>
    <cellStyle name="쉼표 [0] 2 6 6 2" xfId="2314"/>
    <cellStyle name="쉼표 [0] 2 6 6 3" xfId="2315"/>
    <cellStyle name="쉼표 [0] 2 6 7" xfId="2316"/>
    <cellStyle name="쉼표 [0] 2 6 7 2" xfId="2317"/>
    <cellStyle name="쉼표 [0] 2 6 7 3" xfId="2318"/>
    <cellStyle name="쉼표 [0] 2 6 8" xfId="2319"/>
    <cellStyle name="쉼표 [0] 2 6 8 2" xfId="2320"/>
    <cellStyle name="쉼표 [0] 2 6 8 3" xfId="2321"/>
    <cellStyle name="쉼표 [0] 2 6 9" xfId="2322"/>
    <cellStyle name="쉼표 [0] 2 6 9 2" xfId="2323"/>
    <cellStyle name="쉼표 [0] 2 6 9 3" xfId="2324"/>
    <cellStyle name="쉼표 [0] 2 60" xfId="2325"/>
    <cellStyle name="쉼표 [0] 2 60 10" xfId="2326"/>
    <cellStyle name="쉼표 [0] 2 60 10 2" xfId="2327"/>
    <cellStyle name="쉼표 [0] 2 60 10 3" xfId="2328"/>
    <cellStyle name="쉼표 [0] 2 60 11" xfId="2329"/>
    <cellStyle name="쉼표 [0] 2 60 11 2" xfId="2330"/>
    <cellStyle name="쉼표 [0] 2 60 11 3" xfId="2331"/>
    <cellStyle name="쉼표 [0] 2 60 12" xfId="2332"/>
    <cellStyle name="쉼표 [0] 2 60 12 2" xfId="2333"/>
    <cellStyle name="쉼표 [0] 2 60 12 3" xfId="2334"/>
    <cellStyle name="쉼표 [0] 2 60 13" xfId="2335"/>
    <cellStyle name="쉼표 [0] 2 60 13 2" xfId="2336"/>
    <cellStyle name="쉼표 [0] 2 60 13 3" xfId="2337"/>
    <cellStyle name="쉼표 [0] 2 60 14" xfId="2338"/>
    <cellStyle name="쉼표 [0] 2 60 15" xfId="2339"/>
    <cellStyle name="쉼표 [0] 2 60 16" xfId="4045"/>
    <cellStyle name="쉼표 [0] 2 60 17" xfId="4454"/>
    <cellStyle name="쉼표 [0] 2 60 2" xfId="2340"/>
    <cellStyle name="쉼표 [0] 2 60 2 2" xfId="2341"/>
    <cellStyle name="쉼표 [0] 2 60 2 3" xfId="2342"/>
    <cellStyle name="쉼표 [0] 2 60 3" xfId="2343"/>
    <cellStyle name="쉼표 [0] 2 60 3 2" xfId="2344"/>
    <cellStyle name="쉼표 [0] 2 60 3 3" xfId="2345"/>
    <cellStyle name="쉼표 [0] 2 60 4" xfId="2346"/>
    <cellStyle name="쉼표 [0] 2 60 4 2" xfId="2347"/>
    <cellStyle name="쉼표 [0] 2 60 4 3" xfId="2348"/>
    <cellStyle name="쉼표 [0] 2 60 5" xfId="2349"/>
    <cellStyle name="쉼표 [0] 2 60 5 2" xfId="2350"/>
    <cellStyle name="쉼표 [0] 2 60 5 3" xfId="2351"/>
    <cellStyle name="쉼표 [0] 2 60 6" xfId="2352"/>
    <cellStyle name="쉼표 [0] 2 60 6 2" xfId="2353"/>
    <cellStyle name="쉼표 [0] 2 60 6 3" xfId="2354"/>
    <cellStyle name="쉼표 [0] 2 60 7" xfId="2355"/>
    <cellStyle name="쉼표 [0] 2 60 7 2" xfId="2356"/>
    <cellStyle name="쉼표 [0] 2 60 7 3" xfId="2357"/>
    <cellStyle name="쉼표 [0] 2 60 8" xfId="2358"/>
    <cellStyle name="쉼표 [0] 2 60 8 2" xfId="2359"/>
    <cellStyle name="쉼표 [0] 2 60 8 3" xfId="2360"/>
    <cellStyle name="쉼표 [0] 2 60 9" xfId="2361"/>
    <cellStyle name="쉼표 [0] 2 60 9 2" xfId="2362"/>
    <cellStyle name="쉼표 [0] 2 60 9 3" xfId="2363"/>
    <cellStyle name="쉼표 [0] 2 61" xfId="2364"/>
    <cellStyle name="쉼표 [0] 2 61 10" xfId="2365"/>
    <cellStyle name="쉼표 [0] 2 61 10 2" xfId="2366"/>
    <cellStyle name="쉼표 [0] 2 61 10 3" xfId="2367"/>
    <cellStyle name="쉼표 [0] 2 61 11" xfId="2368"/>
    <cellStyle name="쉼표 [0] 2 61 11 2" xfId="2369"/>
    <cellStyle name="쉼표 [0] 2 61 11 3" xfId="2370"/>
    <cellStyle name="쉼표 [0] 2 61 12" xfId="2371"/>
    <cellStyle name="쉼표 [0] 2 61 12 2" xfId="2372"/>
    <cellStyle name="쉼표 [0] 2 61 12 3" xfId="2373"/>
    <cellStyle name="쉼표 [0] 2 61 13" xfId="2374"/>
    <cellStyle name="쉼표 [0] 2 61 13 2" xfId="2375"/>
    <cellStyle name="쉼표 [0] 2 61 13 3" xfId="2376"/>
    <cellStyle name="쉼표 [0] 2 61 14" xfId="2377"/>
    <cellStyle name="쉼표 [0] 2 61 15" xfId="2378"/>
    <cellStyle name="쉼표 [0] 2 61 16" xfId="4046"/>
    <cellStyle name="쉼표 [0] 2 61 17" xfId="4453"/>
    <cellStyle name="쉼표 [0] 2 61 2" xfId="2379"/>
    <cellStyle name="쉼표 [0] 2 61 2 2" xfId="2380"/>
    <cellStyle name="쉼표 [0] 2 61 2 3" xfId="2381"/>
    <cellStyle name="쉼표 [0] 2 61 3" xfId="2382"/>
    <cellStyle name="쉼표 [0] 2 61 3 2" xfId="2383"/>
    <cellStyle name="쉼표 [0] 2 61 3 3" xfId="2384"/>
    <cellStyle name="쉼표 [0] 2 61 4" xfId="2385"/>
    <cellStyle name="쉼표 [0] 2 61 4 2" xfId="2386"/>
    <cellStyle name="쉼표 [0] 2 61 4 3" xfId="2387"/>
    <cellStyle name="쉼표 [0] 2 61 5" xfId="2388"/>
    <cellStyle name="쉼표 [0] 2 61 5 2" xfId="2389"/>
    <cellStyle name="쉼표 [0] 2 61 5 3" xfId="2390"/>
    <cellStyle name="쉼표 [0] 2 61 6" xfId="2391"/>
    <cellStyle name="쉼표 [0] 2 61 6 2" xfId="2392"/>
    <cellStyle name="쉼표 [0] 2 61 6 3" xfId="2393"/>
    <cellStyle name="쉼표 [0] 2 61 7" xfId="2394"/>
    <cellStyle name="쉼표 [0] 2 61 7 2" xfId="2395"/>
    <cellStyle name="쉼표 [0] 2 61 7 3" xfId="2396"/>
    <cellStyle name="쉼표 [0] 2 61 8" xfId="2397"/>
    <cellStyle name="쉼표 [0] 2 61 8 2" xfId="2398"/>
    <cellStyle name="쉼표 [0] 2 61 8 3" xfId="2399"/>
    <cellStyle name="쉼표 [0] 2 61 9" xfId="2400"/>
    <cellStyle name="쉼표 [0] 2 61 9 2" xfId="2401"/>
    <cellStyle name="쉼표 [0] 2 61 9 3" xfId="2402"/>
    <cellStyle name="쉼표 [0] 2 62" xfId="2403"/>
    <cellStyle name="쉼표 [0] 2 62 10" xfId="2404"/>
    <cellStyle name="쉼표 [0] 2 62 10 2" xfId="2405"/>
    <cellStyle name="쉼표 [0] 2 62 10 3" xfId="2406"/>
    <cellStyle name="쉼표 [0] 2 62 11" xfId="2407"/>
    <cellStyle name="쉼표 [0] 2 62 11 2" xfId="2408"/>
    <cellStyle name="쉼표 [0] 2 62 11 3" xfId="2409"/>
    <cellStyle name="쉼표 [0] 2 62 12" xfId="2410"/>
    <cellStyle name="쉼표 [0] 2 62 12 2" xfId="2411"/>
    <cellStyle name="쉼표 [0] 2 62 12 3" xfId="2412"/>
    <cellStyle name="쉼표 [0] 2 62 13" xfId="2413"/>
    <cellStyle name="쉼표 [0] 2 62 13 2" xfId="2414"/>
    <cellStyle name="쉼표 [0] 2 62 13 3" xfId="2415"/>
    <cellStyle name="쉼표 [0] 2 62 14" xfId="2416"/>
    <cellStyle name="쉼표 [0] 2 62 15" xfId="2417"/>
    <cellStyle name="쉼표 [0] 2 62 16" xfId="4047"/>
    <cellStyle name="쉼표 [0] 2 62 17" xfId="4452"/>
    <cellStyle name="쉼표 [0] 2 62 2" xfId="2418"/>
    <cellStyle name="쉼표 [0] 2 62 2 2" xfId="2419"/>
    <cellStyle name="쉼표 [0] 2 62 2 3" xfId="2420"/>
    <cellStyle name="쉼표 [0] 2 62 3" xfId="2421"/>
    <cellStyle name="쉼표 [0] 2 62 3 2" xfId="2422"/>
    <cellStyle name="쉼표 [0] 2 62 3 3" xfId="2423"/>
    <cellStyle name="쉼표 [0] 2 62 4" xfId="2424"/>
    <cellStyle name="쉼표 [0] 2 62 4 2" xfId="2425"/>
    <cellStyle name="쉼표 [0] 2 62 4 3" xfId="2426"/>
    <cellStyle name="쉼표 [0] 2 62 5" xfId="2427"/>
    <cellStyle name="쉼표 [0] 2 62 5 2" xfId="2428"/>
    <cellStyle name="쉼표 [0] 2 62 5 3" xfId="2429"/>
    <cellStyle name="쉼표 [0] 2 62 6" xfId="2430"/>
    <cellStyle name="쉼표 [0] 2 62 6 2" xfId="2431"/>
    <cellStyle name="쉼표 [0] 2 62 6 3" xfId="2432"/>
    <cellStyle name="쉼표 [0] 2 62 7" xfId="2433"/>
    <cellStyle name="쉼표 [0] 2 62 7 2" xfId="2434"/>
    <cellStyle name="쉼표 [0] 2 62 7 3" xfId="2435"/>
    <cellStyle name="쉼표 [0] 2 62 8" xfId="2436"/>
    <cellStyle name="쉼표 [0] 2 62 8 2" xfId="2437"/>
    <cellStyle name="쉼표 [0] 2 62 8 3" xfId="2438"/>
    <cellStyle name="쉼표 [0] 2 62 9" xfId="2439"/>
    <cellStyle name="쉼표 [0] 2 62 9 2" xfId="2440"/>
    <cellStyle name="쉼표 [0] 2 62 9 3" xfId="2441"/>
    <cellStyle name="쉼표 [0] 2 63" xfId="2442"/>
    <cellStyle name="쉼표 [0] 2 63 10" xfId="2443"/>
    <cellStyle name="쉼표 [0] 2 63 10 2" xfId="2444"/>
    <cellStyle name="쉼표 [0] 2 63 10 3" xfId="2445"/>
    <cellStyle name="쉼표 [0] 2 63 11" xfId="2446"/>
    <cellStyle name="쉼표 [0] 2 63 11 2" xfId="2447"/>
    <cellStyle name="쉼표 [0] 2 63 11 3" xfId="2448"/>
    <cellStyle name="쉼표 [0] 2 63 12" xfId="2449"/>
    <cellStyle name="쉼표 [0] 2 63 12 2" xfId="2450"/>
    <cellStyle name="쉼표 [0] 2 63 12 3" xfId="2451"/>
    <cellStyle name="쉼표 [0] 2 63 13" xfId="2452"/>
    <cellStyle name="쉼표 [0] 2 63 13 2" xfId="2453"/>
    <cellStyle name="쉼표 [0] 2 63 13 3" xfId="2454"/>
    <cellStyle name="쉼표 [0] 2 63 14" xfId="2455"/>
    <cellStyle name="쉼표 [0] 2 63 15" xfId="2456"/>
    <cellStyle name="쉼표 [0] 2 63 16" xfId="4048"/>
    <cellStyle name="쉼표 [0] 2 63 17" xfId="4451"/>
    <cellStyle name="쉼표 [0] 2 63 2" xfId="2457"/>
    <cellStyle name="쉼표 [0] 2 63 2 2" xfId="2458"/>
    <cellStyle name="쉼표 [0] 2 63 2 3" xfId="2459"/>
    <cellStyle name="쉼표 [0] 2 63 3" xfId="2460"/>
    <cellStyle name="쉼표 [0] 2 63 3 2" xfId="2461"/>
    <cellStyle name="쉼표 [0] 2 63 3 3" xfId="2462"/>
    <cellStyle name="쉼표 [0] 2 63 4" xfId="2463"/>
    <cellStyle name="쉼표 [0] 2 63 4 2" xfId="2464"/>
    <cellStyle name="쉼표 [0] 2 63 4 3" xfId="2465"/>
    <cellStyle name="쉼표 [0] 2 63 5" xfId="2466"/>
    <cellStyle name="쉼표 [0] 2 63 5 2" xfId="2467"/>
    <cellStyle name="쉼표 [0] 2 63 5 3" xfId="2468"/>
    <cellStyle name="쉼표 [0] 2 63 6" xfId="2469"/>
    <cellStyle name="쉼표 [0] 2 63 6 2" xfId="2470"/>
    <cellStyle name="쉼표 [0] 2 63 6 3" xfId="2471"/>
    <cellStyle name="쉼표 [0] 2 63 7" xfId="2472"/>
    <cellStyle name="쉼표 [0] 2 63 7 2" xfId="2473"/>
    <cellStyle name="쉼표 [0] 2 63 7 3" xfId="2474"/>
    <cellStyle name="쉼표 [0] 2 63 8" xfId="2475"/>
    <cellStyle name="쉼표 [0] 2 63 8 2" xfId="2476"/>
    <cellStyle name="쉼표 [0] 2 63 8 3" xfId="2477"/>
    <cellStyle name="쉼표 [0] 2 63 9" xfId="2478"/>
    <cellStyle name="쉼표 [0] 2 63 9 2" xfId="2479"/>
    <cellStyle name="쉼표 [0] 2 63 9 3" xfId="2480"/>
    <cellStyle name="쉼표 [0] 2 64" xfId="2481"/>
    <cellStyle name="쉼표 [0] 2 64 10" xfId="2482"/>
    <cellStyle name="쉼표 [0] 2 64 10 2" xfId="2483"/>
    <cellStyle name="쉼표 [0] 2 64 10 3" xfId="2484"/>
    <cellStyle name="쉼표 [0] 2 64 11" xfId="2485"/>
    <cellStyle name="쉼표 [0] 2 64 11 2" xfId="2486"/>
    <cellStyle name="쉼표 [0] 2 64 11 3" xfId="2487"/>
    <cellStyle name="쉼표 [0] 2 64 12" xfId="2488"/>
    <cellStyle name="쉼표 [0] 2 64 12 2" xfId="2489"/>
    <cellStyle name="쉼표 [0] 2 64 12 3" xfId="2490"/>
    <cellStyle name="쉼표 [0] 2 64 13" xfId="2491"/>
    <cellStyle name="쉼표 [0] 2 64 13 2" xfId="2492"/>
    <cellStyle name="쉼표 [0] 2 64 13 3" xfId="2493"/>
    <cellStyle name="쉼표 [0] 2 64 14" xfId="2494"/>
    <cellStyle name="쉼표 [0] 2 64 15" xfId="2495"/>
    <cellStyle name="쉼표 [0] 2 64 16" xfId="4049"/>
    <cellStyle name="쉼표 [0] 2 64 17" xfId="4450"/>
    <cellStyle name="쉼표 [0] 2 64 2" xfId="2496"/>
    <cellStyle name="쉼표 [0] 2 64 2 2" xfId="2497"/>
    <cellStyle name="쉼표 [0] 2 64 2 3" xfId="2498"/>
    <cellStyle name="쉼표 [0] 2 64 3" xfId="2499"/>
    <cellStyle name="쉼표 [0] 2 64 3 2" xfId="2500"/>
    <cellStyle name="쉼표 [0] 2 64 3 3" xfId="2501"/>
    <cellStyle name="쉼표 [0] 2 64 4" xfId="2502"/>
    <cellStyle name="쉼표 [0] 2 64 4 2" xfId="2503"/>
    <cellStyle name="쉼표 [0] 2 64 4 3" xfId="2504"/>
    <cellStyle name="쉼표 [0] 2 64 5" xfId="2505"/>
    <cellStyle name="쉼표 [0] 2 64 5 2" xfId="2506"/>
    <cellStyle name="쉼표 [0] 2 64 5 3" xfId="2507"/>
    <cellStyle name="쉼표 [0] 2 64 6" xfId="2508"/>
    <cellStyle name="쉼표 [0] 2 64 6 2" xfId="2509"/>
    <cellStyle name="쉼표 [0] 2 64 6 3" xfId="2510"/>
    <cellStyle name="쉼표 [0] 2 64 7" xfId="2511"/>
    <cellStyle name="쉼표 [0] 2 64 7 2" xfId="2512"/>
    <cellStyle name="쉼표 [0] 2 64 7 3" xfId="2513"/>
    <cellStyle name="쉼표 [0] 2 64 8" xfId="2514"/>
    <cellStyle name="쉼표 [0] 2 64 8 2" xfId="2515"/>
    <cellStyle name="쉼표 [0] 2 64 8 3" xfId="2516"/>
    <cellStyle name="쉼표 [0] 2 64 9" xfId="2517"/>
    <cellStyle name="쉼표 [0] 2 64 9 2" xfId="2518"/>
    <cellStyle name="쉼표 [0] 2 64 9 3" xfId="2519"/>
    <cellStyle name="쉼표 [0] 2 65" xfId="2520"/>
    <cellStyle name="쉼표 [0] 2 65 10" xfId="2521"/>
    <cellStyle name="쉼표 [0] 2 65 10 2" xfId="2522"/>
    <cellStyle name="쉼표 [0] 2 65 10 3" xfId="2523"/>
    <cellStyle name="쉼표 [0] 2 65 11" xfId="2524"/>
    <cellStyle name="쉼표 [0] 2 65 11 2" xfId="2525"/>
    <cellStyle name="쉼표 [0] 2 65 11 3" xfId="2526"/>
    <cellStyle name="쉼표 [0] 2 65 12" xfId="2527"/>
    <cellStyle name="쉼표 [0] 2 65 12 2" xfId="2528"/>
    <cellStyle name="쉼표 [0] 2 65 12 3" xfId="2529"/>
    <cellStyle name="쉼표 [0] 2 65 13" xfId="2530"/>
    <cellStyle name="쉼표 [0] 2 65 13 2" xfId="2531"/>
    <cellStyle name="쉼표 [0] 2 65 13 3" xfId="2532"/>
    <cellStyle name="쉼표 [0] 2 65 14" xfId="2533"/>
    <cellStyle name="쉼표 [0] 2 65 15" xfId="2534"/>
    <cellStyle name="쉼표 [0] 2 65 16" xfId="4050"/>
    <cellStyle name="쉼표 [0] 2 65 17" xfId="4449"/>
    <cellStyle name="쉼표 [0] 2 65 2" xfId="2535"/>
    <cellStyle name="쉼표 [0] 2 65 2 2" xfId="2536"/>
    <cellStyle name="쉼표 [0] 2 65 2 3" xfId="2537"/>
    <cellStyle name="쉼표 [0] 2 65 3" xfId="2538"/>
    <cellStyle name="쉼표 [0] 2 65 3 2" xfId="2539"/>
    <cellStyle name="쉼표 [0] 2 65 3 3" xfId="2540"/>
    <cellStyle name="쉼표 [0] 2 65 4" xfId="2541"/>
    <cellStyle name="쉼표 [0] 2 65 4 2" xfId="2542"/>
    <cellStyle name="쉼표 [0] 2 65 4 3" xfId="2543"/>
    <cellStyle name="쉼표 [0] 2 65 5" xfId="2544"/>
    <cellStyle name="쉼표 [0] 2 65 5 2" xfId="2545"/>
    <cellStyle name="쉼표 [0] 2 65 5 3" xfId="2546"/>
    <cellStyle name="쉼표 [0] 2 65 6" xfId="2547"/>
    <cellStyle name="쉼표 [0] 2 65 6 2" xfId="2548"/>
    <cellStyle name="쉼표 [0] 2 65 6 3" xfId="2549"/>
    <cellStyle name="쉼표 [0] 2 65 7" xfId="2550"/>
    <cellStyle name="쉼표 [0] 2 65 7 2" xfId="2551"/>
    <cellStyle name="쉼표 [0] 2 65 7 3" xfId="2552"/>
    <cellStyle name="쉼표 [0] 2 65 8" xfId="2553"/>
    <cellStyle name="쉼표 [0] 2 65 8 2" xfId="2554"/>
    <cellStyle name="쉼표 [0] 2 65 8 3" xfId="2555"/>
    <cellStyle name="쉼표 [0] 2 65 9" xfId="2556"/>
    <cellStyle name="쉼표 [0] 2 65 9 2" xfId="2557"/>
    <cellStyle name="쉼표 [0] 2 65 9 3" xfId="2558"/>
    <cellStyle name="쉼표 [0] 2 66" xfId="2559"/>
    <cellStyle name="쉼표 [0] 2 66 10" xfId="2560"/>
    <cellStyle name="쉼표 [0] 2 66 10 2" xfId="2561"/>
    <cellStyle name="쉼표 [0] 2 66 10 3" xfId="2562"/>
    <cellStyle name="쉼표 [0] 2 66 11" xfId="2563"/>
    <cellStyle name="쉼표 [0] 2 66 11 2" xfId="2564"/>
    <cellStyle name="쉼표 [0] 2 66 11 3" xfId="2565"/>
    <cellStyle name="쉼표 [0] 2 66 12" xfId="2566"/>
    <cellStyle name="쉼표 [0] 2 66 12 2" xfId="2567"/>
    <cellStyle name="쉼표 [0] 2 66 12 3" xfId="2568"/>
    <cellStyle name="쉼표 [0] 2 66 13" xfId="2569"/>
    <cellStyle name="쉼표 [0] 2 66 13 2" xfId="2570"/>
    <cellStyle name="쉼표 [0] 2 66 13 3" xfId="2571"/>
    <cellStyle name="쉼표 [0] 2 66 14" xfId="2572"/>
    <cellStyle name="쉼표 [0] 2 66 15" xfId="2573"/>
    <cellStyle name="쉼표 [0] 2 66 16" xfId="4051"/>
    <cellStyle name="쉼표 [0] 2 66 17" xfId="4448"/>
    <cellStyle name="쉼표 [0] 2 66 2" xfId="2574"/>
    <cellStyle name="쉼표 [0] 2 66 2 2" xfId="2575"/>
    <cellStyle name="쉼표 [0] 2 66 2 3" xfId="2576"/>
    <cellStyle name="쉼표 [0] 2 66 3" xfId="2577"/>
    <cellStyle name="쉼표 [0] 2 66 3 2" xfId="2578"/>
    <cellStyle name="쉼표 [0] 2 66 3 3" xfId="2579"/>
    <cellStyle name="쉼표 [0] 2 66 4" xfId="2580"/>
    <cellStyle name="쉼표 [0] 2 66 4 2" xfId="2581"/>
    <cellStyle name="쉼표 [0] 2 66 4 3" xfId="2582"/>
    <cellStyle name="쉼표 [0] 2 66 5" xfId="2583"/>
    <cellStyle name="쉼표 [0] 2 66 5 2" xfId="2584"/>
    <cellStyle name="쉼표 [0] 2 66 5 3" xfId="2585"/>
    <cellStyle name="쉼표 [0] 2 66 6" xfId="2586"/>
    <cellStyle name="쉼표 [0] 2 66 6 2" xfId="2587"/>
    <cellStyle name="쉼표 [0] 2 66 6 3" xfId="2588"/>
    <cellStyle name="쉼표 [0] 2 66 7" xfId="2589"/>
    <cellStyle name="쉼표 [0] 2 66 7 2" xfId="2590"/>
    <cellStyle name="쉼표 [0] 2 66 7 3" xfId="2591"/>
    <cellStyle name="쉼표 [0] 2 66 8" xfId="2592"/>
    <cellStyle name="쉼표 [0] 2 66 8 2" xfId="2593"/>
    <cellStyle name="쉼표 [0] 2 66 8 3" xfId="2594"/>
    <cellStyle name="쉼표 [0] 2 66 9" xfId="2595"/>
    <cellStyle name="쉼표 [0] 2 66 9 2" xfId="2596"/>
    <cellStyle name="쉼표 [0] 2 66 9 3" xfId="2597"/>
    <cellStyle name="쉼표 [0] 2 67" xfId="2598"/>
    <cellStyle name="쉼표 [0] 2 67 10" xfId="2599"/>
    <cellStyle name="쉼표 [0] 2 67 10 2" xfId="2600"/>
    <cellStyle name="쉼표 [0] 2 67 10 3" xfId="2601"/>
    <cellStyle name="쉼표 [0] 2 67 11" xfId="2602"/>
    <cellStyle name="쉼표 [0] 2 67 11 2" xfId="2603"/>
    <cellStyle name="쉼표 [0] 2 67 11 3" xfId="2604"/>
    <cellStyle name="쉼표 [0] 2 67 12" xfId="2605"/>
    <cellStyle name="쉼표 [0] 2 67 12 2" xfId="2606"/>
    <cellStyle name="쉼표 [0] 2 67 12 3" xfId="2607"/>
    <cellStyle name="쉼표 [0] 2 67 13" xfId="2608"/>
    <cellStyle name="쉼표 [0] 2 67 13 2" xfId="2609"/>
    <cellStyle name="쉼표 [0] 2 67 13 3" xfId="2610"/>
    <cellStyle name="쉼표 [0] 2 67 14" xfId="2611"/>
    <cellStyle name="쉼표 [0] 2 67 15" xfId="2612"/>
    <cellStyle name="쉼표 [0] 2 67 16" xfId="4052"/>
    <cellStyle name="쉼표 [0] 2 67 17" xfId="4447"/>
    <cellStyle name="쉼표 [0] 2 67 2" xfId="2613"/>
    <cellStyle name="쉼표 [0] 2 67 2 2" xfId="2614"/>
    <cellStyle name="쉼표 [0] 2 67 2 3" xfId="2615"/>
    <cellStyle name="쉼표 [0] 2 67 3" xfId="2616"/>
    <cellStyle name="쉼표 [0] 2 67 3 2" xfId="2617"/>
    <cellStyle name="쉼표 [0] 2 67 3 3" xfId="2618"/>
    <cellStyle name="쉼표 [0] 2 67 4" xfId="2619"/>
    <cellStyle name="쉼표 [0] 2 67 4 2" xfId="2620"/>
    <cellStyle name="쉼표 [0] 2 67 4 3" xfId="2621"/>
    <cellStyle name="쉼표 [0] 2 67 5" xfId="2622"/>
    <cellStyle name="쉼표 [0] 2 67 5 2" xfId="2623"/>
    <cellStyle name="쉼표 [0] 2 67 5 3" xfId="2624"/>
    <cellStyle name="쉼표 [0] 2 67 6" xfId="2625"/>
    <cellStyle name="쉼표 [0] 2 67 6 2" xfId="2626"/>
    <cellStyle name="쉼표 [0] 2 67 6 3" xfId="2627"/>
    <cellStyle name="쉼표 [0] 2 67 7" xfId="2628"/>
    <cellStyle name="쉼표 [0] 2 67 7 2" xfId="2629"/>
    <cellStyle name="쉼표 [0] 2 67 7 3" xfId="2630"/>
    <cellStyle name="쉼표 [0] 2 67 8" xfId="2631"/>
    <cellStyle name="쉼표 [0] 2 67 8 2" xfId="2632"/>
    <cellStyle name="쉼표 [0] 2 67 8 3" xfId="2633"/>
    <cellStyle name="쉼표 [0] 2 67 9" xfId="2634"/>
    <cellStyle name="쉼표 [0] 2 67 9 2" xfId="2635"/>
    <cellStyle name="쉼표 [0] 2 67 9 3" xfId="2636"/>
    <cellStyle name="쉼표 [0] 2 68" xfId="2637"/>
    <cellStyle name="쉼표 [0] 2 68 10" xfId="2638"/>
    <cellStyle name="쉼표 [0] 2 68 10 2" xfId="2639"/>
    <cellStyle name="쉼표 [0] 2 68 10 3" xfId="2640"/>
    <cellStyle name="쉼표 [0] 2 68 11" xfId="2641"/>
    <cellStyle name="쉼표 [0] 2 68 11 2" xfId="2642"/>
    <cellStyle name="쉼표 [0] 2 68 11 3" xfId="2643"/>
    <cellStyle name="쉼표 [0] 2 68 12" xfId="2644"/>
    <cellStyle name="쉼표 [0] 2 68 12 2" xfId="2645"/>
    <cellStyle name="쉼표 [0] 2 68 12 3" xfId="2646"/>
    <cellStyle name="쉼표 [0] 2 68 13" xfId="2647"/>
    <cellStyle name="쉼표 [0] 2 68 13 2" xfId="2648"/>
    <cellStyle name="쉼표 [0] 2 68 13 3" xfId="2649"/>
    <cellStyle name="쉼표 [0] 2 68 14" xfId="2650"/>
    <cellStyle name="쉼표 [0] 2 68 15" xfId="2651"/>
    <cellStyle name="쉼표 [0] 2 68 16" xfId="4053"/>
    <cellStyle name="쉼표 [0] 2 68 17" xfId="4446"/>
    <cellStyle name="쉼표 [0] 2 68 2" xfId="2652"/>
    <cellStyle name="쉼표 [0] 2 68 2 2" xfId="2653"/>
    <cellStyle name="쉼표 [0] 2 68 2 3" xfId="2654"/>
    <cellStyle name="쉼표 [0] 2 68 3" xfId="2655"/>
    <cellStyle name="쉼표 [0] 2 68 3 2" xfId="2656"/>
    <cellStyle name="쉼표 [0] 2 68 3 3" xfId="2657"/>
    <cellStyle name="쉼표 [0] 2 68 4" xfId="2658"/>
    <cellStyle name="쉼표 [0] 2 68 4 2" xfId="2659"/>
    <cellStyle name="쉼표 [0] 2 68 4 3" xfId="2660"/>
    <cellStyle name="쉼표 [0] 2 68 5" xfId="2661"/>
    <cellStyle name="쉼표 [0] 2 68 5 2" xfId="2662"/>
    <cellStyle name="쉼표 [0] 2 68 5 3" xfId="2663"/>
    <cellStyle name="쉼표 [0] 2 68 6" xfId="2664"/>
    <cellStyle name="쉼표 [0] 2 68 6 2" xfId="2665"/>
    <cellStyle name="쉼표 [0] 2 68 6 3" xfId="2666"/>
    <cellStyle name="쉼표 [0] 2 68 7" xfId="2667"/>
    <cellStyle name="쉼표 [0] 2 68 7 2" xfId="2668"/>
    <cellStyle name="쉼표 [0] 2 68 7 3" xfId="2669"/>
    <cellStyle name="쉼표 [0] 2 68 8" xfId="2670"/>
    <cellStyle name="쉼표 [0] 2 68 8 2" xfId="2671"/>
    <cellStyle name="쉼표 [0] 2 68 8 3" xfId="2672"/>
    <cellStyle name="쉼표 [0] 2 68 9" xfId="2673"/>
    <cellStyle name="쉼표 [0] 2 68 9 2" xfId="2674"/>
    <cellStyle name="쉼표 [0] 2 68 9 3" xfId="2675"/>
    <cellStyle name="쉼표 [0] 2 69" xfId="2676"/>
    <cellStyle name="쉼표 [0] 2 69 10" xfId="2677"/>
    <cellStyle name="쉼표 [0] 2 69 10 2" xfId="2678"/>
    <cellStyle name="쉼표 [0] 2 69 10 3" xfId="2679"/>
    <cellStyle name="쉼표 [0] 2 69 11" xfId="2680"/>
    <cellStyle name="쉼표 [0] 2 69 11 2" xfId="2681"/>
    <cellStyle name="쉼표 [0] 2 69 11 3" xfId="2682"/>
    <cellStyle name="쉼표 [0] 2 69 12" xfId="2683"/>
    <cellStyle name="쉼표 [0] 2 69 12 2" xfId="2684"/>
    <cellStyle name="쉼표 [0] 2 69 12 3" xfId="2685"/>
    <cellStyle name="쉼표 [0] 2 69 13" xfId="2686"/>
    <cellStyle name="쉼표 [0] 2 69 13 2" xfId="2687"/>
    <cellStyle name="쉼표 [0] 2 69 13 3" xfId="2688"/>
    <cellStyle name="쉼표 [0] 2 69 14" xfId="2689"/>
    <cellStyle name="쉼표 [0] 2 69 15" xfId="2690"/>
    <cellStyle name="쉼표 [0] 2 69 16" xfId="4054"/>
    <cellStyle name="쉼표 [0] 2 69 17" xfId="4445"/>
    <cellStyle name="쉼표 [0] 2 69 2" xfId="2691"/>
    <cellStyle name="쉼표 [0] 2 69 2 2" xfId="2692"/>
    <cellStyle name="쉼표 [0] 2 69 2 3" xfId="2693"/>
    <cellStyle name="쉼표 [0] 2 69 3" xfId="2694"/>
    <cellStyle name="쉼표 [0] 2 69 3 2" xfId="2695"/>
    <cellStyle name="쉼표 [0] 2 69 3 3" xfId="2696"/>
    <cellStyle name="쉼표 [0] 2 69 4" xfId="2697"/>
    <cellStyle name="쉼표 [0] 2 69 4 2" xfId="2698"/>
    <cellStyle name="쉼표 [0] 2 69 4 3" xfId="2699"/>
    <cellStyle name="쉼표 [0] 2 69 5" xfId="2700"/>
    <cellStyle name="쉼표 [0] 2 69 5 2" xfId="2701"/>
    <cellStyle name="쉼표 [0] 2 69 5 3" xfId="2702"/>
    <cellStyle name="쉼표 [0] 2 69 6" xfId="2703"/>
    <cellStyle name="쉼표 [0] 2 69 6 2" xfId="2704"/>
    <cellStyle name="쉼표 [0] 2 69 6 3" xfId="2705"/>
    <cellStyle name="쉼표 [0] 2 69 7" xfId="2706"/>
    <cellStyle name="쉼표 [0] 2 69 7 2" xfId="2707"/>
    <cellStyle name="쉼표 [0] 2 69 7 3" xfId="2708"/>
    <cellStyle name="쉼표 [0] 2 69 8" xfId="2709"/>
    <cellStyle name="쉼표 [0] 2 69 8 2" xfId="2710"/>
    <cellStyle name="쉼표 [0] 2 69 8 3" xfId="2711"/>
    <cellStyle name="쉼표 [0] 2 69 9" xfId="2712"/>
    <cellStyle name="쉼표 [0] 2 69 9 2" xfId="2713"/>
    <cellStyle name="쉼표 [0] 2 69 9 3" xfId="2714"/>
    <cellStyle name="쉼표 [0] 2 7" xfId="2715"/>
    <cellStyle name="쉼표 [0] 2 7 10" xfId="2716"/>
    <cellStyle name="쉼표 [0] 2 7 10 2" xfId="2717"/>
    <cellStyle name="쉼표 [0] 2 7 10 3" xfId="2718"/>
    <cellStyle name="쉼표 [0] 2 7 11" xfId="2719"/>
    <cellStyle name="쉼표 [0] 2 7 11 2" xfId="2720"/>
    <cellStyle name="쉼표 [0] 2 7 11 3" xfId="2721"/>
    <cellStyle name="쉼표 [0] 2 7 12" xfId="2722"/>
    <cellStyle name="쉼표 [0] 2 7 12 2" xfId="2723"/>
    <cellStyle name="쉼표 [0] 2 7 12 3" xfId="2724"/>
    <cellStyle name="쉼표 [0] 2 7 13" xfId="2725"/>
    <cellStyle name="쉼표 [0] 2 7 13 2" xfId="2726"/>
    <cellStyle name="쉼표 [0] 2 7 13 3" xfId="2727"/>
    <cellStyle name="쉼표 [0] 2 7 14" xfId="2728"/>
    <cellStyle name="쉼표 [0] 2 7 15" xfId="2729"/>
    <cellStyle name="쉼표 [0] 2 7 16" xfId="4055"/>
    <cellStyle name="쉼표 [0] 2 7 17" xfId="4444"/>
    <cellStyle name="쉼표 [0] 2 7 2" xfId="2730"/>
    <cellStyle name="쉼표 [0] 2 7 2 2" xfId="2731"/>
    <cellStyle name="쉼표 [0] 2 7 2 3" xfId="2732"/>
    <cellStyle name="쉼표 [0] 2 7 3" xfId="2733"/>
    <cellStyle name="쉼표 [0] 2 7 3 2" xfId="2734"/>
    <cellStyle name="쉼표 [0] 2 7 3 3" xfId="2735"/>
    <cellStyle name="쉼표 [0] 2 7 4" xfId="2736"/>
    <cellStyle name="쉼표 [0] 2 7 4 2" xfId="2737"/>
    <cellStyle name="쉼표 [0] 2 7 4 3" xfId="2738"/>
    <cellStyle name="쉼표 [0] 2 7 5" xfId="2739"/>
    <cellStyle name="쉼표 [0] 2 7 5 2" xfId="2740"/>
    <cellStyle name="쉼표 [0] 2 7 5 3" xfId="2741"/>
    <cellStyle name="쉼표 [0] 2 7 6" xfId="2742"/>
    <cellStyle name="쉼표 [0] 2 7 6 2" xfId="2743"/>
    <cellStyle name="쉼표 [0] 2 7 6 3" xfId="2744"/>
    <cellStyle name="쉼표 [0] 2 7 7" xfId="2745"/>
    <cellStyle name="쉼표 [0] 2 7 7 2" xfId="2746"/>
    <cellStyle name="쉼표 [0] 2 7 7 3" xfId="2747"/>
    <cellStyle name="쉼표 [0] 2 7 8" xfId="2748"/>
    <cellStyle name="쉼표 [0] 2 7 8 2" xfId="2749"/>
    <cellStyle name="쉼표 [0] 2 7 8 3" xfId="2750"/>
    <cellStyle name="쉼표 [0] 2 7 9" xfId="2751"/>
    <cellStyle name="쉼표 [0] 2 7 9 2" xfId="2752"/>
    <cellStyle name="쉼표 [0] 2 7 9 3" xfId="2753"/>
    <cellStyle name="쉼표 [0] 2 70" xfId="2754"/>
    <cellStyle name="쉼표 [0] 2 70 10" xfId="2755"/>
    <cellStyle name="쉼표 [0] 2 70 10 2" xfId="2756"/>
    <cellStyle name="쉼표 [0] 2 70 10 3" xfId="2757"/>
    <cellStyle name="쉼표 [0] 2 70 11" xfId="2758"/>
    <cellStyle name="쉼표 [0] 2 70 11 2" xfId="2759"/>
    <cellStyle name="쉼표 [0] 2 70 11 3" xfId="2760"/>
    <cellStyle name="쉼표 [0] 2 70 12" xfId="2761"/>
    <cellStyle name="쉼표 [0] 2 70 12 2" xfId="2762"/>
    <cellStyle name="쉼표 [0] 2 70 12 3" xfId="2763"/>
    <cellStyle name="쉼표 [0] 2 70 13" xfId="2764"/>
    <cellStyle name="쉼표 [0] 2 70 13 2" xfId="2765"/>
    <cellStyle name="쉼표 [0] 2 70 13 3" xfId="2766"/>
    <cellStyle name="쉼표 [0] 2 70 14" xfId="2767"/>
    <cellStyle name="쉼표 [0] 2 70 15" xfId="2768"/>
    <cellStyle name="쉼표 [0] 2 70 16" xfId="4056"/>
    <cellStyle name="쉼표 [0] 2 70 17" xfId="4443"/>
    <cellStyle name="쉼표 [0] 2 70 2" xfId="2769"/>
    <cellStyle name="쉼표 [0] 2 70 2 2" xfId="2770"/>
    <cellStyle name="쉼표 [0] 2 70 2 3" xfId="2771"/>
    <cellStyle name="쉼표 [0] 2 70 3" xfId="2772"/>
    <cellStyle name="쉼표 [0] 2 70 3 2" xfId="2773"/>
    <cellStyle name="쉼표 [0] 2 70 3 3" xfId="2774"/>
    <cellStyle name="쉼표 [0] 2 70 4" xfId="2775"/>
    <cellStyle name="쉼표 [0] 2 70 4 2" xfId="2776"/>
    <cellStyle name="쉼표 [0] 2 70 4 3" xfId="2777"/>
    <cellStyle name="쉼표 [0] 2 70 5" xfId="2778"/>
    <cellStyle name="쉼표 [0] 2 70 5 2" xfId="2779"/>
    <cellStyle name="쉼표 [0] 2 70 5 3" xfId="2780"/>
    <cellStyle name="쉼표 [0] 2 70 6" xfId="2781"/>
    <cellStyle name="쉼표 [0] 2 70 6 2" xfId="2782"/>
    <cellStyle name="쉼표 [0] 2 70 6 3" xfId="2783"/>
    <cellStyle name="쉼표 [0] 2 70 7" xfId="2784"/>
    <cellStyle name="쉼표 [0] 2 70 7 2" xfId="2785"/>
    <cellStyle name="쉼표 [0] 2 70 7 3" xfId="2786"/>
    <cellStyle name="쉼표 [0] 2 70 8" xfId="2787"/>
    <cellStyle name="쉼표 [0] 2 70 8 2" xfId="2788"/>
    <cellStyle name="쉼표 [0] 2 70 8 3" xfId="2789"/>
    <cellStyle name="쉼표 [0] 2 70 9" xfId="2790"/>
    <cellStyle name="쉼표 [0] 2 70 9 2" xfId="2791"/>
    <cellStyle name="쉼표 [0] 2 70 9 3" xfId="2792"/>
    <cellStyle name="쉼표 [0] 2 71" xfId="2793"/>
    <cellStyle name="쉼표 [0] 2 71 10" xfId="2794"/>
    <cellStyle name="쉼표 [0] 2 71 10 2" xfId="2795"/>
    <cellStyle name="쉼표 [0] 2 71 10 3" xfId="2796"/>
    <cellStyle name="쉼표 [0] 2 71 11" xfId="2797"/>
    <cellStyle name="쉼표 [0] 2 71 11 2" xfId="2798"/>
    <cellStyle name="쉼표 [0] 2 71 11 3" xfId="2799"/>
    <cellStyle name="쉼표 [0] 2 71 12" xfId="2800"/>
    <cellStyle name="쉼표 [0] 2 71 12 2" xfId="2801"/>
    <cellStyle name="쉼표 [0] 2 71 12 3" xfId="2802"/>
    <cellStyle name="쉼표 [0] 2 71 13" xfId="2803"/>
    <cellStyle name="쉼표 [0] 2 71 13 2" xfId="2804"/>
    <cellStyle name="쉼표 [0] 2 71 13 3" xfId="2805"/>
    <cellStyle name="쉼표 [0] 2 71 14" xfId="2806"/>
    <cellStyle name="쉼표 [0] 2 71 15" xfId="2807"/>
    <cellStyle name="쉼표 [0] 2 71 16" xfId="4057"/>
    <cellStyle name="쉼표 [0] 2 71 17" xfId="4442"/>
    <cellStyle name="쉼표 [0] 2 71 2" xfId="2808"/>
    <cellStyle name="쉼표 [0] 2 71 2 2" xfId="2809"/>
    <cellStyle name="쉼표 [0] 2 71 2 3" xfId="2810"/>
    <cellStyle name="쉼표 [0] 2 71 3" xfId="2811"/>
    <cellStyle name="쉼표 [0] 2 71 3 2" xfId="2812"/>
    <cellStyle name="쉼표 [0] 2 71 3 3" xfId="2813"/>
    <cellStyle name="쉼표 [0] 2 71 4" xfId="2814"/>
    <cellStyle name="쉼표 [0] 2 71 4 2" xfId="2815"/>
    <cellStyle name="쉼표 [0] 2 71 4 3" xfId="2816"/>
    <cellStyle name="쉼표 [0] 2 71 5" xfId="2817"/>
    <cellStyle name="쉼표 [0] 2 71 5 2" xfId="2818"/>
    <cellStyle name="쉼표 [0] 2 71 5 3" xfId="2819"/>
    <cellStyle name="쉼표 [0] 2 71 6" xfId="2820"/>
    <cellStyle name="쉼표 [0] 2 71 6 2" xfId="2821"/>
    <cellStyle name="쉼표 [0] 2 71 6 3" xfId="2822"/>
    <cellStyle name="쉼표 [0] 2 71 7" xfId="2823"/>
    <cellStyle name="쉼표 [0] 2 71 7 2" xfId="2824"/>
    <cellStyle name="쉼표 [0] 2 71 7 3" xfId="2825"/>
    <cellStyle name="쉼표 [0] 2 71 8" xfId="2826"/>
    <cellStyle name="쉼표 [0] 2 71 8 2" xfId="2827"/>
    <cellStyle name="쉼표 [0] 2 71 8 3" xfId="2828"/>
    <cellStyle name="쉼표 [0] 2 71 9" xfId="2829"/>
    <cellStyle name="쉼표 [0] 2 71 9 2" xfId="2830"/>
    <cellStyle name="쉼표 [0] 2 71 9 3" xfId="2831"/>
    <cellStyle name="쉼표 [0] 2 72" xfId="2832"/>
    <cellStyle name="쉼표 [0] 2 72 10" xfId="2833"/>
    <cellStyle name="쉼표 [0] 2 72 10 2" xfId="2834"/>
    <cellStyle name="쉼표 [0] 2 72 10 3" xfId="2835"/>
    <cellStyle name="쉼표 [0] 2 72 11" xfId="2836"/>
    <cellStyle name="쉼표 [0] 2 72 11 2" xfId="2837"/>
    <cellStyle name="쉼표 [0] 2 72 11 3" xfId="2838"/>
    <cellStyle name="쉼표 [0] 2 72 12" xfId="2839"/>
    <cellStyle name="쉼표 [0] 2 72 12 2" xfId="2840"/>
    <cellStyle name="쉼표 [0] 2 72 12 3" xfId="2841"/>
    <cellStyle name="쉼표 [0] 2 72 13" xfId="2842"/>
    <cellStyle name="쉼표 [0] 2 72 13 2" xfId="2843"/>
    <cellStyle name="쉼표 [0] 2 72 13 3" xfId="2844"/>
    <cellStyle name="쉼표 [0] 2 72 14" xfId="2845"/>
    <cellStyle name="쉼표 [0] 2 72 15" xfId="2846"/>
    <cellStyle name="쉼표 [0] 2 72 16" xfId="4058"/>
    <cellStyle name="쉼표 [0] 2 72 2" xfId="2847"/>
    <cellStyle name="쉼표 [0] 2 72 2 2" xfId="2848"/>
    <cellStyle name="쉼표 [0] 2 72 2 3" xfId="2849"/>
    <cellStyle name="쉼표 [0] 2 72 3" xfId="2850"/>
    <cellStyle name="쉼표 [0] 2 72 3 2" xfId="2851"/>
    <cellStyle name="쉼표 [0] 2 72 3 3" xfId="2852"/>
    <cellStyle name="쉼표 [0] 2 72 4" xfId="2853"/>
    <cellStyle name="쉼표 [0] 2 72 4 2" xfId="2854"/>
    <cellStyle name="쉼표 [0] 2 72 4 3" xfId="2855"/>
    <cellStyle name="쉼표 [0] 2 72 5" xfId="2856"/>
    <cellStyle name="쉼표 [0] 2 72 5 2" xfId="2857"/>
    <cellStyle name="쉼표 [0] 2 72 5 3" xfId="2858"/>
    <cellStyle name="쉼표 [0] 2 72 6" xfId="2859"/>
    <cellStyle name="쉼표 [0] 2 72 6 2" xfId="2860"/>
    <cellStyle name="쉼표 [0] 2 72 6 3" xfId="2861"/>
    <cellStyle name="쉼표 [0] 2 72 7" xfId="2862"/>
    <cellStyle name="쉼표 [0] 2 72 7 2" xfId="2863"/>
    <cellStyle name="쉼표 [0] 2 72 7 3" xfId="2864"/>
    <cellStyle name="쉼표 [0] 2 72 8" xfId="2865"/>
    <cellStyle name="쉼표 [0] 2 72 8 2" xfId="2866"/>
    <cellStyle name="쉼표 [0] 2 72 8 3" xfId="2867"/>
    <cellStyle name="쉼표 [0] 2 72 9" xfId="2868"/>
    <cellStyle name="쉼표 [0] 2 72 9 2" xfId="2869"/>
    <cellStyle name="쉼표 [0] 2 72 9 3" xfId="2870"/>
    <cellStyle name="쉼표 [0] 2 73" xfId="2871"/>
    <cellStyle name="쉼표 [0] 2 73 10" xfId="2872"/>
    <cellStyle name="쉼표 [0] 2 73 10 2" xfId="2873"/>
    <cellStyle name="쉼표 [0] 2 73 10 3" xfId="2874"/>
    <cellStyle name="쉼표 [0] 2 73 11" xfId="2875"/>
    <cellStyle name="쉼표 [0] 2 73 11 2" xfId="2876"/>
    <cellStyle name="쉼표 [0] 2 73 11 3" xfId="2877"/>
    <cellStyle name="쉼표 [0] 2 73 12" xfId="2878"/>
    <cellStyle name="쉼표 [0] 2 73 12 2" xfId="2879"/>
    <cellStyle name="쉼표 [0] 2 73 12 3" xfId="2880"/>
    <cellStyle name="쉼표 [0] 2 73 13" xfId="2881"/>
    <cellStyle name="쉼표 [0] 2 73 14" xfId="2882"/>
    <cellStyle name="쉼표 [0] 2 73 15" xfId="4059"/>
    <cellStyle name="쉼표 [0] 2 73 2" xfId="2883"/>
    <cellStyle name="쉼표 [0] 2 73 2 2" xfId="2884"/>
    <cellStyle name="쉼표 [0] 2 73 2 3" xfId="2885"/>
    <cellStyle name="쉼표 [0] 2 73 3" xfId="2886"/>
    <cellStyle name="쉼표 [0] 2 73 3 2" xfId="2887"/>
    <cellStyle name="쉼표 [0] 2 73 3 3" xfId="2888"/>
    <cellStyle name="쉼표 [0] 2 73 4" xfId="2889"/>
    <cellStyle name="쉼표 [0] 2 73 4 2" xfId="2890"/>
    <cellStyle name="쉼표 [0] 2 73 4 3" xfId="2891"/>
    <cellStyle name="쉼표 [0] 2 73 5" xfId="2892"/>
    <cellStyle name="쉼표 [0] 2 73 5 2" xfId="2893"/>
    <cellStyle name="쉼표 [0] 2 73 5 3" xfId="2894"/>
    <cellStyle name="쉼표 [0] 2 73 6" xfId="2895"/>
    <cellStyle name="쉼표 [0] 2 73 6 2" xfId="2896"/>
    <cellStyle name="쉼표 [0] 2 73 6 3" xfId="2897"/>
    <cellStyle name="쉼표 [0] 2 73 7" xfId="2898"/>
    <cellStyle name="쉼표 [0] 2 73 7 2" xfId="2899"/>
    <cellStyle name="쉼표 [0] 2 73 7 3" xfId="2900"/>
    <cellStyle name="쉼표 [0] 2 73 8" xfId="2901"/>
    <cellStyle name="쉼표 [0] 2 73 8 2" xfId="2902"/>
    <cellStyle name="쉼표 [0] 2 73 8 3" xfId="2903"/>
    <cellStyle name="쉼표 [0] 2 73 9" xfId="2904"/>
    <cellStyle name="쉼표 [0] 2 73 9 2" xfId="2905"/>
    <cellStyle name="쉼표 [0] 2 73 9 3" xfId="2906"/>
    <cellStyle name="쉼표 [0] 2 74" xfId="2907"/>
    <cellStyle name="쉼표 [0] 2 74 10" xfId="2908"/>
    <cellStyle name="쉼표 [0] 2 74 10 2" xfId="2909"/>
    <cellStyle name="쉼표 [0] 2 74 10 3" xfId="2910"/>
    <cellStyle name="쉼표 [0] 2 74 11" xfId="2911"/>
    <cellStyle name="쉼표 [0] 2 74 11 2" xfId="2912"/>
    <cellStyle name="쉼표 [0] 2 74 11 3" xfId="2913"/>
    <cellStyle name="쉼표 [0] 2 74 12" xfId="2914"/>
    <cellStyle name="쉼표 [0] 2 74 12 2" xfId="2915"/>
    <cellStyle name="쉼표 [0] 2 74 12 3" xfId="2916"/>
    <cellStyle name="쉼표 [0] 2 74 13" xfId="2917"/>
    <cellStyle name="쉼표 [0] 2 74 14" xfId="2918"/>
    <cellStyle name="쉼표 [0] 2 74 15" xfId="4060"/>
    <cellStyle name="쉼표 [0] 2 74 2" xfId="2919"/>
    <cellStyle name="쉼표 [0] 2 74 2 2" xfId="2920"/>
    <cellStyle name="쉼표 [0] 2 74 2 3" xfId="2921"/>
    <cellStyle name="쉼표 [0] 2 74 3" xfId="2922"/>
    <cellStyle name="쉼표 [0] 2 74 3 2" xfId="2923"/>
    <cellStyle name="쉼표 [0] 2 74 3 3" xfId="2924"/>
    <cellStyle name="쉼표 [0] 2 74 4" xfId="2925"/>
    <cellStyle name="쉼표 [0] 2 74 4 2" xfId="2926"/>
    <cellStyle name="쉼표 [0] 2 74 4 3" xfId="2927"/>
    <cellStyle name="쉼표 [0] 2 74 5" xfId="2928"/>
    <cellStyle name="쉼표 [0] 2 74 5 2" xfId="2929"/>
    <cellStyle name="쉼표 [0] 2 74 5 3" xfId="2930"/>
    <cellStyle name="쉼표 [0] 2 74 6" xfId="2931"/>
    <cellStyle name="쉼표 [0] 2 74 6 2" xfId="2932"/>
    <cellStyle name="쉼표 [0] 2 74 6 3" xfId="2933"/>
    <cellStyle name="쉼표 [0] 2 74 7" xfId="2934"/>
    <cellStyle name="쉼표 [0] 2 74 7 2" xfId="2935"/>
    <cellStyle name="쉼표 [0] 2 74 7 3" xfId="2936"/>
    <cellStyle name="쉼표 [0] 2 74 8" xfId="2937"/>
    <cellStyle name="쉼표 [0] 2 74 8 2" xfId="2938"/>
    <cellStyle name="쉼표 [0] 2 74 8 3" xfId="2939"/>
    <cellStyle name="쉼표 [0] 2 74 9" xfId="2940"/>
    <cellStyle name="쉼표 [0] 2 74 9 2" xfId="2941"/>
    <cellStyle name="쉼표 [0] 2 74 9 3" xfId="2942"/>
    <cellStyle name="쉼표 [0] 2 75" xfId="2943"/>
    <cellStyle name="쉼표 [0] 2 75 10" xfId="2944"/>
    <cellStyle name="쉼표 [0] 2 75 10 2" xfId="2945"/>
    <cellStyle name="쉼표 [0] 2 75 10 3" xfId="2946"/>
    <cellStyle name="쉼표 [0] 2 75 11" xfId="2947"/>
    <cellStyle name="쉼표 [0] 2 75 11 2" xfId="2948"/>
    <cellStyle name="쉼표 [0] 2 75 11 3" xfId="2949"/>
    <cellStyle name="쉼표 [0] 2 75 12" xfId="2950"/>
    <cellStyle name="쉼표 [0] 2 75 12 2" xfId="2951"/>
    <cellStyle name="쉼표 [0] 2 75 12 3" xfId="2952"/>
    <cellStyle name="쉼표 [0] 2 75 13" xfId="2953"/>
    <cellStyle name="쉼표 [0] 2 75 14" xfId="2954"/>
    <cellStyle name="쉼표 [0] 2 75 15" xfId="4061"/>
    <cellStyle name="쉼표 [0] 2 75 2" xfId="2955"/>
    <cellStyle name="쉼표 [0] 2 75 2 2" xfId="2956"/>
    <cellStyle name="쉼표 [0] 2 75 2 3" xfId="2957"/>
    <cellStyle name="쉼표 [0] 2 75 3" xfId="2958"/>
    <cellStyle name="쉼표 [0] 2 75 3 2" xfId="2959"/>
    <cellStyle name="쉼표 [0] 2 75 3 3" xfId="2960"/>
    <cellStyle name="쉼표 [0] 2 75 4" xfId="2961"/>
    <cellStyle name="쉼표 [0] 2 75 4 2" xfId="2962"/>
    <cellStyle name="쉼표 [0] 2 75 4 3" xfId="2963"/>
    <cellStyle name="쉼표 [0] 2 75 5" xfId="2964"/>
    <cellStyle name="쉼표 [0] 2 75 5 2" xfId="2965"/>
    <cellStyle name="쉼표 [0] 2 75 5 3" xfId="2966"/>
    <cellStyle name="쉼표 [0] 2 75 6" xfId="2967"/>
    <cellStyle name="쉼표 [0] 2 75 6 2" xfId="2968"/>
    <cellStyle name="쉼표 [0] 2 75 6 3" xfId="2969"/>
    <cellStyle name="쉼표 [0] 2 75 7" xfId="2970"/>
    <cellStyle name="쉼표 [0] 2 75 7 2" xfId="2971"/>
    <cellStyle name="쉼표 [0] 2 75 7 3" xfId="2972"/>
    <cellStyle name="쉼표 [0] 2 75 8" xfId="2973"/>
    <cellStyle name="쉼표 [0] 2 75 8 2" xfId="2974"/>
    <cellStyle name="쉼표 [0] 2 75 8 3" xfId="2975"/>
    <cellStyle name="쉼표 [0] 2 75 9" xfId="2976"/>
    <cellStyle name="쉼표 [0] 2 75 9 2" xfId="2977"/>
    <cellStyle name="쉼표 [0] 2 75 9 3" xfId="2978"/>
    <cellStyle name="쉼표 [0] 2 76" xfId="2979"/>
    <cellStyle name="쉼표 [0] 2 76 10" xfId="2980"/>
    <cellStyle name="쉼표 [0] 2 76 10 2" xfId="2981"/>
    <cellStyle name="쉼표 [0] 2 76 10 3" xfId="2982"/>
    <cellStyle name="쉼표 [0] 2 76 11" xfId="2983"/>
    <cellStyle name="쉼표 [0] 2 76 11 2" xfId="2984"/>
    <cellStyle name="쉼표 [0] 2 76 11 3" xfId="2985"/>
    <cellStyle name="쉼표 [0] 2 76 12" xfId="2986"/>
    <cellStyle name="쉼표 [0] 2 76 12 2" xfId="2987"/>
    <cellStyle name="쉼표 [0] 2 76 12 3" xfId="2988"/>
    <cellStyle name="쉼표 [0] 2 76 13" xfId="2989"/>
    <cellStyle name="쉼표 [0] 2 76 14" xfId="2990"/>
    <cellStyle name="쉼표 [0] 2 76 15" xfId="4062"/>
    <cellStyle name="쉼표 [0] 2 76 2" xfId="2991"/>
    <cellStyle name="쉼표 [0] 2 76 2 2" xfId="2992"/>
    <cellStyle name="쉼표 [0] 2 76 2 3" xfId="2993"/>
    <cellStyle name="쉼표 [0] 2 76 3" xfId="2994"/>
    <cellStyle name="쉼표 [0] 2 76 3 2" xfId="2995"/>
    <cellStyle name="쉼표 [0] 2 76 3 3" xfId="2996"/>
    <cellStyle name="쉼표 [0] 2 76 4" xfId="2997"/>
    <cellStyle name="쉼표 [0] 2 76 4 2" xfId="2998"/>
    <cellStyle name="쉼표 [0] 2 76 4 3" xfId="2999"/>
    <cellStyle name="쉼표 [0] 2 76 5" xfId="3000"/>
    <cellStyle name="쉼표 [0] 2 76 5 2" xfId="3001"/>
    <cellStyle name="쉼표 [0] 2 76 5 3" xfId="3002"/>
    <cellStyle name="쉼표 [0] 2 76 6" xfId="3003"/>
    <cellStyle name="쉼표 [0] 2 76 6 2" xfId="3004"/>
    <cellStyle name="쉼표 [0] 2 76 6 3" xfId="3005"/>
    <cellStyle name="쉼표 [0] 2 76 7" xfId="3006"/>
    <cellStyle name="쉼표 [0] 2 76 7 2" xfId="3007"/>
    <cellStyle name="쉼표 [0] 2 76 7 3" xfId="3008"/>
    <cellStyle name="쉼표 [0] 2 76 8" xfId="3009"/>
    <cellStyle name="쉼표 [0] 2 76 8 2" xfId="3010"/>
    <cellStyle name="쉼표 [0] 2 76 8 3" xfId="3011"/>
    <cellStyle name="쉼표 [0] 2 76 9" xfId="3012"/>
    <cellStyle name="쉼표 [0] 2 76 9 2" xfId="3013"/>
    <cellStyle name="쉼표 [0] 2 76 9 3" xfId="3014"/>
    <cellStyle name="쉼표 [0] 2 77" xfId="3015"/>
    <cellStyle name="쉼표 [0] 2 77 10" xfId="3016"/>
    <cellStyle name="쉼표 [0] 2 77 10 2" xfId="3017"/>
    <cellStyle name="쉼표 [0] 2 77 10 3" xfId="3018"/>
    <cellStyle name="쉼표 [0] 2 77 11" xfId="3019"/>
    <cellStyle name="쉼표 [0] 2 77 11 2" xfId="3020"/>
    <cellStyle name="쉼표 [0] 2 77 11 3" xfId="3021"/>
    <cellStyle name="쉼표 [0] 2 77 12" xfId="3022"/>
    <cellStyle name="쉼표 [0] 2 77 12 2" xfId="3023"/>
    <cellStyle name="쉼표 [0] 2 77 12 3" xfId="3024"/>
    <cellStyle name="쉼표 [0] 2 77 13" xfId="3025"/>
    <cellStyle name="쉼표 [0] 2 77 14" xfId="3026"/>
    <cellStyle name="쉼표 [0] 2 77 15" xfId="4063"/>
    <cellStyle name="쉼표 [0] 2 77 2" xfId="3027"/>
    <cellStyle name="쉼표 [0] 2 77 2 2" xfId="3028"/>
    <cellStyle name="쉼표 [0] 2 77 2 3" xfId="3029"/>
    <cellStyle name="쉼표 [0] 2 77 3" xfId="3030"/>
    <cellStyle name="쉼표 [0] 2 77 3 2" xfId="3031"/>
    <cellStyle name="쉼표 [0] 2 77 3 3" xfId="3032"/>
    <cellStyle name="쉼표 [0] 2 77 4" xfId="3033"/>
    <cellStyle name="쉼표 [0] 2 77 4 2" xfId="3034"/>
    <cellStyle name="쉼표 [0] 2 77 4 3" xfId="3035"/>
    <cellStyle name="쉼표 [0] 2 77 5" xfId="3036"/>
    <cellStyle name="쉼표 [0] 2 77 5 2" xfId="3037"/>
    <cellStyle name="쉼표 [0] 2 77 5 3" xfId="3038"/>
    <cellStyle name="쉼표 [0] 2 77 6" xfId="3039"/>
    <cellStyle name="쉼표 [0] 2 77 6 2" xfId="3040"/>
    <cellStyle name="쉼표 [0] 2 77 6 3" xfId="3041"/>
    <cellStyle name="쉼표 [0] 2 77 7" xfId="3042"/>
    <cellStyle name="쉼표 [0] 2 77 7 2" xfId="3043"/>
    <cellStyle name="쉼표 [0] 2 77 7 3" xfId="3044"/>
    <cellStyle name="쉼표 [0] 2 77 8" xfId="3045"/>
    <cellStyle name="쉼표 [0] 2 77 8 2" xfId="3046"/>
    <cellStyle name="쉼표 [0] 2 77 8 3" xfId="3047"/>
    <cellStyle name="쉼표 [0] 2 77 9" xfId="3048"/>
    <cellStyle name="쉼표 [0] 2 77 9 2" xfId="3049"/>
    <cellStyle name="쉼표 [0] 2 77 9 3" xfId="3050"/>
    <cellStyle name="쉼표 [0] 2 78" xfId="3051"/>
    <cellStyle name="쉼표 [0] 2 78 2" xfId="3052"/>
    <cellStyle name="쉼표 [0] 2 78 3" xfId="3053"/>
    <cellStyle name="쉼표 [0] 2 79" xfId="3054"/>
    <cellStyle name="쉼표 [0] 2 79 2" xfId="3055"/>
    <cellStyle name="쉼표 [0] 2 79 3" xfId="3056"/>
    <cellStyle name="쉼표 [0] 2 8" xfId="3057"/>
    <cellStyle name="쉼표 [0] 2 8 10" xfId="3058"/>
    <cellStyle name="쉼표 [0] 2 8 10 2" xfId="3059"/>
    <cellStyle name="쉼표 [0] 2 8 10 3" xfId="3060"/>
    <cellStyle name="쉼표 [0] 2 8 11" xfId="3061"/>
    <cellStyle name="쉼표 [0] 2 8 11 2" xfId="3062"/>
    <cellStyle name="쉼표 [0] 2 8 11 3" xfId="3063"/>
    <cellStyle name="쉼표 [0] 2 8 12" xfId="3064"/>
    <cellStyle name="쉼표 [0] 2 8 12 2" xfId="3065"/>
    <cellStyle name="쉼표 [0] 2 8 12 3" xfId="3066"/>
    <cellStyle name="쉼표 [0] 2 8 13" xfId="3067"/>
    <cellStyle name="쉼표 [0] 2 8 13 2" xfId="3068"/>
    <cellStyle name="쉼표 [0] 2 8 13 3" xfId="3069"/>
    <cellStyle name="쉼표 [0] 2 8 14" xfId="3070"/>
    <cellStyle name="쉼표 [0] 2 8 15" xfId="3071"/>
    <cellStyle name="쉼표 [0] 2 8 16" xfId="4064"/>
    <cellStyle name="쉼표 [0] 2 8 17" xfId="4441"/>
    <cellStyle name="쉼표 [0] 2 8 2" xfId="3072"/>
    <cellStyle name="쉼표 [0] 2 8 2 2" xfId="3073"/>
    <cellStyle name="쉼표 [0] 2 8 2 3" xfId="3074"/>
    <cellStyle name="쉼표 [0] 2 8 3" xfId="3075"/>
    <cellStyle name="쉼표 [0] 2 8 3 2" xfId="3076"/>
    <cellStyle name="쉼표 [0] 2 8 3 3" xfId="3077"/>
    <cellStyle name="쉼표 [0] 2 8 4" xfId="3078"/>
    <cellStyle name="쉼표 [0] 2 8 4 2" xfId="3079"/>
    <cellStyle name="쉼표 [0] 2 8 4 3" xfId="3080"/>
    <cellStyle name="쉼표 [0] 2 8 5" xfId="3081"/>
    <cellStyle name="쉼표 [0] 2 8 5 2" xfId="3082"/>
    <cellStyle name="쉼표 [0] 2 8 5 3" xfId="3083"/>
    <cellStyle name="쉼표 [0] 2 8 6" xfId="3084"/>
    <cellStyle name="쉼표 [0] 2 8 6 2" xfId="3085"/>
    <cellStyle name="쉼표 [0] 2 8 6 3" xfId="3086"/>
    <cellStyle name="쉼표 [0] 2 8 7" xfId="3087"/>
    <cellStyle name="쉼표 [0] 2 8 7 2" xfId="3088"/>
    <cellStyle name="쉼표 [0] 2 8 7 3" xfId="3089"/>
    <cellStyle name="쉼표 [0] 2 8 8" xfId="3090"/>
    <cellStyle name="쉼표 [0] 2 8 8 2" xfId="3091"/>
    <cellStyle name="쉼표 [0] 2 8 8 3" xfId="3092"/>
    <cellStyle name="쉼표 [0] 2 8 9" xfId="3093"/>
    <cellStyle name="쉼표 [0] 2 8 9 2" xfId="3094"/>
    <cellStyle name="쉼표 [0] 2 8 9 3" xfId="3095"/>
    <cellStyle name="쉼표 [0] 2 80" xfId="3096"/>
    <cellStyle name="쉼표 [0] 2 80 2" xfId="3097"/>
    <cellStyle name="쉼표 [0] 2 80 3" xfId="3098"/>
    <cellStyle name="쉼표 [0] 2 81" xfId="3099"/>
    <cellStyle name="쉼표 [0] 2 81 2" xfId="3100"/>
    <cellStyle name="쉼표 [0] 2 81 3" xfId="3101"/>
    <cellStyle name="쉼표 [0] 2 82" xfId="3102"/>
    <cellStyle name="쉼표 [0] 2 82 2" xfId="3103"/>
    <cellStyle name="쉼표 [0] 2 82 3" xfId="3104"/>
    <cellStyle name="쉼표 [0] 2 83" xfId="3105"/>
    <cellStyle name="쉼표 [0] 2 83 2" xfId="3106"/>
    <cellStyle name="쉼표 [0] 2 83 3" xfId="3107"/>
    <cellStyle name="쉼표 [0] 2 84" xfId="3108"/>
    <cellStyle name="쉼표 [0] 2 84 2" xfId="3109"/>
    <cellStyle name="쉼표 [0] 2 84 3" xfId="3110"/>
    <cellStyle name="쉼표 [0] 2 85" xfId="3111"/>
    <cellStyle name="쉼표 [0] 2 85 2" xfId="3112"/>
    <cellStyle name="쉼표 [0] 2 85 3" xfId="3113"/>
    <cellStyle name="쉼표 [0] 2 86" xfId="3114"/>
    <cellStyle name="쉼표 [0] 2 86 2" xfId="3115"/>
    <cellStyle name="쉼표 [0] 2 86 3" xfId="3116"/>
    <cellStyle name="쉼표 [0] 2 87" xfId="3117"/>
    <cellStyle name="쉼표 [0] 2 87 2" xfId="3118"/>
    <cellStyle name="쉼표 [0] 2 87 3" xfId="3119"/>
    <cellStyle name="쉼표 [0] 2 88" xfId="3120"/>
    <cellStyle name="쉼표 [0] 2 88 2" xfId="3121"/>
    <cellStyle name="쉼표 [0] 2 88 3" xfId="3122"/>
    <cellStyle name="쉼표 [0] 2 89" xfId="3123"/>
    <cellStyle name="쉼표 [0] 2 89 2" xfId="3124"/>
    <cellStyle name="쉼표 [0] 2 89 3" xfId="3125"/>
    <cellStyle name="쉼표 [0] 2 9" xfId="3126"/>
    <cellStyle name="쉼표 [0] 2 9 10" xfId="3127"/>
    <cellStyle name="쉼표 [0] 2 9 10 2" xfId="3128"/>
    <cellStyle name="쉼표 [0] 2 9 10 3" xfId="3129"/>
    <cellStyle name="쉼표 [0] 2 9 11" xfId="3130"/>
    <cellStyle name="쉼표 [0] 2 9 11 2" xfId="3131"/>
    <cellStyle name="쉼표 [0] 2 9 11 3" xfId="3132"/>
    <cellStyle name="쉼표 [0] 2 9 12" xfId="3133"/>
    <cellStyle name="쉼표 [0] 2 9 12 2" xfId="3134"/>
    <cellStyle name="쉼표 [0] 2 9 12 3" xfId="3135"/>
    <cellStyle name="쉼표 [0] 2 9 13" xfId="3136"/>
    <cellStyle name="쉼표 [0] 2 9 13 2" xfId="3137"/>
    <cellStyle name="쉼표 [0] 2 9 13 3" xfId="3138"/>
    <cellStyle name="쉼표 [0] 2 9 14" xfId="3139"/>
    <cellStyle name="쉼표 [0] 2 9 15" xfId="3140"/>
    <cellStyle name="쉼표 [0] 2 9 16" xfId="4065"/>
    <cellStyle name="쉼표 [0] 2 9 17" xfId="4440"/>
    <cellStyle name="쉼표 [0] 2 9 2" xfId="3141"/>
    <cellStyle name="쉼표 [0] 2 9 2 2" xfId="3142"/>
    <cellStyle name="쉼표 [0] 2 9 2 3" xfId="3143"/>
    <cellStyle name="쉼표 [0] 2 9 3" xfId="3144"/>
    <cellStyle name="쉼표 [0] 2 9 3 2" xfId="3145"/>
    <cellStyle name="쉼표 [0] 2 9 3 3" xfId="3146"/>
    <cellStyle name="쉼표 [0] 2 9 4" xfId="3147"/>
    <cellStyle name="쉼표 [0] 2 9 4 2" xfId="3148"/>
    <cellStyle name="쉼표 [0] 2 9 4 3" xfId="3149"/>
    <cellStyle name="쉼표 [0] 2 9 5" xfId="3150"/>
    <cellStyle name="쉼표 [0] 2 9 5 2" xfId="3151"/>
    <cellStyle name="쉼표 [0] 2 9 5 3" xfId="3152"/>
    <cellStyle name="쉼표 [0] 2 9 6" xfId="3153"/>
    <cellStyle name="쉼표 [0] 2 9 6 2" xfId="3154"/>
    <cellStyle name="쉼표 [0] 2 9 6 3" xfId="3155"/>
    <cellStyle name="쉼표 [0] 2 9 7" xfId="3156"/>
    <cellStyle name="쉼표 [0] 2 9 7 2" xfId="3157"/>
    <cellStyle name="쉼표 [0] 2 9 7 3" xfId="3158"/>
    <cellStyle name="쉼표 [0] 2 9 8" xfId="3159"/>
    <cellStyle name="쉼표 [0] 2 9 8 2" xfId="3160"/>
    <cellStyle name="쉼표 [0] 2 9 8 3" xfId="3161"/>
    <cellStyle name="쉼표 [0] 2 9 9" xfId="3162"/>
    <cellStyle name="쉼표 [0] 2 9 9 2" xfId="3163"/>
    <cellStyle name="쉼표 [0] 2 9 9 3" xfId="3164"/>
    <cellStyle name="쉼표 [0] 2 90" xfId="3165"/>
    <cellStyle name="쉼표 [0] 2 90 2" xfId="3166"/>
    <cellStyle name="쉼표 [0] 2 90 3" xfId="3167"/>
    <cellStyle name="쉼표 [0] 2 91" xfId="3168"/>
    <cellStyle name="쉼표 [0] 2 91 2" xfId="3169"/>
    <cellStyle name="쉼표 [0] 2 91 3" xfId="3170"/>
    <cellStyle name="쉼표 [0] 2 92" xfId="3171"/>
    <cellStyle name="쉼표 [0] 2 92 2" xfId="3172"/>
    <cellStyle name="쉼표 [0] 2 92 3" xfId="3173"/>
    <cellStyle name="쉼표 [0] 2 93" xfId="3174"/>
    <cellStyle name="쉼표 [0] 2 93 2" xfId="3175"/>
    <cellStyle name="쉼표 [0] 2 93 3" xfId="3176"/>
    <cellStyle name="쉼표 [0] 2 94" xfId="3177"/>
    <cellStyle name="쉼표 [0] 2 94 2" xfId="3178"/>
    <cellStyle name="쉼표 [0] 2 94 3" xfId="3179"/>
    <cellStyle name="쉼표 [0] 2 95" xfId="3180"/>
    <cellStyle name="쉼표 [0] 2 95 2" xfId="3181"/>
    <cellStyle name="쉼표 [0] 2 95 3" xfId="3182"/>
    <cellStyle name="쉼표 [0] 2 96" xfId="3183"/>
    <cellStyle name="쉼표 [0] 2 96 2" xfId="3184"/>
    <cellStyle name="쉼표 [0] 2 96 3" xfId="3185"/>
    <cellStyle name="쉼표 [0] 2 97" xfId="3186"/>
    <cellStyle name="쉼표 [0] 2 97 2" xfId="3187"/>
    <cellStyle name="쉼표 [0] 2 97 3" xfId="3188"/>
    <cellStyle name="쉼표 [0] 2 98" xfId="3189"/>
    <cellStyle name="쉼표 [0] 2 98 2" xfId="3190"/>
    <cellStyle name="쉼표 [0] 2 98 3" xfId="3191"/>
    <cellStyle name="쉼표 [0] 2 99" xfId="3192"/>
    <cellStyle name="쉼표 [0] 2 99 2" xfId="3193"/>
    <cellStyle name="쉼표 [0] 2 99 3" xfId="3194"/>
    <cellStyle name="쉼표 [0] 3" xfId="3195"/>
    <cellStyle name="쉼표 [0] 3 2" xfId="3196"/>
    <cellStyle name="쉼표 [0] 3 3" xfId="3197"/>
    <cellStyle name="쉼표 [0] 3 4" xfId="3752"/>
    <cellStyle name="쉼표 [0] 4" xfId="3198"/>
    <cellStyle name="쉼표 [0] 4 2" xfId="3199"/>
    <cellStyle name="쉼표 [0] 4 3" xfId="3200"/>
    <cellStyle name="쉼표 [0] 4 4" xfId="3436"/>
    <cellStyle name="스타일 1" xfId="3201"/>
    <cellStyle name="연결된 셀 2" xfId="3202"/>
    <cellStyle name="연결된 셀 2 2" xfId="3753"/>
    <cellStyle name="연결된 셀 3" xfId="3437"/>
    <cellStyle name="연결된 셀 3 2" xfId="3438"/>
    <cellStyle name="연결된 셀 4" xfId="3439"/>
    <cellStyle name="연결된 셀 5" xfId="3903"/>
    <cellStyle name="연결된 셀 6" xfId="3904"/>
    <cellStyle name="요약 2" xfId="3203"/>
    <cellStyle name="요약 2 2" xfId="3754"/>
    <cellStyle name="요약 3" xfId="3440"/>
    <cellStyle name="요약 3 2" xfId="3441"/>
    <cellStyle name="요약 3 3" xfId="3442"/>
    <cellStyle name="요약 3 3 2" xfId="3443"/>
    <cellStyle name="요약 3 3 2 2" xfId="3444"/>
    <cellStyle name="요약 3 3 2 2 2" xfId="5967"/>
    <cellStyle name="요약 3 3 2 2 2 2" xfId="6585"/>
    <cellStyle name="요약 3 3 2 2 3" xfId="6726"/>
    <cellStyle name="요약 3 3 2 3" xfId="3445"/>
    <cellStyle name="요약 3 3 2 3 2" xfId="5966"/>
    <cellStyle name="요약 3 3 2 3 2 2" xfId="6586"/>
    <cellStyle name="요약 3 3 2 3 3" xfId="6725"/>
    <cellStyle name="요약 3 3 2 4" xfId="5968"/>
    <cellStyle name="요약 3 3 2 4 2" xfId="6584"/>
    <cellStyle name="요약 3 3 2 5" xfId="6779"/>
    <cellStyle name="요약 3 3 3" xfId="3446"/>
    <cellStyle name="요약 3 3 3 2" xfId="5965"/>
    <cellStyle name="요약 3 3 3 2 2" xfId="6587"/>
    <cellStyle name="요약 3 3 3 3" xfId="6724"/>
    <cellStyle name="요약 3 3 4" xfId="3447"/>
    <cellStyle name="요약 3 3 4 2" xfId="5964"/>
    <cellStyle name="요약 3 3 4 2 2" xfId="6588"/>
    <cellStyle name="요약 3 3 4 3" xfId="6723"/>
    <cellStyle name="요약 3 3 5" xfId="5969"/>
    <cellStyle name="요약 3 3 5 2" xfId="6583"/>
    <cellStyle name="요약 3 3 6" xfId="6782"/>
    <cellStyle name="요약 3 4" xfId="3448"/>
    <cellStyle name="요약 3 4 2" xfId="3449"/>
    <cellStyle name="요약 3 4 2 2" xfId="5962"/>
    <cellStyle name="요약 3 4 2 2 2" xfId="6590"/>
    <cellStyle name="요약 3 4 2 3" xfId="6721"/>
    <cellStyle name="요약 3 4 3" xfId="3450"/>
    <cellStyle name="요약 3 4 3 2" xfId="5961"/>
    <cellStyle name="요약 3 4 3 2 2" xfId="6591"/>
    <cellStyle name="요약 3 4 3 3" xfId="6720"/>
    <cellStyle name="요약 3 4 4" xfId="5963"/>
    <cellStyle name="요약 3 4 4 2" xfId="6589"/>
    <cellStyle name="요약 3 4 5" xfId="6722"/>
    <cellStyle name="요약 3 5" xfId="3451"/>
    <cellStyle name="요약 3 5 2" xfId="5960"/>
    <cellStyle name="요약 3 5 2 2" xfId="6592"/>
    <cellStyle name="요약 3 5 3" xfId="6719"/>
    <cellStyle name="요약 3 6" xfId="3452"/>
    <cellStyle name="요약 3 6 2" xfId="5959"/>
    <cellStyle name="요약 3 6 2 2" xfId="6593"/>
    <cellStyle name="요약 3 6 3" xfId="6718"/>
    <cellStyle name="요약 3 7" xfId="5970"/>
    <cellStyle name="요약 3 7 2" xfId="6582"/>
    <cellStyle name="요약 3 8" xfId="6727"/>
    <cellStyle name="요약 4" xfId="3453"/>
    <cellStyle name="요약 4 2" xfId="3454"/>
    <cellStyle name="요약 4 2 2" xfId="3455"/>
    <cellStyle name="요약 4 2 2 2" xfId="3456"/>
    <cellStyle name="요약 4 2 2 2 2" xfId="5955"/>
    <cellStyle name="요약 4 2 2 2 2 2" xfId="6597"/>
    <cellStyle name="요약 4 2 2 2 3" xfId="6714"/>
    <cellStyle name="요약 4 2 2 3" xfId="3457"/>
    <cellStyle name="요약 4 2 2 3 2" xfId="5954"/>
    <cellStyle name="요약 4 2 2 3 2 2" xfId="6598"/>
    <cellStyle name="요약 4 2 2 3 3" xfId="6713"/>
    <cellStyle name="요약 4 2 2 4" xfId="5956"/>
    <cellStyle name="요약 4 2 2 4 2" xfId="6596"/>
    <cellStyle name="요약 4 2 2 5" xfId="6715"/>
    <cellStyle name="요약 4 2 3" xfId="3458"/>
    <cellStyle name="요약 4 2 3 2" xfId="5953"/>
    <cellStyle name="요약 4 2 3 2 2" xfId="6599"/>
    <cellStyle name="요약 4 2 3 3" xfId="6712"/>
    <cellStyle name="요약 4 2 4" xfId="3459"/>
    <cellStyle name="요약 4 2 4 2" xfId="5952"/>
    <cellStyle name="요약 4 2 4 2 2" xfId="6600"/>
    <cellStyle name="요약 4 2 4 3" xfId="6711"/>
    <cellStyle name="요약 4 2 5" xfId="5957"/>
    <cellStyle name="요약 4 2 5 2" xfId="6595"/>
    <cellStyle name="요약 4 2 6" xfId="6716"/>
    <cellStyle name="요약 4 3" xfId="3460"/>
    <cellStyle name="요약 4 3 2" xfId="3461"/>
    <cellStyle name="요약 4 3 2 2" xfId="5950"/>
    <cellStyle name="요약 4 3 2 2 2" xfId="6602"/>
    <cellStyle name="요약 4 3 2 3" xfId="6709"/>
    <cellStyle name="요약 4 3 3" xfId="3462"/>
    <cellStyle name="요약 4 3 3 2" xfId="5949"/>
    <cellStyle name="요약 4 3 3 2 2" xfId="6603"/>
    <cellStyle name="요약 4 3 3 3" xfId="6708"/>
    <cellStyle name="요약 4 3 4" xfId="5951"/>
    <cellStyle name="요약 4 3 4 2" xfId="6601"/>
    <cellStyle name="요약 4 3 5" xfId="6710"/>
    <cellStyle name="요약 4 4" xfId="3463"/>
    <cellStyle name="요약 4 4 2" xfId="5948"/>
    <cellStyle name="요약 4 4 2 2" xfId="6604"/>
    <cellStyle name="요약 4 4 3" xfId="6707"/>
    <cellStyle name="요약 4 5" xfId="3464"/>
    <cellStyle name="요약 4 5 2" xfId="5947"/>
    <cellStyle name="요약 4 5 2 2" xfId="6605"/>
    <cellStyle name="요약 4 5 3" xfId="6706"/>
    <cellStyle name="요약 4 6" xfId="5958"/>
    <cellStyle name="요약 4 6 2" xfId="6594"/>
    <cellStyle name="요약 4 7" xfId="6717"/>
    <cellStyle name="요약 5" xfId="3465"/>
    <cellStyle name="요약 5 2" xfId="3466"/>
    <cellStyle name="요약 5 2 2" xfId="3467"/>
    <cellStyle name="요약 5 2 2 2" xfId="3468"/>
    <cellStyle name="요약 5 2 2 2 2" xfId="5943"/>
    <cellStyle name="요약 5 2 2 2 2 2" xfId="6609"/>
    <cellStyle name="요약 5 2 2 2 3" xfId="6702"/>
    <cellStyle name="요약 5 2 2 3" xfId="3469"/>
    <cellStyle name="요약 5 2 2 3 2" xfId="5942"/>
    <cellStyle name="요약 5 2 2 3 2 2" xfId="6610"/>
    <cellStyle name="요약 5 2 2 3 3" xfId="6701"/>
    <cellStyle name="요약 5 2 2 4" xfId="5944"/>
    <cellStyle name="요약 5 2 2 4 2" xfId="6608"/>
    <cellStyle name="요약 5 2 2 5" xfId="6703"/>
    <cellStyle name="요약 5 2 3" xfId="3470"/>
    <cellStyle name="요약 5 2 3 2" xfId="5941"/>
    <cellStyle name="요약 5 2 3 2 2" xfId="6611"/>
    <cellStyle name="요약 5 2 3 3" xfId="6700"/>
    <cellStyle name="요약 5 2 4" xfId="3471"/>
    <cellStyle name="요약 5 2 4 2" xfId="5940"/>
    <cellStyle name="요약 5 2 4 2 2" xfId="6612"/>
    <cellStyle name="요약 5 2 4 3" xfId="6699"/>
    <cellStyle name="요약 5 2 5" xfId="5945"/>
    <cellStyle name="요약 5 2 5 2" xfId="6607"/>
    <cellStyle name="요약 5 2 6" xfId="6704"/>
    <cellStyle name="요약 5 3" xfId="3472"/>
    <cellStyle name="요약 5 3 2" xfId="3473"/>
    <cellStyle name="요약 5 3 2 2" xfId="5938"/>
    <cellStyle name="요약 5 3 2 2 2" xfId="6776"/>
    <cellStyle name="요약 5 3 2 3" xfId="6697"/>
    <cellStyle name="요약 5 3 3" xfId="3474"/>
    <cellStyle name="요약 5 3 3 2" xfId="5937"/>
    <cellStyle name="요약 5 3 3 2 2" xfId="6785"/>
    <cellStyle name="요약 5 3 3 3" xfId="6696"/>
    <cellStyle name="요약 5 3 4" xfId="5939"/>
    <cellStyle name="요약 5 3 4 2" xfId="6613"/>
    <cellStyle name="요약 5 3 5" xfId="6698"/>
    <cellStyle name="요약 5 4" xfId="3475"/>
    <cellStyle name="요약 5 4 2" xfId="5936"/>
    <cellStyle name="요약 5 4 2 2" xfId="6614"/>
    <cellStyle name="요약 5 4 3" xfId="6695"/>
    <cellStyle name="요약 5 5" xfId="5946"/>
    <cellStyle name="요약 5 5 2" xfId="6606"/>
    <cellStyle name="요약 5 6" xfId="6705"/>
    <cellStyle name="요약 6" xfId="3476"/>
    <cellStyle name="요약 7" xfId="3905"/>
    <cellStyle name="요약 8" xfId="3906"/>
    <cellStyle name="입력 2" xfId="3204"/>
    <cellStyle name="입력 2 2" xfId="3755"/>
    <cellStyle name="입력 3" xfId="3477"/>
    <cellStyle name="입력 3 2" xfId="3478"/>
    <cellStyle name="입력 3 3" xfId="3479"/>
    <cellStyle name="입력 3 3 2" xfId="3480"/>
    <cellStyle name="입력 3 3 2 2" xfId="3481"/>
    <cellStyle name="입력 3 3 2 2 2" xfId="5932"/>
    <cellStyle name="입력 3 3 2 2 2 2" xfId="6618"/>
    <cellStyle name="입력 3 3 2 2 3" xfId="6691"/>
    <cellStyle name="입력 3 3 2 3" xfId="5933"/>
    <cellStyle name="입력 3 3 2 3 2" xfId="6617"/>
    <cellStyle name="입력 3 3 2 4" xfId="6692"/>
    <cellStyle name="입력 3 3 3" xfId="3482"/>
    <cellStyle name="입력 3 3 3 2" xfId="5931"/>
    <cellStyle name="입력 3 3 3 2 2" xfId="6619"/>
    <cellStyle name="입력 3 3 3 3" xfId="6690"/>
    <cellStyle name="입력 3 3 4" xfId="5934"/>
    <cellStyle name="입력 3 3 4 2" xfId="6616"/>
    <cellStyle name="입력 3 3 5" xfId="6693"/>
    <cellStyle name="입력 3 4" xfId="3483"/>
    <cellStyle name="입력 3 4 2" xfId="3484"/>
    <cellStyle name="입력 3 4 2 2" xfId="5929"/>
    <cellStyle name="입력 3 4 2 2 2" xfId="6621"/>
    <cellStyle name="입력 3 4 2 3" xfId="6778"/>
    <cellStyle name="입력 3 4 3" xfId="5930"/>
    <cellStyle name="입력 3 4 3 2" xfId="6620"/>
    <cellStyle name="입력 3 4 4" xfId="6783"/>
    <cellStyle name="입력 3 5" xfId="3485"/>
    <cellStyle name="입력 3 5 2" xfId="5928"/>
    <cellStyle name="입력 3 5 2 2" xfId="6622"/>
    <cellStyle name="입력 3 5 3" xfId="6689"/>
    <cellStyle name="입력 3 6" xfId="5935"/>
    <cellStyle name="입력 3 6 2" xfId="6615"/>
    <cellStyle name="입력 3 7" xfId="6694"/>
    <cellStyle name="입력 4" xfId="3486"/>
    <cellStyle name="입력 4 2" xfId="3487"/>
    <cellStyle name="입력 4 2 2" xfId="3488"/>
    <cellStyle name="입력 4 2 2 2" xfId="3489"/>
    <cellStyle name="입력 4 2 2 2 2" xfId="5925"/>
    <cellStyle name="입력 4 2 2 2 2 2" xfId="6625"/>
    <cellStyle name="입력 4 2 2 2 3" xfId="6685"/>
    <cellStyle name="입력 4 2 2 3" xfId="5926"/>
    <cellStyle name="입력 4 2 2 3 2" xfId="6624"/>
    <cellStyle name="입력 4 2 2 4" xfId="6686"/>
    <cellStyle name="입력 4 2 3" xfId="3490"/>
    <cellStyle name="입력 4 2 3 2" xfId="5924"/>
    <cellStyle name="입력 4 2 3 2 2" xfId="6626"/>
    <cellStyle name="입력 4 2 3 3" xfId="6684"/>
    <cellStyle name="입력 4 2 4" xfId="6125"/>
    <cellStyle name="입력 4 2 4 2" xfId="6774"/>
    <cellStyle name="입력 4 2 5" xfId="6687"/>
    <cellStyle name="입력 4 3" xfId="3491"/>
    <cellStyle name="입력 4 3 2" xfId="3492"/>
    <cellStyle name="입력 4 3 2 2" xfId="5922"/>
    <cellStyle name="입력 4 3 2 2 2" xfId="6628"/>
    <cellStyle name="입력 4 3 2 3" xfId="6682"/>
    <cellStyle name="입력 4 3 3" xfId="5923"/>
    <cellStyle name="입력 4 3 3 2" xfId="6627"/>
    <cellStyle name="입력 4 3 4" xfId="6683"/>
    <cellStyle name="입력 4 4" xfId="3493"/>
    <cellStyle name="입력 4 4 2" xfId="5921"/>
    <cellStyle name="입력 4 4 2 2" xfId="6629"/>
    <cellStyle name="입력 4 4 3" xfId="6681"/>
    <cellStyle name="입력 4 5" xfId="5927"/>
    <cellStyle name="입력 4 5 2" xfId="6623"/>
    <cellStyle name="입력 4 6" xfId="6688"/>
    <cellStyle name="입력 5" xfId="3494"/>
    <cellStyle name="입력 5 2" xfId="3495"/>
    <cellStyle name="입력 5 2 2" xfId="3496"/>
    <cellStyle name="입력 5 2 2 2" xfId="3497"/>
    <cellStyle name="입력 5 2 2 2 2" xfId="5917"/>
    <cellStyle name="입력 5 2 2 2 2 2" xfId="6633"/>
    <cellStyle name="입력 5 2 2 2 3" xfId="6677"/>
    <cellStyle name="입력 5 2 2 3" xfId="5918"/>
    <cellStyle name="입력 5 2 2 3 2" xfId="6632"/>
    <cellStyle name="입력 5 2 2 4" xfId="6678"/>
    <cellStyle name="입력 5 2 3" xfId="3498"/>
    <cellStyle name="입력 5 2 3 2" xfId="5916"/>
    <cellStyle name="입력 5 2 3 2 2" xfId="6634"/>
    <cellStyle name="입력 5 2 3 3" xfId="6676"/>
    <cellStyle name="입력 5 2 4" xfId="5919"/>
    <cellStyle name="입력 5 2 4 2" xfId="6631"/>
    <cellStyle name="입력 5 2 5" xfId="6679"/>
    <cellStyle name="입력 5 3" xfId="3499"/>
    <cellStyle name="입력 5 3 2" xfId="3500"/>
    <cellStyle name="입력 5 3 2 2" xfId="5914"/>
    <cellStyle name="입력 5 3 2 2 2" xfId="6636"/>
    <cellStyle name="입력 5 3 2 3" xfId="6674"/>
    <cellStyle name="입력 5 3 3" xfId="5915"/>
    <cellStyle name="입력 5 3 3 2" xfId="6635"/>
    <cellStyle name="입력 5 3 4" xfId="6675"/>
    <cellStyle name="입력 5 4" xfId="3501"/>
    <cellStyle name="입력 5 4 2" xfId="5913"/>
    <cellStyle name="입력 5 4 2 2" xfId="6637"/>
    <cellStyle name="입력 5 4 3" xfId="6673"/>
    <cellStyle name="입력 5 5" xfId="5920"/>
    <cellStyle name="입력 5 5 2" xfId="6630"/>
    <cellStyle name="입력 5 6" xfId="6680"/>
    <cellStyle name="입력 6" xfId="3502"/>
    <cellStyle name="입력 7" xfId="3907"/>
    <cellStyle name="입력 8" xfId="3908"/>
    <cellStyle name="제목 1 2" xfId="3206"/>
    <cellStyle name="제목 1 2 2" xfId="3756"/>
    <cellStyle name="제목 1 3" xfId="3503"/>
    <cellStyle name="제목 1 3 2" xfId="3504"/>
    <cellStyle name="제목 1 4" xfId="3505"/>
    <cellStyle name="제목 1 5" xfId="3909"/>
    <cellStyle name="제목 1 6" xfId="3910"/>
    <cellStyle name="제목 2 2" xfId="3207"/>
    <cellStyle name="제목 2 2 2" xfId="3757"/>
    <cellStyle name="제목 2 3" xfId="3506"/>
    <cellStyle name="제목 2 3 2" xfId="3507"/>
    <cellStyle name="제목 2 4" xfId="3508"/>
    <cellStyle name="제목 2 5" xfId="3911"/>
    <cellStyle name="제목 2 6" xfId="3912"/>
    <cellStyle name="제목 3 2" xfId="3208"/>
    <cellStyle name="제목 3 2 2" xfId="3758"/>
    <cellStyle name="제목 3 3" xfId="3509"/>
    <cellStyle name="제목 3 3 2" xfId="3510"/>
    <cellStyle name="제목 3 4" xfId="3511"/>
    <cellStyle name="제목 3 5" xfId="3913"/>
    <cellStyle name="제목 3 6" xfId="3914"/>
    <cellStyle name="제목 4 2" xfId="3209"/>
    <cellStyle name="제목 4 2 2" xfId="3759"/>
    <cellStyle name="제목 4 3" xfId="3512"/>
    <cellStyle name="제목 4 3 2" xfId="3513"/>
    <cellStyle name="제목 4 4" xfId="3514"/>
    <cellStyle name="제목 4 5" xfId="3915"/>
    <cellStyle name="제목 4 6" xfId="3916"/>
    <cellStyle name="제목 5" xfId="3205"/>
    <cellStyle name="제목 5 2" xfId="3760"/>
    <cellStyle name="제목 6" xfId="3515"/>
    <cellStyle name="제목 6 2" xfId="3516"/>
    <cellStyle name="제목 7" xfId="3517"/>
    <cellStyle name="제목 8" xfId="3917"/>
    <cellStyle name="제목 9" xfId="3918"/>
    <cellStyle name="좋음 2" xfId="3210"/>
    <cellStyle name="좋음 2 2" xfId="3761"/>
    <cellStyle name="좋음 3" xfId="3518"/>
    <cellStyle name="좋음 3 2" xfId="3519"/>
    <cellStyle name="좋음 4" xfId="3520"/>
    <cellStyle name="좋음 5" xfId="3919"/>
    <cellStyle name="좋음 6" xfId="3920"/>
    <cellStyle name="출력 2" xfId="3211"/>
    <cellStyle name="출력 2 2" xfId="3762"/>
    <cellStyle name="출력 3" xfId="3521"/>
    <cellStyle name="출력 3 2" xfId="3522"/>
    <cellStyle name="출력 3 3" xfId="3523"/>
    <cellStyle name="출력 3 3 2" xfId="3524"/>
    <cellStyle name="출력 3 3 2 2" xfId="3525"/>
    <cellStyle name="출력 3 3 2 2 2" xfId="6047"/>
    <cellStyle name="출력 3 3 2 2 2 2" xfId="6511"/>
    <cellStyle name="출력 3 3 2 2 3" xfId="6777"/>
    <cellStyle name="출력 3 3 2 3" xfId="3526"/>
    <cellStyle name="출력 3 3 2 3 2" xfId="6053"/>
    <cellStyle name="출력 3 3 2 3 2 2" xfId="6508"/>
    <cellStyle name="출력 3 3 2 3 3" xfId="6670"/>
    <cellStyle name="출력 3 3 2 4" xfId="6048"/>
    <cellStyle name="출력 3 3 2 4 2" xfId="6510"/>
    <cellStyle name="출력 3 3 2 5" xfId="6784"/>
    <cellStyle name="출력 3 3 3" xfId="3527"/>
    <cellStyle name="출력 3 3 3 2" xfId="6018"/>
    <cellStyle name="출력 3 3 3 2 2" xfId="6536"/>
    <cellStyle name="출력 3 3 3 3" xfId="6669"/>
    <cellStyle name="출력 3 3 4" xfId="3528"/>
    <cellStyle name="출력 3 3 4 2" xfId="5912"/>
    <cellStyle name="출력 3 3 4 2 2" xfId="6638"/>
    <cellStyle name="출력 3 3 4 3" xfId="6668"/>
    <cellStyle name="출력 3 3 5" xfId="6049"/>
    <cellStyle name="출력 3 3 5 2" xfId="6509"/>
    <cellStyle name="출력 3 3 6" xfId="6671"/>
    <cellStyle name="출력 3 4" xfId="3529"/>
    <cellStyle name="출력 3 4 2" xfId="3530"/>
    <cellStyle name="출력 3 4 2 2" xfId="6045"/>
    <cellStyle name="출력 3 4 2 2 2" xfId="6513"/>
    <cellStyle name="출력 3 4 2 3" xfId="6666"/>
    <cellStyle name="출력 3 4 3" xfId="3531"/>
    <cellStyle name="출력 3 4 3 2" xfId="6044"/>
    <cellStyle name="출력 3 4 3 2 2" xfId="6514"/>
    <cellStyle name="출력 3 4 3 3" xfId="6665"/>
    <cellStyle name="출력 3 4 4" xfId="6046"/>
    <cellStyle name="출력 3 4 4 2" xfId="6512"/>
    <cellStyle name="출력 3 4 5" xfId="6667"/>
    <cellStyle name="출력 3 5" xfId="3532"/>
    <cellStyle name="출력 3 5 2" xfId="6043"/>
    <cellStyle name="출력 3 5 2 2" xfId="6515"/>
    <cellStyle name="출력 3 5 3" xfId="6664"/>
    <cellStyle name="출력 3 6" xfId="3533"/>
    <cellStyle name="출력 3 6 2" xfId="6042"/>
    <cellStyle name="출력 3 6 2 2" xfId="6516"/>
    <cellStyle name="출력 3 6 3" xfId="6663"/>
    <cellStyle name="출력 3 7" xfId="6077"/>
    <cellStyle name="출력 3 7 2" xfId="6503"/>
    <cellStyle name="출력 3 8" xfId="6672"/>
    <cellStyle name="출력 4" xfId="3534"/>
    <cellStyle name="출력 4 2" xfId="3535"/>
    <cellStyle name="출력 4 2 2" xfId="3536"/>
    <cellStyle name="출력 4 2 2 2" xfId="3537"/>
    <cellStyle name="출력 4 2 2 2 2" xfId="6038"/>
    <cellStyle name="출력 4 2 2 2 2 2" xfId="6520"/>
    <cellStyle name="출력 4 2 2 2 3" xfId="6659"/>
    <cellStyle name="출력 4 2 2 3" xfId="3538"/>
    <cellStyle name="출력 4 2 2 3 2" xfId="6037"/>
    <cellStyle name="출력 4 2 2 3 2 2" xfId="6521"/>
    <cellStyle name="출력 4 2 2 3 3" xfId="6658"/>
    <cellStyle name="출력 4 2 2 4" xfId="6039"/>
    <cellStyle name="출력 4 2 2 4 2" xfId="6519"/>
    <cellStyle name="출력 4 2 2 5" xfId="6660"/>
    <cellStyle name="출력 4 2 3" xfId="3539"/>
    <cellStyle name="출력 4 2 3 2" xfId="6036"/>
    <cellStyle name="출력 4 2 3 2 2" xfId="6522"/>
    <cellStyle name="출력 4 2 3 3" xfId="6657"/>
    <cellStyle name="출력 4 2 4" xfId="3540"/>
    <cellStyle name="출력 4 2 4 2" xfId="6076"/>
    <cellStyle name="출력 4 2 4 2 2" xfId="6504"/>
    <cellStyle name="출력 4 2 4 3" xfId="6656"/>
    <cellStyle name="출력 4 2 5" xfId="6040"/>
    <cellStyle name="출력 4 2 5 2" xfId="6518"/>
    <cellStyle name="출력 4 2 6" xfId="6661"/>
    <cellStyle name="출력 4 3" xfId="3541"/>
    <cellStyle name="출력 4 3 2" xfId="3542"/>
    <cellStyle name="출력 4 3 2 2" xfId="6035"/>
    <cellStyle name="출력 4 3 2 2 2" xfId="6523"/>
    <cellStyle name="출력 4 3 2 3" xfId="6654"/>
    <cellStyle name="출력 4 3 3" xfId="3543"/>
    <cellStyle name="출력 4 3 3 2" xfId="6034"/>
    <cellStyle name="출력 4 3 3 2 2" xfId="6524"/>
    <cellStyle name="출력 4 3 3 3" xfId="6653"/>
    <cellStyle name="출력 4 3 4" xfId="6075"/>
    <cellStyle name="출력 4 3 4 2" xfId="6505"/>
    <cellStyle name="출력 4 3 5" xfId="6655"/>
    <cellStyle name="출력 4 4" xfId="3544"/>
    <cellStyle name="출력 4 4 2" xfId="6033"/>
    <cellStyle name="출력 4 4 2 2" xfId="6525"/>
    <cellStyle name="출력 4 4 3" xfId="6652"/>
    <cellStyle name="출력 4 5" xfId="3545"/>
    <cellStyle name="출력 4 5 2" xfId="6032"/>
    <cellStyle name="출력 4 5 2 2" xfId="6526"/>
    <cellStyle name="출력 4 5 3" xfId="6651"/>
    <cellStyle name="출력 4 6" xfId="6041"/>
    <cellStyle name="출력 4 6 2" xfId="6517"/>
    <cellStyle name="출력 4 7" xfId="6662"/>
    <cellStyle name="출력 5" xfId="3546"/>
    <cellStyle name="출력 5 2" xfId="3547"/>
    <cellStyle name="출력 5 2 2" xfId="3548"/>
    <cellStyle name="출력 5 2 2 2" xfId="3549"/>
    <cellStyle name="출력 5 2 2 2 2" xfId="6028"/>
    <cellStyle name="출력 5 2 2 2 2 2" xfId="6530"/>
    <cellStyle name="출력 5 2 2 2 3" xfId="6647"/>
    <cellStyle name="출력 5 2 2 3" xfId="3550"/>
    <cellStyle name="출력 5 2 2 3 2" xfId="6027"/>
    <cellStyle name="출력 5 2 2 3 2 2" xfId="6531"/>
    <cellStyle name="출력 5 2 2 3 3" xfId="6646"/>
    <cellStyle name="출력 5 2 2 4" xfId="6029"/>
    <cellStyle name="출력 5 2 2 4 2" xfId="6529"/>
    <cellStyle name="출력 5 2 2 5" xfId="6648"/>
    <cellStyle name="출력 5 2 3" xfId="3551"/>
    <cellStyle name="출력 5 2 3 2" xfId="6026"/>
    <cellStyle name="출력 5 2 3 2 2" xfId="6532"/>
    <cellStyle name="출력 5 2 3 3" xfId="6645"/>
    <cellStyle name="출력 5 2 4" xfId="3552"/>
    <cellStyle name="출력 5 2 4 2" xfId="6074"/>
    <cellStyle name="출력 5 2 4 2 2" xfId="6506"/>
    <cellStyle name="출력 5 2 4 3" xfId="6644"/>
    <cellStyle name="출력 5 2 5" xfId="6030"/>
    <cellStyle name="출력 5 2 5 2" xfId="6528"/>
    <cellStyle name="출력 5 2 6" xfId="6649"/>
    <cellStyle name="출력 5 3" xfId="3553"/>
    <cellStyle name="출력 5 3 2" xfId="3554"/>
    <cellStyle name="출력 5 3 2 2" xfId="6025"/>
    <cellStyle name="출력 5 3 2 2 2" xfId="6533"/>
    <cellStyle name="출력 5 3 2 3" xfId="6642"/>
    <cellStyle name="출력 5 3 3" xfId="3555"/>
    <cellStyle name="출력 5 3 3 2" xfId="6024"/>
    <cellStyle name="출력 5 3 3 2 2" xfId="6534"/>
    <cellStyle name="출력 5 3 3 3" xfId="6641"/>
    <cellStyle name="출력 5 3 4" xfId="6073"/>
    <cellStyle name="출력 5 3 4 2" xfId="6507"/>
    <cellStyle name="출력 5 3 5" xfId="6643"/>
    <cellStyle name="출력 5 4" xfId="3556"/>
    <cellStyle name="출력 5 4 2" xfId="6023"/>
    <cellStyle name="출력 5 4 2 2" xfId="6535"/>
    <cellStyle name="출력 5 4 3" xfId="6640"/>
    <cellStyle name="출력 5 5" xfId="6031"/>
    <cellStyle name="출력 5 5 2" xfId="6527"/>
    <cellStyle name="출력 5 6" xfId="6650"/>
    <cellStyle name="출력 6" xfId="3557"/>
    <cellStyle name="출력 7" xfId="3921"/>
    <cellStyle name="출력 8" xfId="3922"/>
    <cellStyle name="콤마 [0]_0N-HANDLING" xfId="3763"/>
    <cellStyle name="콤마_0N-HANDLING" xfId="3764"/>
    <cellStyle name="통화 [0] 2" xfId="3212"/>
    <cellStyle name="표준" xfId="0" builtinId="0"/>
    <cellStyle name="표준 10" xfId="2"/>
    <cellStyle name="표준 100" xfId="3616"/>
    <cellStyle name="표준 101" xfId="3617"/>
    <cellStyle name="표준 102" xfId="3618"/>
    <cellStyle name="표준 103" xfId="3619"/>
    <cellStyle name="표준 104" xfId="3620"/>
    <cellStyle name="표준 105" xfId="3621"/>
    <cellStyle name="표준 106" xfId="3622"/>
    <cellStyle name="표준 107" xfId="3623"/>
    <cellStyle name="표준 108" xfId="3624"/>
    <cellStyle name="표준 109" xfId="3625"/>
    <cellStyle name="표준 11" xfId="3213"/>
    <cellStyle name="표준 110" xfId="3626"/>
    <cellStyle name="표준 111" xfId="3627"/>
    <cellStyle name="표준 112" xfId="3628"/>
    <cellStyle name="표준 113" xfId="3629"/>
    <cellStyle name="표준 114" xfId="3630"/>
    <cellStyle name="표준 115" xfId="3631"/>
    <cellStyle name="표준 116" xfId="3632"/>
    <cellStyle name="표준 117" xfId="3633"/>
    <cellStyle name="표준 118" xfId="3634"/>
    <cellStyle name="표준 119" xfId="3635"/>
    <cellStyle name="표준 12" xfId="3214"/>
    <cellStyle name="표준 120" xfId="3636"/>
    <cellStyle name="표준 121" xfId="3637"/>
    <cellStyle name="표준 122" xfId="3638"/>
    <cellStyle name="표준 123" xfId="3639"/>
    <cellStyle name="표준 124" xfId="3640"/>
    <cellStyle name="표준 125" xfId="3641"/>
    <cellStyle name="표준 126" xfId="3643"/>
    <cellStyle name="표준 127" xfId="3642"/>
    <cellStyle name="표준 128" xfId="3644"/>
    <cellStyle name="표준 129" xfId="3645"/>
    <cellStyle name="표준 13" xfId="3215"/>
    <cellStyle name="표준 130" xfId="3648"/>
    <cellStyle name="표준 131" xfId="3650"/>
    <cellStyle name="표준 132" xfId="3649"/>
    <cellStyle name="표준 133" xfId="3651"/>
    <cellStyle name="표준 134" xfId="3652"/>
    <cellStyle name="표준 135" xfId="3654"/>
    <cellStyle name="표준 136" xfId="3655"/>
    <cellStyle name="표준 137" xfId="3656"/>
    <cellStyle name="표준 138" xfId="3696"/>
    <cellStyle name="표준 139" xfId="3657"/>
    <cellStyle name="표준 14" xfId="3216"/>
    <cellStyle name="표준 140" xfId="3658"/>
    <cellStyle name="표준 141" xfId="3659"/>
    <cellStyle name="표준 142" xfId="3646"/>
    <cellStyle name="표준 143" xfId="3647"/>
    <cellStyle name="표준 144" xfId="3653"/>
    <cellStyle name="표준 145" xfId="3661"/>
    <cellStyle name="표준 146" xfId="3660"/>
    <cellStyle name="표준 147" xfId="3662"/>
    <cellStyle name="표준 148" xfId="3663"/>
    <cellStyle name="표준 149" xfId="3664"/>
    <cellStyle name="표준 15" xfId="3217"/>
    <cellStyle name="표준 150" xfId="3665"/>
    <cellStyle name="표준 151" xfId="3666"/>
    <cellStyle name="표준 152" xfId="3667"/>
    <cellStyle name="표준 153" xfId="3668"/>
    <cellStyle name="표준 154" xfId="3669"/>
    <cellStyle name="표준 155" xfId="3670"/>
    <cellStyle name="표준 156" xfId="3671"/>
    <cellStyle name="표준 157" xfId="3672"/>
    <cellStyle name="표준 158" xfId="3673"/>
    <cellStyle name="표준 159" xfId="3674"/>
    <cellStyle name="표준 16" xfId="3218"/>
    <cellStyle name="표준 160" xfId="3675"/>
    <cellStyle name="표준 161" xfId="3677"/>
    <cellStyle name="표준 162" xfId="3676"/>
    <cellStyle name="표준 163" xfId="3678"/>
    <cellStyle name="표준 164" xfId="3679"/>
    <cellStyle name="표준 165" xfId="3680"/>
    <cellStyle name="표준 166" xfId="3681"/>
    <cellStyle name="표준 167" xfId="3682"/>
    <cellStyle name="표준 168" xfId="3683"/>
    <cellStyle name="표준 169" xfId="3684"/>
    <cellStyle name="표준 17" xfId="3219"/>
    <cellStyle name="표준 170" xfId="3685"/>
    <cellStyle name="표준 171" xfId="3686"/>
    <cellStyle name="표준 172" xfId="3688"/>
    <cellStyle name="표준 173" xfId="3689"/>
    <cellStyle name="표준 174" xfId="3690"/>
    <cellStyle name="표준 175" xfId="3691"/>
    <cellStyle name="표준 176" xfId="3692"/>
    <cellStyle name="표준 177" xfId="3693"/>
    <cellStyle name="표준 178" xfId="3694"/>
    <cellStyle name="표준 179" xfId="3687"/>
    <cellStyle name="표준 18" xfId="3220"/>
    <cellStyle name="표준 180" xfId="3695"/>
    <cellStyle name="표준 181" xfId="3787"/>
    <cellStyle name="표준 182" xfId="3994"/>
    <cellStyle name="표준 183" xfId="3993"/>
    <cellStyle name="표준 183 2" xfId="4363"/>
    <cellStyle name="표준 183 2 2" xfId="4555"/>
    <cellStyle name="표준 183 2 3" xfId="4937"/>
    <cellStyle name="표준 183 2 3 2" xfId="5834"/>
    <cellStyle name="표준 183 2 4" xfId="5386"/>
    <cellStyle name="표준 183 2 5" xfId="6424"/>
    <cellStyle name="표준 183 3" xfId="4214"/>
    <cellStyle name="표준 183 3 2" xfId="4554"/>
    <cellStyle name="표준 183 3 3" xfId="4788"/>
    <cellStyle name="표준 183 3 3 2" xfId="5685"/>
    <cellStyle name="표준 183 3 4" xfId="5237"/>
    <cellStyle name="표준 183 3 5" xfId="6275"/>
    <cellStyle name="표준 183 4" xfId="4510"/>
    <cellStyle name="표준 183 5" xfId="4531"/>
    <cellStyle name="표준 183 5 2" xfId="5014"/>
    <cellStyle name="표준 183 5 2 2" xfId="5911"/>
    <cellStyle name="표준 183 5 3" xfId="5463"/>
    <cellStyle name="표준 183 6" xfId="4639"/>
    <cellStyle name="표준 183 6 2" xfId="5536"/>
    <cellStyle name="표준 183 7" xfId="5088"/>
    <cellStyle name="표준 183 8" xfId="6124"/>
    <cellStyle name="표준 184" xfId="4066"/>
    <cellStyle name="표준 184 2" xfId="4364"/>
    <cellStyle name="표준 184 2 2" xfId="4552"/>
    <cellStyle name="표준 184 2 3" xfId="4938"/>
    <cellStyle name="표준 184 2 3 2" xfId="5835"/>
    <cellStyle name="표준 184 2 4" xfId="5387"/>
    <cellStyle name="표준 184 2 5" xfId="6425"/>
    <cellStyle name="표준 184 3" xfId="4215"/>
    <cellStyle name="표준 184 3 2" xfId="4789"/>
    <cellStyle name="표준 184 3 2 2" xfId="5686"/>
    <cellStyle name="표준 184 3 3" xfId="5238"/>
    <cellStyle name="표준 184 3 4" xfId="6276"/>
    <cellStyle name="표준 184 4" xfId="4534"/>
    <cellStyle name="표준 184 5" xfId="4553"/>
    <cellStyle name="표준 184 6" xfId="4640"/>
    <cellStyle name="표준 184 6 2" xfId="5537"/>
    <cellStyle name="표준 184 7" xfId="5089"/>
    <cellStyle name="표준 184 8" xfId="6127"/>
    <cellStyle name="표준 185" xfId="4067"/>
    <cellStyle name="표준 185 2" xfId="4365"/>
    <cellStyle name="표준 185 2 2" xfId="4939"/>
    <cellStyle name="표준 185 2 2 2" xfId="5836"/>
    <cellStyle name="표준 185 2 3" xfId="5388"/>
    <cellStyle name="표준 185 2 4" xfId="6426"/>
    <cellStyle name="표준 185 3" xfId="4216"/>
    <cellStyle name="표준 185 3 2" xfId="4790"/>
    <cellStyle name="표준 185 3 2 2" xfId="5687"/>
    <cellStyle name="표준 185 3 3" xfId="5239"/>
    <cellStyle name="표준 185 3 4" xfId="6277"/>
    <cellStyle name="표준 185 4" xfId="4551"/>
    <cellStyle name="표준 185 5" xfId="4641"/>
    <cellStyle name="표준 185 5 2" xfId="5538"/>
    <cellStyle name="표준 185 6" xfId="5090"/>
    <cellStyle name="표준 185 7" xfId="6128"/>
    <cellStyle name="표준 186" xfId="4068"/>
    <cellStyle name="표준 186 2" xfId="4366"/>
    <cellStyle name="표준 186 2 2" xfId="4940"/>
    <cellStyle name="표준 186 2 2 2" xfId="5837"/>
    <cellStyle name="표준 186 2 3" xfId="5389"/>
    <cellStyle name="표준 186 2 4" xfId="6427"/>
    <cellStyle name="표준 186 3" xfId="4217"/>
    <cellStyle name="표준 186 3 2" xfId="4791"/>
    <cellStyle name="표준 186 3 2 2" xfId="5688"/>
    <cellStyle name="표준 186 3 3" xfId="5240"/>
    <cellStyle name="표준 186 3 4" xfId="6278"/>
    <cellStyle name="표준 186 4" xfId="4550"/>
    <cellStyle name="표준 186 5" xfId="4642"/>
    <cellStyle name="표준 186 5 2" xfId="5539"/>
    <cellStyle name="표준 186 6" xfId="5091"/>
    <cellStyle name="표준 186 7" xfId="6129"/>
    <cellStyle name="표준 187" xfId="4069"/>
    <cellStyle name="표준 187 2" xfId="4367"/>
    <cellStyle name="표준 187 2 2" xfId="4941"/>
    <cellStyle name="표준 187 2 2 2" xfId="5838"/>
    <cellStyle name="표준 187 2 3" xfId="5390"/>
    <cellStyle name="표준 187 2 4" xfId="6428"/>
    <cellStyle name="표준 187 3" xfId="4218"/>
    <cellStyle name="표준 187 3 2" xfId="4792"/>
    <cellStyle name="표준 187 3 2 2" xfId="5689"/>
    <cellStyle name="표준 187 3 3" xfId="5241"/>
    <cellStyle name="표준 187 3 4" xfId="6279"/>
    <cellStyle name="표준 187 4" xfId="4561"/>
    <cellStyle name="표준 187 5" xfId="4643"/>
    <cellStyle name="표준 187 5 2" xfId="5540"/>
    <cellStyle name="표준 187 6" xfId="5092"/>
    <cellStyle name="표준 187 7" xfId="6130"/>
    <cellStyle name="표준 188" xfId="4533"/>
    <cellStyle name="표준 189" xfId="4512"/>
    <cellStyle name="표준 19" xfId="4"/>
    <cellStyle name="표준 19 2" xfId="4536"/>
    <cellStyle name="표준 19 3" xfId="4535"/>
    <cellStyle name="표준 190" xfId="4530"/>
    <cellStyle name="표준 191" xfId="4532"/>
    <cellStyle name="표준 192" xfId="4528"/>
    <cellStyle name="표준 193" xfId="4514"/>
    <cellStyle name="표준 194" xfId="4527"/>
    <cellStyle name="표준 195" xfId="4515"/>
    <cellStyle name="표준 196" xfId="4526"/>
    <cellStyle name="표준 197" xfId="4516"/>
    <cellStyle name="표준 198" xfId="4525"/>
    <cellStyle name="표준 199" xfId="4517"/>
    <cellStyle name="표준 2" xfId="7"/>
    <cellStyle name="표준 2 2" xfId="10"/>
    <cellStyle name="표준 2 2 2" xfId="3222"/>
    <cellStyle name="표준 2 2 2 2" xfId="3558"/>
    <cellStyle name="표준 2 3" xfId="11"/>
    <cellStyle name="표준 2 3 2" xfId="3559"/>
    <cellStyle name="표준 2 3 3" xfId="3572"/>
    <cellStyle name="표준 2 3 4" xfId="6502"/>
    <cellStyle name="표준 2 3 5" xfId="3221"/>
    <cellStyle name="표준 2 4" xfId="3272"/>
    <cellStyle name="표준 2 4 2" xfId="3560"/>
    <cellStyle name="표준 2 4 3" xfId="3923"/>
    <cellStyle name="표준 2 5" xfId="3268"/>
    <cellStyle name="표준 2_모터블럭제어기 BOM(전체)_최종-120210" xfId="3765"/>
    <cellStyle name="표준 20" xfId="3223"/>
    <cellStyle name="표준 200" xfId="4524"/>
    <cellStyle name="표준 201" xfId="4518"/>
    <cellStyle name="표준 202" xfId="4523"/>
    <cellStyle name="표준 203" xfId="4519"/>
    <cellStyle name="표준 204" xfId="4513"/>
    <cellStyle name="표준 205" xfId="4520"/>
    <cellStyle name="표준 206" xfId="4522"/>
    <cellStyle name="표준 207" xfId="4521"/>
    <cellStyle name="표준 208" xfId="4560"/>
    <cellStyle name="표준 209" xfId="4556"/>
    <cellStyle name="표준 21" xfId="3224"/>
    <cellStyle name="표준 210" xfId="4559"/>
    <cellStyle name="표준 211" xfId="5015"/>
    <cellStyle name="표준 212" xfId="4558"/>
    <cellStyle name="표준 213" xfId="4566"/>
    <cellStyle name="표준 214" xfId="4557"/>
    <cellStyle name="표준 215" xfId="6788"/>
    <cellStyle name="표준 216" xfId="6789"/>
    <cellStyle name="표준 217" xfId="6790"/>
    <cellStyle name="표준 218" xfId="6791"/>
    <cellStyle name="표준 219" xfId="6792"/>
    <cellStyle name="표준 22" xfId="3225"/>
    <cellStyle name="표준 220" xfId="6793"/>
    <cellStyle name="표준 221" xfId="6794"/>
    <cellStyle name="표준 222" xfId="6795"/>
    <cellStyle name="표준 223" xfId="6796"/>
    <cellStyle name="표준 224" xfId="6797"/>
    <cellStyle name="표준 225" xfId="6798"/>
    <cellStyle name="표준 226" xfId="6799"/>
    <cellStyle name="표준 227" xfId="6800"/>
    <cellStyle name="표준 228" xfId="6801"/>
    <cellStyle name="표준 229" xfId="6802"/>
    <cellStyle name="표준 23" xfId="3226"/>
    <cellStyle name="표준 230" xfId="6803"/>
    <cellStyle name="표준 24" xfId="3227"/>
    <cellStyle name="표준 25" xfId="3228"/>
    <cellStyle name="표준 26" xfId="3229"/>
    <cellStyle name="표준 27" xfId="3230"/>
    <cellStyle name="표준 28" xfId="3231"/>
    <cellStyle name="표준 28 2" xfId="4538"/>
    <cellStyle name="표준 28 3" xfId="4537"/>
    <cellStyle name="표준 29" xfId="3232"/>
    <cellStyle name="표준 29 2" xfId="4540"/>
    <cellStyle name="표준 29 3" xfId="4539"/>
    <cellStyle name="표준 3" xfId="8"/>
    <cellStyle name="표준 3 2" xfId="3234"/>
    <cellStyle name="표준 3 3" xfId="3235"/>
    <cellStyle name="표준 3 4" xfId="3233"/>
    <cellStyle name="표준 3 4 2" xfId="4529"/>
    <cellStyle name="표준 3 4 3" xfId="4573"/>
    <cellStyle name="표준 3 4 4" xfId="3766"/>
    <cellStyle name="표준 30" xfId="3236"/>
    <cellStyle name="표준 30 2" xfId="4542"/>
    <cellStyle name="표준 30 3" xfId="4541"/>
    <cellStyle name="표준 31" xfId="3237"/>
    <cellStyle name="표준 31 2" xfId="4544"/>
    <cellStyle name="표준 31 3" xfId="4543"/>
    <cellStyle name="표준 32" xfId="3238"/>
    <cellStyle name="표준 32 2" xfId="4546"/>
    <cellStyle name="표준 32 3" xfId="4545"/>
    <cellStyle name="표준 33" xfId="3239"/>
    <cellStyle name="표준 33 2" xfId="4548"/>
    <cellStyle name="표준 33 3" xfId="4547"/>
    <cellStyle name="표준 34" xfId="3240"/>
    <cellStyle name="표준 34 2" xfId="3241"/>
    <cellStyle name="표준 34 3" xfId="4549"/>
    <cellStyle name="표준 35" xfId="3242"/>
    <cellStyle name="표준 36" xfId="1"/>
    <cellStyle name="표준 37" xfId="3"/>
    <cellStyle name="표준 38" xfId="3243"/>
    <cellStyle name="표준 39" xfId="3244"/>
    <cellStyle name="표준 4" xfId="12"/>
    <cellStyle name="표준 4 2" xfId="3246"/>
    <cellStyle name="표준 4 3" xfId="3767"/>
    <cellStyle name="표준 4 4" xfId="3245"/>
    <cellStyle name="표준 4 5" xfId="6804"/>
    <cellStyle name="표준 40" xfId="3247"/>
    <cellStyle name="표준 41" xfId="5"/>
    <cellStyle name="표준 42" xfId="3248"/>
    <cellStyle name="표준 43" xfId="3256"/>
    <cellStyle name="표준 43 2" xfId="3274"/>
    <cellStyle name="표준 43 2 10" xfId="4143"/>
    <cellStyle name="표준 43 2 10 2" xfId="4717"/>
    <cellStyle name="표준 43 2 10 2 2" xfId="5614"/>
    <cellStyle name="표준 43 2 10 3" xfId="5166"/>
    <cellStyle name="표준 43 2 10 4" xfId="6204"/>
    <cellStyle name="표준 43 2 11" xfId="4563"/>
    <cellStyle name="표준 43 2 11 2" xfId="5465"/>
    <cellStyle name="표준 43 2 12" xfId="5017"/>
    <cellStyle name="표준 43 2 13" xfId="6020"/>
    <cellStyle name="표준 43 2 2" xfId="3561"/>
    <cellStyle name="표준 43 2 2 10" xfId="6050"/>
    <cellStyle name="표준 43 2 2 2" xfId="3792"/>
    <cellStyle name="표준 43 2 2 2 2" xfId="3960"/>
    <cellStyle name="표준 43 2 2 2 2 2" xfId="4109"/>
    <cellStyle name="표준 43 2 2 2 2 2 2" xfId="4407"/>
    <cellStyle name="표준 43 2 2 2 2 2 2 2" xfId="4981"/>
    <cellStyle name="표준 43 2 2 2 2 2 2 2 2" xfId="5878"/>
    <cellStyle name="표준 43 2 2 2 2 2 2 3" xfId="5430"/>
    <cellStyle name="표준 43 2 2 2 2 2 2 4" xfId="6468"/>
    <cellStyle name="표준 43 2 2 2 2 2 3" xfId="4258"/>
    <cellStyle name="표준 43 2 2 2 2 2 3 2" xfId="4832"/>
    <cellStyle name="표준 43 2 2 2 2 2 3 2 2" xfId="5729"/>
    <cellStyle name="표준 43 2 2 2 2 2 3 3" xfId="5281"/>
    <cellStyle name="표준 43 2 2 2 2 2 3 4" xfId="6319"/>
    <cellStyle name="표준 43 2 2 2 2 2 4" xfId="4683"/>
    <cellStyle name="표준 43 2 2 2 2 2 4 2" xfId="5580"/>
    <cellStyle name="표준 43 2 2 2 2 2 5" xfId="5132"/>
    <cellStyle name="표준 43 2 2 2 2 2 6" xfId="6170"/>
    <cellStyle name="표준 43 2 2 2 2 3" xfId="4330"/>
    <cellStyle name="표준 43 2 2 2 2 3 2" xfId="4904"/>
    <cellStyle name="표준 43 2 2 2 2 3 2 2" xfId="5801"/>
    <cellStyle name="표준 43 2 2 2 2 3 3" xfId="5353"/>
    <cellStyle name="표준 43 2 2 2 2 3 4" xfId="6391"/>
    <cellStyle name="표준 43 2 2 2 2 4" xfId="4181"/>
    <cellStyle name="표준 43 2 2 2 2 4 2" xfId="4755"/>
    <cellStyle name="표준 43 2 2 2 2 4 2 2" xfId="5652"/>
    <cellStyle name="표준 43 2 2 2 2 4 3" xfId="5204"/>
    <cellStyle name="표준 43 2 2 2 2 4 4" xfId="6242"/>
    <cellStyle name="표준 43 2 2 2 2 5" xfId="4606"/>
    <cellStyle name="표준 43 2 2 2 2 5 2" xfId="5503"/>
    <cellStyle name="표준 43 2 2 2 2 6" xfId="5055"/>
    <cellStyle name="표준 43 2 2 2 2 7" xfId="6091"/>
    <cellStyle name="표준 43 2 2 2 3" xfId="3986"/>
    <cellStyle name="표준 43 2 2 2 3 2" xfId="4135"/>
    <cellStyle name="표준 43 2 2 2 3 2 2" xfId="4433"/>
    <cellStyle name="표준 43 2 2 2 3 2 2 2" xfId="5007"/>
    <cellStyle name="표준 43 2 2 2 3 2 2 2 2" xfId="5904"/>
    <cellStyle name="표준 43 2 2 2 3 2 2 3" xfId="5456"/>
    <cellStyle name="표준 43 2 2 2 3 2 2 4" xfId="6494"/>
    <cellStyle name="표준 43 2 2 2 3 2 3" xfId="4284"/>
    <cellStyle name="표준 43 2 2 2 3 2 3 2" xfId="4858"/>
    <cellStyle name="표준 43 2 2 2 3 2 3 2 2" xfId="5755"/>
    <cellStyle name="표준 43 2 2 2 3 2 3 3" xfId="5307"/>
    <cellStyle name="표준 43 2 2 2 3 2 3 4" xfId="6345"/>
    <cellStyle name="표준 43 2 2 2 3 2 4" xfId="4709"/>
    <cellStyle name="표준 43 2 2 2 3 2 4 2" xfId="5606"/>
    <cellStyle name="표준 43 2 2 2 3 2 5" xfId="5158"/>
    <cellStyle name="표준 43 2 2 2 3 2 6" xfId="6196"/>
    <cellStyle name="표준 43 2 2 2 3 3" xfId="4356"/>
    <cellStyle name="표준 43 2 2 2 3 3 2" xfId="4930"/>
    <cellStyle name="표준 43 2 2 2 3 3 2 2" xfId="5827"/>
    <cellStyle name="표준 43 2 2 2 3 3 3" xfId="5379"/>
    <cellStyle name="표준 43 2 2 2 3 3 4" xfId="6417"/>
    <cellStyle name="표준 43 2 2 2 3 4" xfId="4207"/>
    <cellStyle name="표준 43 2 2 2 3 4 2" xfId="4781"/>
    <cellStyle name="표준 43 2 2 2 3 4 2 2" xfId="5678"/>
    <cellStyle name="표준 43 2 2 2 3 4 3" xfId="5230"/>
    <cellStyle name="표준 43 2 2 2 3 4 4" xfId="6268"/>
    <cellStyle name="표준 43 2 2 2 3 5" xfId="4632"/>
    <cellStyle name="표준 43 2 2 2 3 5 2" xfId="5529"/>
    <cellStyle name="표준 43 2 2 2 3 6" xfId="5081"/>
    <cellStyle name="표준 43 2 2 2 3 7" xfId="6117"/>
    <cellStyle name="표준 43 2 2 2 4" xfId="4085"/>
    <cellStyle name="표준 43 2 2 2 4 2" xfId="4383"/>
    <cellStyle name="표준 43 2 2 2 4 2 2" xfId="4957"/>
    <cellStyle name="표준 43 2 2 2 4 2 2 2" xfId="5854"/>
    <cellStyle name="표준 43 2 2 2 4 2 3" xfId="5406"/>
    <cellStyle name="표준 43 2 2 2 4 2 4" xfId="6444"/>
    <cellStyle name="표준 43 2 2 2 4 3" xfId="4234"/>
    <cellStyle name="표준 43 2 2 2 4 3 2" xfId="4808"/>
    <cellStyle name="표준 43 2 2 2 4 3 2 2" xfId="5705"/>
    <cellStyle name="표준 43 2 2 2 4 3 3" xfId="5257"/>
    <cellStyle name="표준 43 2 2 2 4 3 4" xfId="6295"/>
    <cellStyle name="표준 43 2 2 2 4 4" xfId="4659"/>
    <cellStyle name="표준 43 2 2 2 4 4 2" xfId="5556"/>
    <cellStyle name="표준 43 2 2 2 4 5" xfId="5108"/>
    <cellStyle name="표준 43 2 2 2 4 6" xfId="6146"/>
    <cellStyle name="표준 43 2 2 2 5" xfId="4306"/>
    <cellStyle name="표준 43 2 2 2 5 2" xfId="4880"/>
    <cellStyle name="표준 43 2 2 2 5 2 2" xfId="5777"/>
    <cellStyle name="표준 43 2 2 2 5 3" xfId="5329"/>
    <cellStyle name="표준 43 2 2 2 5 4" xfId="6367"/>
    <cellStyle name="표준 43 2 2 2 6" xfId="4157"/>
    <cellStyle name="표준 43 2 2 2 6 2" xfId="4731"/>
    <cellStyle name="표준 43 2 2 2 6 2 2" xfId="5628"/>
    <cellStyle name="표준 43 2 2 2 6 3" xfId="5180"/>
    <cellStyle name="표준 43 2 2 2 6 4" xfId="6218"/>
    <cellStyle name="표준 43 2 2 2 7" xfId="4582"/>
    <cellStyle name="표준 43 2 2 2 7 2" xfId="5479"/>
    <cellStyle name="표준 43 2 2 2 8" xfId="5031"/>
    <cellStyle name="표준 43 2 2 2 9" xfId="6062"/>
    <cellStyle name="표준 43 2 2 3" xfId="3935"/>
    <cellStyle name="표준 43 2 2 3 2" xfId="4097"/>
    <cellStyle name="표준 43 2 2 3 2 2" xfId="4395"/>
    <cellStyle name="표준 43 2 2 3 2 2 2" xfId="4969"/>
    <cellStyle name="표준 43 2 2 3 2 2 2 2" xfId="5866"/>
    <cellStyle name="표준 43 2 2 3 2 2 3" xfId="5418"/>
    <cellStyle name="표준 43 2 2 3 2 2 4" xfId="6456"/>
    <cellStyle name="표준 43 2 2 3 2 3" xfId="4246"/>
    <cellStyle name="표준 43 2 2 3 2 3 2" xfId="4820"/>
    <cellStyle name="표준 43 2 2 3 2 3 2 2" xfId="5717"/>
    <cellStyle name="표준 43 2 2 3 2 3 3" xfId="5269"/>
    <cellStyle name="표준 43 2 2 3 2 3 4" xfId="6307"/>
    <cellStyle name="표준 43 2 2 3 2 4" xfId="4671"/>
    <cellStyle name="표준 43 2 2 3 2 4 2" xfId="5568"/>
    <cellStyle name="표준 43 2 2 3 2 5" xfId="5120"/>
    <cellStyle name="표준 43 2 2 3 2 6" xfId="6158"/>
    <cellStyle name="표준 43 2 2 3 3" xfId="4318"/>
    <cellStyle name="표준 43 2 2 3 3 2" xfId="4892"/>
    <cellStyle name="표준 43 2 2 3 3 2 2" xfId="5789"/>
    <cellStyle name="표준 43 2 2 3 3 3" xfId="5341"/>
    <cellStyle name="표준 43 2 2 3 3 4" xfId="6379"/>
    <cellStyle name="표준 43 2 2 3 4" xfId="4169"/>
    <cellStyle name="표준 43 2 2 3 4 2" xfId="4743"/>
    <cellStyle name="표준 43 2 2 3 4 2 2" xfId="5640"/>
    <cellStyle name="표준 43 2 2 3 4 3" xfId="5192"/>
    <cellStyle name="표준 43 2 2 3 4 4" xfId="6230"/>
    <cellStyle name="표준 43 2 2 3 5" xfId="4594"/>
    <cellStyle name="표준 43 2 2 3 5 2" xfId="5491"/>
    <cellStyle name="표준 43 2 2 3 6" xfId="5043"/>
    <cellStyle name="표준 43 2 2 3 7" xfId="6079"/>
    <cellStyle name="표준 43 2 2 4" xfId="3975"/>
    <cellStyle name="표준 43 2 2 4 2" xfId="4124"/>
    <cellStyle name="표준 43 2 2 4 2 2" xfId="4422"/>
    <cellStyle name="표준 43 2 2 4 2 2 2" xfId="4996"/>
    <cellStyle name="표준 43 2 2 4 2 2 2 2" xfId="5893"/>
    <cellStyle name="표준 43 2 2 4 2 2 3" xfId="5445"/>
    <cellStyle name="표준 43 2 2 4 2 2 4" xfId="6483"/>
    <cellStyle name="표준 43 2 2 4 2 3" xfId="4273"/>
    <cellStyle name="표준 43 2 2 4 2 3 2" xfId="4847"/>
    <cellStyle name="표준 43 2 2 4 2 3 2 2" xfId="5744"/>
    <cellStyle name="표준 43 2 2 4 2 3 3" xfId="5296"/>
    <cellStyle name="표준 43 2 2 4 2 3 4" xfId="6334"/>
    <cellStyle name="표준 43 2 2 4 2 4" xfId="4698"/>
    <cellStyle name="표준 43 2 2 4 2 4 2" xfId="5595"/>
    <cellStyle name="표준 43 2 2 4 2 5" xfId="5147"/>
    <cellStyle name="표준 43 2 2 4 2 6" xfId="6185"/>
    <cellStyle name="표준 43 2 2 4 3" xfId="4345"/>
    <cellStyle name="표준 43 2 2 4 3 2" xfId="4919"/>
    <cellStyle name="표준 43 2 2 4 3 2 2" xfId="5816"/>
    <cellStyle name="표준 43 2 2 4 3 3" xfId="5368"/>
    <cellStyle name="표준 43 2 2 4 3 4" xfId="6406"/>
    <cellStyle name="표준 43 2 2 4 4" xfId="4196"/>
    <cellStyle name="표준 43 2 2 4 4 2" xfId="4770"/>
    <cellStyle name="표준 43 2 2 4 4 2 2" xfId="5667"/>
    <cellStyle name="표준 43 2 2 4 4 3" xfId="5219"/>
    <cellStyle name="표준 43 2 2 4 4 4" xfId="6257"/>
    <cellStyle name="표준 43 2 2 4 5" xfId="4621"/>
    <cellStyle name="표준 43 2 2 4 5 2" xfId="5518"/>
    <cellStyle name="표준 43 2 2 4 6" xfId="5070"/>
    <cellStyle name="표준 43 2 2 4 7" xfId="6106"/>
    <cellStyle name="표준 43 2 2 5" xfId="4074"/>
    <cellStyle name="표준 43 2 2 5 2" xfId="4372"/>
    <cellStyle name="표준 43 2 2 5 2 2" xfId="4946"/>
    <cellStyle name="표준 43 2 2 5 2 2 2" xfId="5843"/>
    <cellStyle name="표준 43 2 2 5 2 3" xfId="5395"/>
    <cellStyle name="표준 43 2 2 5 2 4" xfId="6433"/>
    <cellStyle name="표준 43 2 2 5 3" xfId="4223"/>
    <cellStyle name="표준 43 2 2 5 3 2" xfId="4797"/>
    <cellStyle name="표준 43 2 2 5 3 2 2" xfId="5694"/>
    <cellStyle name="표준 43 2 2 5 3 3" xfId="5246"/>
    <cellStyle name="표준 43 2 2 5 3 4" xfId="6284"/>
    <cellStyle name="표준 43 2 2 5 4" xfId="4648"/>
    <cellStyle name="표준 43 2 2 5 4 2" xfId="5545"/>
    <cellStyle name="표준 43 2 2 5 5" xfId="5097"/>
    <cellStyle name="표준 43 2 2 5 6" xfId="6135"/>
    <cellStyle name="표준 43 2 2 6" xfId="4295"/>
    <cellStyle name="표준 43 2 2 6 2" xfId="4869"/>
    <cellStyle name="표준 43 2 2 6 2 2" xfId="5766"/>
    <cellStyle name="표준 43 2 2 6 3" xfId="5318"/>
    <cellStyle name="표준 43 2 2 6 4" xfId="6356"/>
    <cellStyle name="표준 43 2 2 7" xfId="4146"/>
    <cellStyle name="표준 43 2 2 7 2" xfId="4720"/>
    <cellStyle name="표준 43 2 2 7 2 2" xfId="5617"/>
    <cellStyle name="표준 43 2 2 7 3" xfId="5169"/>
    <cellStyle name="표준 43 2 2 7 4" xfId="6207"/>
    <cellStyle name="표준 43 2 2 8" xfId="4567"/>
    <cellStyle name="표준 43 2 2 8 2" xfId="5468"/>
    <cellStyle name="표준 43 2 2 9" xfId="5020"/>
    <cellStyle name="표준 43 2 3" xfId="3784"/>
    <cellStyle name="표준 43 2 3 10" xfId="6055"/>
    <cellStyle name="표준 43 2 3 2" xfId="3798"/>
    <cellStyle name="표준 43 2 3 2 2" xfId="3964"/>
    <cellStyle name="표준 43 2 3 2 2 2" xfId="4113"/>
    <cellStyle name="표준 43 2 3 2 2 2 2" xfId="4411"/>
    <cellStyle name="표준 43 2 3 2 2 2 2 2" xfId="4985"/>
    <cellStyle name="표준 43 2 3 2 2 2 2 2 2" xfId="5882"/>
    <cellStyle name="표준 43 2 3 2 2 2 2 3" xfId="5434"/>
    <cellStyle name="표준 43 2 3 2 2 2 2 4" xfId="6472"/>
    <cellStyle name="표준 43 2 3 2 2 2 3" xfId="4262"/>
    <cellStyle name="표준 43 2 3 2 2 2 3 2" xfId="4836"/>
    <cellStyle name="표준 43 2 3 2 2 2 3 2 2" xfId="5733"/>
    <cellStyle name="표준 43 2 3 2 2 2 3 3" xfId="5285"/>
    <cellStyle name="표준 43 2 3 2 2 2 3 4" xfId="6323"/>
    <cellStyle name="표준 43 2 3 2 2 2 4" xfId="4687"/>
    <cellStyle name="표준 43 2 3 2 2 2 4 2" xfId="5584"/>
    <cellStyle name="표준 43 2 3 2 2 2 5" xfId="5136"/>
    <cellStyle name="표준 43 2 3 2 2 2 6" xfId="6174"/>
    <cellStyle name="표준 43 2 3 2 2 3" xfId="4334"/>
    <cellStyle name="표준 43 2 3 2 2 3 2" xfId="4908"/>
    <cellStyle name="표준 43 2 3 2 2 3 2 2" xfId="5805"/>
    <cellStyle name="표준 43 2 3 2 2 3 3" xfId="5357"/>
    <cellStyle name="표준 43 2 3 2 2 3 4" xfId="6395"/>
    <cellStyle name="표준 43 2 3 2 2 4" xfId="4185"/>
    <cellStyle name="표준 43 2 3 2 2 4 2" xfId="4759"/>
    <cellStyle name="표준 43 2 3 2 2 4 2 2" xfId="5656"/>
    <cellStyle name="표준 43 2 3 2 2 4 3" xfId="5208"/>
    <cellStyle name="표준 43 2 3 2 2 4 4" xfId="6246"/>
    <cellStyle name="표준 43 2 3 2 2 5" xfId="4610"/>
    <cellStyle name="표준 43 2 3 2 2 5 2" xfId="5507"/>
    <cellStyle name="표준 43 2 3 2 2 6" xfId="5059"/>
    <cellStyle name="표준 43 2 3 2 2 7" xfId="6095"/>
    <cellStyle name="표준 43 2 3 2 3" xfId="3990"/>
    <cellStyle name="표준 43 2 3 2 3 2" xfId="4139"/>
    <cellStyle name="표준 43 2 3 2 3 2 2" xfId="4437"/>
    <cellStyle name="표준 43 2 3 2 3 2 2 2" xfId="5011"/>
    <cellStyle name="표준 43 2 3 2 3 2 2 2 2" xfId="5908"/>
    <cellStyle name="표준 43 2 3 2 3 2 2 3" xfId="5460"/>
    <cellStyle name="표준 43 2 3 2 3 2 2 4" xfId="6498"/>
    <cellStyle name="표준 43 2 3 2 3 2 3" xfId="4288"/>
    <cellStyle name="표준 43 2 3 2 3 2 3 2" xfId="4862"/>
    <cellStyle name="표준 43 2 3 2 3 2 3 2 2" xfId="5759"/>
    <cellStyle name="표준 43 2 3 2 3 2 3 3" xfId="5311"/>
    <cellStyle name="표준 43 2 3 2 3 2 3 4" xfId="6349"/>
    <cellStyle name="표준 43 2 3 2 3 2 4" xfId="4713"/>
    <cellStyle name="표준 43 2 3 2 3 2 4 2" xfId="5610"/>
    <cellStyle name="표준 43 2 3 2 3 2 5" xfId="5162"/>
    <cellStyle name="표준 43 2 3 2 3 2 6" xfId="6200"/>
    <cellStyle name="표준 43 2 3 2 3 3" xfId="4360"/>
    <cellStyle name="표준 43 2 3 2 3 3 2" xfId="4934"/>
    <cellStyle name="표준 43 2 3 2 3 3 2 2" xfId="5831"/>
    <cellStyle name="표준 43 2 3 2 3 3 3" xfId="5383"/>
    <cellStyle name="표준 43 2 3 2 3 3 4" xfId="6421"/>
    <cellStyle name="표준 43 2 3 2 3 4" xfId="4211"/>
    <cellStyle name="표준 43 2 3 2 3 4 2" xfId="4785"/>
    <cellStyle name="표준 43 2 3 2 3 4 2 2" xfId="5682"/>
    <cellStyle name="표준 43 2 3 2 3 4 3" xfId="5234"/>
    <cellStyle name="표준 43 2 3 2 3 4 4" xfId="6272"/>
    <cellStyle name="표준 43 2 3 2 3 5" xfId="4636"/>
    <cellStyle name="표준 43 2 3 2 3 5 2" xfId="5533"/>
    <cellStyle name="표준 43 2 3 2 3 6" xfId="5085"/>
    <cellStyle name="표준 43 2 3 2 3 7" xfId="6121"/>
    <cellStyle name="표준 43 2 3 2 4" xfId="4089"/>
    <cellStyle name="표준 43 2 3 2 4 2" xfId="4387"/>
    <cellStyle name="표준 43 2 3 2 4 2 2" xfId="4961"/>
    <cellStyle name="표준 43 2 3 2 4 2 2 2" xfId="5858"/>
    <cellStyle name="표준 43 2 3 2 4 2 3" xfId="5410"/>
    <cellStyle name="표준 43 2 3 2 4 2 4" xfId="6448"/>
    <cellStyle name="표준 43 2 3 2 4 3" xfId="4238"/>
    <cellStyle name="표준 43 2 3 2 4 3 2" xfId="4812"/>
    <cellStyle name="표준 43 2 3 2 4 3 2 2" xfId="5709"/>
    <cellStyle name="표준 43 2 3 2 4 3 3" xfId="5261"/>
    <cellStyle name="표준 43 2 3 2 4 3 4" xfId="6299"/>
    <cellStyle name="표준 43 2 3 2 4 4" xfId="4663"/>
    <cellStyle name="표준 43 2 3 2 4 4 2" xfId="5560"/>
    <cellStyle name="표준 43 2 3 2 4 5" xfId="5112"/>
    <cellStyle name="표준 43 2 3 2 4 6" xfId="6150"/>
    <cellStyle name="표준 43 2 3 2 5" xfId="4310"/>
    <cellStyle name="표준 43 2 3 2 5 2" xfId="4884"/>
    <cellStyle name="표준 43 2 3 2 5 2 2" xfId="5781"/>
    <cellStyle name="표준 43 2 3 2 5 3" xfId="5333"/>
    <cellStyle name="표준 43 2 3 2 5 4" xfId="6371"/>
    <cellStyle name="표준 43 2 3 2 6" xfId="4161"/>
    <cellStyle name="표준 43 2 3 2 6 2" xfId="4735"/>
    <cellStyle name="표준 43 2 3 2 6 2 2" xfId="5632"/>
    <cellStyle name="표준 43 2 3 2 6 3" xfId="5184"/>
    <cellStyle name="표준 43 2 3 2 6 4" xfId="6222"/>
    <cellStyle name="표준 43 2 3 2 7" xfId="4586"/>
    <cellStyle name="표준 43 2 3 2 7 2" xfId="5483"/>
    <cellStyle name="표준 43 2 3 2 8" xfId="5035"/>
    <cellStyle name="표준 43 2 3 2 9" xfId="6066"/>
    <cellStyle name="표준 43 2 3 3" xfId="3953"/>
    <cellStyle name="표준 43 2 3 3 2" xfId="4102"/>
    <cellStyle name="표준 43 2 3 3 2 2" xfId="4400"/>
    <cellStyle name="표준 43 2 3 3 2 2 2" xfId="4974"/>
    <cellStyle name="표준 43 2 3 3 2 2 2 2" xfId="5871"/>
    <cellStyle name="표준 43 2 3 3 2 2 3" xfId="5423"/>
    <cellStyle name="표준 43 2 3 3 2 2 4" xfId="6461"/>
    <cellStyle name="표준 43 2 3 3 2 3" xfId="4251"/>
    <cellStyle name="표준 43 2 3 3 2 3 2" xfId="4825"/>
    <cellStyle name="표준 43 2 3 3 2 3 2 2" xfId="5722"/>
    <cellStyle name="표준 43 2 3 3 2 3 3" xfId="5274"/>
    <cellStyle name="표준 43 2 3 3 2 3 4" xfId="6312"/>
    <cellStyle name="표준 43 2 3 3 2 4" xfId="4676"/>
    <cellStyle name="표준 43 2 3 3 2 4 2" xfId="5573"/>
    <cellStyle name="표준 43 2 3 3 2 5" xfId="5125"/>
    <cellStyle name="표준 43 2 3 3 2 6" xfId="6163"/>
    <cellStyle name="표준 43 2 3 3 3" xfId="4323"/>
    <cellStyle name="표준 43 2 3 3 3 2" xfId="4897"/>
    <cellStyle name="표준 43 2 3 3 3 2 2" xfId="5794"/>
    <cellStyle name="표준 43 2 3 3 3 3" xfId="5346"/>
    <cellStyle name="표준 43 2 3 3 3 4" xfId="6384"/>
    <cellStyle name="표준 43 2 3 3 4" xfId="4174"/>
    <cellStyle name="표준 43 2 3 3 4 2" xfId="4748"/>
    <cellStyle name="표준 43 2 3 3 4 2 2" xfId="5645"/>
    <cellStyle name="표준 43 2 3 3 4 3" xfId="5197"/>
    <cellStyle name="표준 43 2 3 3 4 4" xfId="6235"/>
    <cellStyle name="표준 43 2 3 3 5" xfId="4599"/>
    <cellStyle name="표준 43 2 3 3 5 2" xfId="5496"/>
    <cellStyle name="표준 43 2 3 3 6" xfId="5048"/>
    <cellStyle name="표준 43 2 3 3 7" xfId="6084"/>
    <cellStyle name="표준 43 2 3 4" xfId="3979"/>
    <cellStyle name="표준 43 2 3 4 2" xfId="4128"/>
    <cellStyle name="표준 43 2 3 4 2 2" xfId="4426"/>
    <cellStyle name="표준 43 2 3 4 2 2 2" xfId="5000"/>
    <cellStyle name="표준 43 2 3 4 2 2 2 2" xfId="5897"/>
    <cellStyle name="표준 43 2 3 4 2 2 3" xfId="5449"/>
    <cellStyle name="표준 43 2 3 4 2 2 4" xfId="6487"/>
    <cellStyle name="표준 43 2 3 4 2 3" xfId="4277"/>
    <cellStyle name="표준 43 2 3 4 2 3 2" xfId="4851"/>
    <cellStyle name="표준 43 2 3 4 2 3 2 2" xfId="5748"/>
    <cellStyle name="표준 43 2 3 4 2 3 3" xfId="5300"/>
    <cellStyle name="표준 43 2 3 4 2 3 4" xfId="6338"/>
    <cellStyle name="표준 43 2 3 4 2 4" xfId="4702"/>
    <cellStyle name="표준 43 2 3 4 2 4 2" xfId="5599"/>
    <cellStyle name="표준 43 2 3 4 2 5" xfId="5151"/>
    <cellStyle name="표준 43 2 3 4 2 6" xfId="6189"/>
    <cellStyle name="표준 43 2 3 4 3" xfId="4349"/>
    <cellStyle name="표준 43 2 3 4 3 2" xfId="4923"/>
    <cellStyle name="표준 43 2 3 4 3 2 2" xfId="5820"/>
    <cellStyle name="표준 43 2 3 4 3 3" xfId="5372"/>
    <cellStyle name="표준 43 2 3 4 3 4" xfId="6410"/>
    <cellStyle name="표준 43 2 3 4 4" xfId="4200"/>
    <cellStyle name="표준 43 2 3 4 4 2" xfId="4774"/>
    <cellStyle name="표준 43 2 3 4 4 2 2" xfId="5671"/>
    <cellStyle name="표준 43 2 3 4 4 3" xfId="5223"/>
    <cellStyle name="표준 43 2 3 4 4 4" xfId="6261"/>
    <cellStyle name="표준 43 2 3 4 5" xfId="4625"/>
    <cellStyle name="표준 43 2 3 4 5 2" xfId="5522"/>
    <cellStyle name="표준 43 2 3 4 6" xfId="5074"/>
    <cellStyle name="표준 43 2 3 4 7" xfId="6110"/>
    <cellStyle name="표준 43 2 3 5" xfId="4078"/>
    <cellStyle name="표준 43 2 3 5 2" xfId="4376"/>
    <cellStyle name="표준 43 2 3 5 2 2" xfId="4950"/>
    <cellStyle name="표준 43 2 3 5 2 2 2" xfId="5847"/>
    <cellStyle name="표준 43 2 3 5 2 3" xfId="5399"/>
    <cellStyle name="표준 43 2 3 5 2 4" xfId="6437"/>
    <cellStyle name="표준 43 2 3 5 3" xfId="4227"/>
    <cellStyle name="표준 43 2 3 5 3 2" xfId="4801"/>
    <cellStyle name="표준 43 2 3 5 3 2 2" xfId="5698"/>
    <cellStyle name="표준 43 2 3 5 3 3" xfId="5250"/>
    <cellStyle name="표준 43 2 3 5 3 4" xfId="6288"/>
    <cellStyle name="표준 43 2 3 5 4" xfId="4652"/>
    <cellStyle name="표준 43 2 3 5 4 2" xfId="5549"/>
    <cellStyle name="표준 43 2 3 5 5" xfId="5101"/>
    <cellStyle name="표준 43 2 3 5 6" xfId="6139"/>
    <cellStyle name="표준 43 2 3 6" xfId="4299"/>
    <cellStyle name="표준 43 2 3 6 2" xfId="4873"/>
    <cellStyle name="표준 43 2 3 6 2 2" xfId="5770"/>
    <cellStyle name="표준 43 2 3 6 3" xfId="5322"/>
    <cellStyle name="표준 43 2 3 6 4" xfId="6360"/>
    <cellStyle name="표준 43 2 3 7" xfId="4150"/>
    <cellStyle name="표준 43 2 3 7 2" xfId="4724"/>
    <cellStyle name="표준 43 2 3 7 2 2" xfId="5621"/>
    <cellStyle name="표준 43 2 3 7 3" xfId="5173"/>
    <cellStyle name="표준 43 2 3 7 4" xfId="6211"/>
    <cellStyle name="표준 43 2 3 8" xfId="4575"/>
    <cellStyle name="표준 43 2 3 8 2" xfId="5472"/>
    <cellStyle name="표준 43 2 3 9" xfId="5024"/>
    <cellStyle name="표준 43 2 4" xfId="3789"/>
    <cellStyle name="표준 43 2 4 2" xfId="3957"/>
    <cellStyle name="표준 43 2 4 2 2" xfId="4106"/>
    <cellStyle name="표준 43 2 4 2 2 2" xfId="4404"/>
    <cellStyle name="표준 43 2 4 2 2 2 2" xfId="4978"/>
    <cellStyle name="표준 43 2 4 2 2 2 2 2" xfId="5875"/>
    <cellStyle name="표준 43 2 4 2 2 2 3" xfId="5427"/>
    <cellStyle name="표준 43 2 4 2 2 2 4" xfId="6465"/>
    <cellStyle name="표준 43 2 4 2 2 3" xfId="4255"/>
    <cellStyle name="표준 43 2 4 2 2 3 2" xfId="4829"/>
    <cellStyle name="표준 43 2 4 2 2 3 2 2" xfId="5726"/>
    <cellStyle name="표준 43 2 4 2 2 3 3" xfId="5278"/>
    <cellStyle name="표준 43 2 4 2 2 3 4" xfId="6316"/>
    <cellStyle name="표준 43 2 4 2 2 4" xfId="4680"/>
    <cellStyle name="표준 43 2 4 2 2 4 2" xfId="5577"/>
    <cellStyle name="표준 43 2 4 2 2 5" xfId="5129"/>
    <cellStyle name="표준 43 2 4 2 2 6" xfId="6167"/>
    <cellStyle name="표준 43 2 4 2 3" xfId="4327"/>
    <cellStyle name="표준 43 2 4 2 3 2" xfId="4901"/>
    <cellStyle name="표준 43 2 4 2 3 2 2" xfId="5798"/>
    <cellStyle name="표준 43 2 4 2 3 3" xfId="5350"/>
    <cellStyle name="표준 43 2 4 2 3 4" xfId="6388"/>
    <cellStyle name="표준 43 2 4 2 4" xfId="4178"/>
    <cellStyle name="표준 43 2 4 2 4 2" xfId="4752"/>
    <cellStyle name="표준 43 2 4 2 4 2 2" xfId="5649"/>
    <cellStyle name="표준 43 2 4 2 4 3" xfId="5201"/>
    <cellStyle name="표준 43 2 4 2 4 4" xfId="6239"/>
    <cellStyle name="표준 43 2 4 2 5" xfId="4603"/>
    <cellStyle name="표준 43 2 4 2 5 2" xfId="5500"/>
    <cellStyle name="표준 43 2 4 2 6" xfId="5052"/>
    <cellStyle name="표준 43 2 4 2 7" xfId="6088"/>
    <cellStyle name="표준 43 2 4 3" xfId="3983"/>
    <cellStyle name="표준 43 2 4 3 2" xfId="4132"/>
    <cellStyle name="표준 43 2 4 3 2 2" xfId="4430"/>
    <cellStyle name="표준 43 2 4 3 2 2 2" xfId="5004"/>
    <cellStyle name="표준 43 2 4 3 2 2 2 2" xfId="5901"/>
    <cellStyle name="표준 43 2 4 3 2 2 3" xfId="5453"/>
    <cellStyle name="표준 43 2 4 3 2 2 4" xfId="6491"/>
    <cellStyle name="표준 43 2 4 3 2 3" xfId="4281"/>
    <cellStyle name="표준 43 2 4 3 2 3 2" xfId="4855"/>
    <cellStyle name="표준 43 2 4 3 2 3 2 2" xfId="5752"/>
    <cellStyle name="표준 43 2 4 3 2 3 3" xfId="5304"/>
    <cellStyle name="표준 43 2 4 3 2 3 4" xfId="6342"/>
    <cellStyle name="표준 43 2 4 3 2 4" xfId="4706"/>
    <cellStyle name="표준 43 2 4 3 2 4 2" xfId="5603"/>
    <cellStyle name="표준 43 2 4 3 2 5" xfId="5155"/>
    <cellStyle name="표준 43 2 4 3 2 6" xfId="6193"/>
    <cellStyle name="표준 43 2 4 3 3" xfId="4353"/>
    <cellStyle name="표준 43 2 4 3 3 2" xfId="4927"/>
    <cellStyle name="표준 43 2 4 3 3 2 2" xfId="5824"/>
    <cellStyle name="표준 43 2 4 3 3 3" xfId="5376"/>
    <cellStyle name="표준 43 2 4 3 3 4" xfId="6414"/>
    <cellStyle name="표준 43 2 4 3 4" xfId="4204"/>
    <cellStyle name="표준 43 2 4 3 4 2" xfId="4778"/>
    <cellStyle name="표준 43 2 4 3 4 2 2" xfId="5675"/>
    <cellStyle name="표준 43 2 4 3 4 3" xfId="5227"/>
    <cellStyle name="표준 43 2 4 3 4 4" xfId="6265"/>
    <cellStyle name="표준 43 2 4 3 5" xfId="4629"/>
    <cellStyle name="표준 43 2 4 3 5 2" xfId="5526"/>
    <cellStyle name="표준 43 2 4 3 6" xfId="5078"/>
    <cellStyle name="표준 43 2 4 3 7" xfId="6114"/>
    <cellStyle name="표준 43 2 4 4" xfId="4082"/>
    <cellStyle name="표준 43 2 4 4 2" xfId="4380"/>
    <cellStyle name="표준 43 2 4 4 2 2" xfId="4954"/>
    <cellStyle name="표준 43 2 4 4 2 2 2" xfId="5851"/>
    <cellStyle name="표준 43 2 4 4 2 3" xfId="5403"/>
    <cellStyle name="표준 43 2 4 4 2 4" xfId="6441"/>
    <cellStyle name="표준 43 2 4 4 3" xfId="4231"/>
    <cellStyle name="표준 43 2 4 4 3 2" xfId="4805"/>
    <cellStyle name="표준 43 2 4 4 3 2 2" xfId="5702"/>
    <cellStyle name="표준 43 2 4 4 3 3" xfId="5254"/>
    <cellStyle name="표준 43 2 4 4 3 4" xfId="6292"/>
    <cellStyle name="표준 43 2 4 4 4" xfId="4656"/>
    <cellStyle name="표준 43 2 4 4 4 2" xfId="5553"/>
    <cellStyle name="표준 43 2 4 4 5" xfId="5105"/>
    <cellStyle name="표준 43 2 4 4 6" xfId="6143"/>
    <cellStyle name="표준 43 2 4 5" xfId="4303"/>
    <cellStyle name="표준 43 2 4 5 2" xfId="4877"/>
    <cellStyle name="표준 43 2 4 5 2 2" xfId="5774"/>
    <cellStyle name="표준 43 2 4 5 3" xfId="5326"/>
    <cellStyle name="표준 43 2 4 5 4" xfId="6364"/>
    <cellStyle name="표준 43 2 4 6" xfId="4154"/>
    <cellStyle name="표준 43 2 4 6 2" xfId="4728"/>
    <cellStyle name="표준 43 2 4 6 2 2" xfId="5625"/>
    <cellStyle name="표준 43 2 4 6 3" xfId="5177"/>
    <cellStyle name="표준 43 2 4 6 4" xfId="6215"/>
    <cellStyle name="표준 43 2 4 7" xfId="4579"/>
    <cellStyle name="표준 43 2 4 7 2" xfId="5476"/>
    <cellStyle name="표준 43 2 4 8" xfId="5028"/>
    <cellStyle name="표준 43 2 4 9" xfId="6059"/>
    <cellStyle name="표준 43 2 5" xfId="3802"/>
    <cellStyle name="표준 43 2 5 2" xfId="3968"/>
    <cellStyle name="표준 43 2 5 2 2" xfId="4117"/>
    <cellStyle name="표준 43 2 5 2 2 2" xfId="4415"/>
    <cellStyle name="표준 43 2 5 2 2 2 2" xfId="4989"/>
    <cellStyle name="표준 43 2 5 2 2 2 2 2" xfId="5886"/>
    <cellStyle name="표준 43 2 5 2 2 2 3" xfId="5438"/>
    <cellStyle name="표준 43 2 5 2 2 2 4" xfId="6476"/>
    <cellStyle name="표준 43 2 5 2 2 3" xfId="4266"/>
    <cellStyle name="표준 43 2 5 2 2 3 2" xfId="4840"/>
    <cellStyle name="표준 43 2 5 2 2 3 2 2" xfId="5737"/>
    <cellStyle name="표준 43 2 5 2 2 3 3" xfId="5289"/>
    <cellStyle name="표준 43 2 5 2 2 3 4" xfId="6327"/>
    <cellStyle name="표준 43 2 5 2 2 4" xfId="4691"/>
    <cellStyle name="표준 43 2 5 2 2 4 2" xfId="5588"/>
    <cellStyle name="표준 43 2 5 2 2 5" xfId="5140"/>
    <cellStyle name="표준 43 2 5 2 2 6" xfId="6178"/>
    <cellStyle name="표준 43 2 5 2 3" xfId="4338"/>
    <cellStyle name="표준 43 2 5 2 3 2" xfId="4912"/>
    <cellStyle name="표준 43 2 5 2 3 2 2" xfId="5809"/>
    <cellStyle name="표준 43 2 5 2 3 3" xfId="5361"/>
    <cellStyle name="표준 43 2 5 2 3 4" xfId="6399"/>
    <cellStyle name="표준 43 2 5 2 4" xfId="4189"/>
    <cellStyle name="표준 43 2 5 2 4 2" xfId="4763"/>
    <cellStyle name="표준 43 2 5 2 4 2 2" xfId="5660"/>
    <cellStyle name="표준 43 2 5 2 4 3" xfId="5212"/>
    <cellStyle name="표준 43 2 5 2 4 4" xfId="6250"/>
    <cellStyle name="표준 43 2 5 2 5" xfId="4614"/>
    <cellStyle name="표준 43 2 5 2 5 2" xfId="5511"/>
    <cellStyle name="표준 43 2 5 2 6" xfId="5063"/>
    <cellStyle name="표준 43 2 5 2 7" xfId="6099"/>
    <cellStyle name="표준 43 2 5 3" xfId="4093"/>
    <cellStyle name="표준 43 2 5 3 2" xfId="4391"/>
    <cellStyle name="표준 43 2 5 3 2 2" xfId="4965"/>
    <cellStyle name="표준 43 2 5 3 2 2 2" xfId="5862"/>
    <cellStyle name="표준 43 2 5 3 2 3" xfId="5414"/>
    <cellStyle name="표준 43 2 5 3 2 4" xfId="6452"/>
    <cellStyle name="표준 43 2 5 3 3" xfId="4242"/>
    <cellStyle name="표준 43 2 5 3 3 2" xfId="4816"/>
    <cellStyle name="표준 43 2 5 3 3 2 2" xfId="5713"/>
    <cellStyle name="표준 43 2 5 3 3 3" xfId="5265"/>
    <cellStyle name="표준 43 2 5 3 3 4" xfId="6303"/>
    <cellStyle name="표준 43 2 5 3 4" xfId="4667"/>
    <cellStyle name="표준 43 2 5 3 4 2" xfId="5564"/>
    <cellStyle name="표준 43 2 5 3 5" xfId="5116"/>
    <cellStyle name="표준 43 2 5 3 6" xfId="6154"/>
    <cellStyle name="표준 43 2 5 4" xfId="4314"/>
    <cellStyle name="표준 43 2 5 4 2" xfId="4888"/>
    <cellStyle name="표준 43 2 5 4 2 2" xfId="5785"/>
    <cellStyle name="표준 43 2 5 4 3" xfId="5337"/>
    <cellStyle name="표준 43 2 5 4 4" xfId="6375"/>
    <cellStyle name="표준 43 2 5 5" xfId="4165"/>
    <cellStyle name="표준 43 2 5 5 2" xfId="4739"/>
    <cellStyle name="표준 43 2 5 5 2 2" xfId="5636"/>
    <cellStyle name="표준 43 2 5 5 3" xfId="5188"/>
    <cellStyle name="표준 43 2 5 5 4" xfId="6226"/>
    <cellStyle name="표준 43 2 5 6" xfId="4590"/>
    <cellStyle name="표준 43 2 5 6 2" xfId="5487"/>
    <cellStyle name="표준 43 2 5 7" xfId="5039"/>
    <cellStyle name="표준 43 2 5 8" xfId="6070"/>
    <cellStyle name="표준 43 2 6" xfId="3924"/>
    <cellStyle name="표준 43 2 7" xfId="3972"/>
    <cellStyle name="표준 43 2 7 2" xfId="4121"/>
    <cellStyle name="표준 43 2 7 2 2" xfId="4419"/>
    <cellStyle name="표준 43 2 7 2 2 2" xfId="4993"/>
    <cellStyle name="표준 43 2 7 2 2 2 2" xfId="5890"/>
    <cellStyle name="표준 43 2 7 2 2 3" xfId="5442"/>
    <cellStyle name="표준 43 2 7 2 2 4" xfId="6480"/>
    <cellStyle name="표준 43 2 7 2 3" xfId="4270"/>
    <cellStyle name="표준 43 2 7 2 3 2" xfId="4844"/>
    <cellStyle name="표준 43 2 7 2 3 2 2" xfId="5741"/>
    <cellStyle name="표준 43 2 7 2 3 3" xfId="5293"/>
    <cellStyle name="표준 43 2 7 2 3 4" xfId="6331"/>
    <cellStyle name="표준 43 2 7 2 4" xfId="4695"/>
    <cellStyle name="표준 43 2 7 2 4 2" xfId="5592"/>
    <cellStyle name="표준 43 2 7 2 5" xfId="5144"/>
    <cellStyle name="표준 43 2 7 2 6" xfId="6182"/>
    <cellStyle name="표준 43 2 7 3" xfId="4342"/>
    <cellStyle name="표준 43 2 7 3 2" xfId="4916"/>
    <cellStyle name="표준 43 2 7 3 2 2" xfId="5813"/>
    <cellStyle name="표준 43 2 7 3 3" xfId="5365"/>
    <cellStyle name="표준 43 2 7 3 4" xfId="6403"/>
    <cellStyle name="표준 43 2 7 4" xfId="4193"/>
    <cellStyle name="표준 43 2 7 4 2" xfId="4767"/>
    <cellStyle name="표준 43 2 7 4 2 2" xfId="5664"/>
    <cellStyle name="표준 43 2 7 4 3" xfId="5216"/>
    <cellStyle name="표준 43 2 7 4 4" xfId="6254"/>
    <cellStyle name="표준 43 2 7 5" xfId="4618"/>
    <cellStyle name="표준 43 2 7 5 2" xfId="5515"/>
    <cellStyle name="표준 43 2 7 6" xfId="5067"/>
    <cellStyle name="표준 43 2 7 7" xfId="6103"/>
    <cellStyle name="표준 43 2 8" xfId="4072"/>
    <cellStyle name="표준 43 2 8 2" xfId="4370"/>
    <cellStyle name="표준 43 2 8 2 2" xfId="4944"/>
    <cellStyle name="표준 43 2 8 2 2 2" xfId="5841"/>
    <cellStyle name="표준 43 2 8 2 3" xfId="5393"/>
    <cellStyle name="표준 43 2 8 2 4" xfId="6431"/>
    <cellStyle name="표준 43 2 8 3" xfId="4221"/>
    <cellStyle name="표준 43 2 8 3 2" xfId="4795"/>
    <cellStyle name="표준 43 2 8 3 2 2" xfId="5692"/>
    <cellStyle name="표준 43 2 8 3 3" xfId="5244"/>
    <cellStyle name="표준 43 2 8 3 4" xfId="6282"/>
    <cellStyle name="표준 43 2 8 4" xfId="4646"/>
    <cellStyle name="표준 43 2 8 4 2" xfId="5543"/>
    <cellStyle name="표준 43 2 8 5" xfId="5095"/>
    <cellStyle name="표준 43 2 8 6" xfId="6133"/>
    <cellStyle name="표준 43 2 9" xfId="4292"/>
    <cellStyle name="표준 43 2 9 2" xfId="4866"/>
    <cellStyle name="표준 43 2 9 2 2" xfId="5763"/>
    <cellStyle name="표준 43 2 9 3" xfId="5315"/>
    <cellStyle name="표준 43 2 9 4" xfId="6353"/>
    <cellStyle name="표준 43 3" xfId="3275"/>
    <cellStyle name="표준 43 3 10" xfId="4564"/>
    <cellStyle name="표준 43 3 10 2" xfId="5466"/>
    <cellStyle name="표준 43 3 11" xfId="5018"/>
    <cellStyle name="표준 43 3 12" xfId="6021"/>
    <cellStyle name="표준 43 3 2" xfId="3785"/>
    <cellStyle name="표준 43 3 2 10" xfId="6056"/>
    <cellStyle name="표준 43 3 2 2" xfId="3799"/>
    <cellStyle name="표준 43 3 2 2 2" xfId="3965"/>
    <cellStyle name="표준 43 3 2 2 2 2" xfId="4114"/>
    <cellStyle name="표준 43 3 2 2 2 2 2" xfId="4412"/>
    <cellStyle name="표준 43 3 2 2 2 2 2 2" xfId="4986"/>
    <cellStyle name="표준 43 3 2 2 2 2 2 2 2" xfId="5883"/>
    <cellStyle name="표준 43 3 2 2 2 2 2 3" xfId="5435"/>
    <cellStyle name="표준 43 3 2 2 2 2 2 4" xfId="6473"/>
    <cellStyle name="표준 43 3 2 2 2 2 3" xfId="4263"/>
    <cellStyle name="표준 43 3 2 2 2 2 3 2" xfId="4837"/>
    <cellStyle name="표준 43 3 2 2 2 2 3 2 2" xfId="5734"/>
    <cellStyle name="표준 43 3 2 2 2 2 3 3" xfId="5286"/>
    <cellStyle name="표준 43 3 2 2 2 2 3 4" xfId="6324"/>
    <cellStyle name="표준 43 3 2 2 2 2 4" xfId="4688"/>
    <cellStyle name="표준 43 3 2 2 2 2 4 2" xfId="5585"/>
    <cellStyle name="표준 43 3 2 2 2 2 5" xfId="5137"/>
    <cellStyle name="표준 43 3 2 2 2 2 6" xfId="6175"/>
    <cellStyle name="표준 43 3 2 2 2 3" xfId="4335"/>
    <cellStyle name="표준 43 3 2 2 2 3 2" xfId="4909"/>
    <cellStyle name="표준 43 3 2 2 2 3 2 2" xfId="5806"/>
    <cellStyle name="표준 43 3 2 2 2 3 3" xfId="5358"/>
    <cellStyle name="표준 43 3 2 2 2 3 4" xfId="6396"/>
    <cellStyle name="표준 43 3 2 2 2 4" xfId="4186"/>
    <cellStyle name="표준 43 3 2 2 2 4 2" xfId="4760"/>
    <cellStyle name="표준 43 3 2 2 2 4 2 2" xfId="5657"/>
    <cellStyle name="표준 43 3 2 2 2 4 3" xfId="5209"/>
    <cellStyle name="표준 43 3 2 2 2 4 4" xfId="6247"/>
    <cellStyle name="표준 43 3 2 2 2 5" xfId="4611"/>
    <cellStyle name="표준 43 3 2 2 2 5 2" xfId="5508"/>
    <cellStyle name="표준 43 3 2 2 2 6" xfId="5060"/>
    <cellStyle name="표준 43 3 2 2 2 7" xfId="6096"/>
    <cellStyle name="표준 43 3 2 2 3" xfId="3991"/>
    <cellStyle name="표준 43 3 2 2 3 2" xfId="4140"/>
    <cellStyle name="표준 43 3 2 2 3 2 2" xfId="4438"/>
    <cellStyle name="표준 43 3 2 2 3 2 2 2" xfId="5012"/>
    <cellStyle name="표준 43 3 2 2 3 2 2 2 2" xfId="5909"/>
    <cellStyle name="표준 43 3 2 2 3 2 2 3" xfId="5461"/>
    <cellStyle name="표준 43 3 2 2 3 2 2 4" xfId="6499"/>
    <cellStyle name="표준 43 3 2 2 3 2 3" xfId="4289"/>
    <cellStyle name="표준 43 3 2 2 3 2 3 2" xfId="4863"/>
    <cellStyle name="표준 43 3 2 2 3 2 3 2 2" xfId="5760"/>
    <cellStyle name="표준 43 3 2 2 3 2 3 3" xfId="5312"/>
    <cellStyle name="표준 43 3 2 2 3 2 3 4" xfId="6350"/>
    <cellStyle name="표준 43 3 2 2 3 2 4" xfId="4714"/>
    <cellStyle name="표준 43 3 2 2 3 2 4 2" xfId="5611"/>
    <cellStyle name="표준 43 3 2 2 3 2 5" xfId="5163"/>
    <cellStyle name="표준 43 3 2 2 3 2 6" xfId="6201"/>
    <cellStyle name="표준 43 3 2 2 3 3" xfId="4361"/>
    <cellStyle name="표준 43 3 2 2 3 3 2" xfId="4935"/>
    <cellStyle name="표준 43 3 2 2 3 3 2 2" xfId="5832"/>
    <cellStyle name="표준 43 3 2 2 3 3 3" xfId="5384"/>
    <cellStyle name="표준 43 3 2 2 3 3 4" xfId="6422"/>
    <cellStyle name="표준 43 3 2 2 3 4" xfId="4212"/>
    <cellStyle name="표준 43 3 2 2 3 4 2" xfId="4786"/>
    <cellStyle name="표준 43 3 2 2 3 4 2 2" xfId="5683"/>
    <cellStyle name="표준 43 3 2 2 3 4 3" xfId="5235"/>
    <cellStyle name="표준 43 3 2 2 3 4 4" xfId="6273"/>
    <cellStyle name="표준 43 3 2 2 3 5" xfId="4637"/>
    <cellStyle name="표준 43 3 2 2 3 5 2" xfId="5534"/>
    <cellStyle name="표준 43 3 2 2 3 6" xfId="5086"/>
    <cellStyle name="표준 43 3 2 2 3 7" xfId="6122"/>
    <cellStyle name="표준 43 3 2 2 4" xfId="4090"/>
    <cellStyle name="표준 43 3 2 2 4 2" xfId="4388"/>
    <cellStyle name="표준 43 3 2 2 4 2 2" xfId="4962"/>
    <cellStyle name="표준 43 3 2 2 4 2 2 2" xfId="5859"/>
    <cellStyle name="표준 43 3 2 2 4 2 3" xfId="5411"/>
    <cellStyle name="표준 43 3 2 2 4 2 4" xfId="6449"/>
    <cellStyle name="표준 43 3 2 2 4 3" xfId="4239"/>
    <cellStyle name="표준 43 3 2 2 4 3 2" xfId="4813"/>
    <cellStyle name="표준 43 3 2 2 4 3 2 2" xfId="5710"/>
    <cellStyle name="표준 43 3 2 2 4 3 3" xfId="5262"/>
    <cellStyle name="표준 43 3 2 2 4 3 4" xfId="6300"/>
    <cellStyle name="표준 43 3 2 2 4 4" xfId="4664"/>
    <cellStyle name="표준 43 3 2 2 4 4 2" xfId="5561"/>
    <cellStyle name="표준 43 3 2 2 4 5" xfId="5113"/>
    <cellStyle name="표준 43 3 2 2 4 6" xfId="6151"/>
    <cellStyle name="표준 43 3 2 2 5" xfId="4311"/>
    <cellStyle name="표준 43 3 2 2 5 2" xfId="4885"/>
    <cellStyle name="표준 43 3 2 2 5 2 2" xfId="5782"/>
    <cellStyle name="표준 43 3 2 2 5 3" xfId="5334"/>
    <cellStyle name="표준 43 3 2 2 5 4" xfId="6372"/>
    <cellStyle name="표준 43 3 2 2 6" xfId="4162"/>
    <cellStyle name="표준 43 3 2 2 6 2" xfId="4736"/>
    <cellStyle name="표준 43 3 2 2 6 2 2" xfId="5633"/>
    <cellStyle name="표준 43 3 2 2 6 3" xfId="5185"/>
    <cellStyle name="표준 43 3 2 2 6 4" xfId="6223"/>
    <cellStyle name="표준 43 3 2 2 7" xfId="4587"/>
    <cellStyle name="표준 43 3 2 2 7 2" xfId="5484"/>
    <cellStyle name="표준 43 3 2 2 8" xfId="5036"/>
    <cellStyle name="표준 43 3 2 2 9" xfId="6067"/>
    <cellStyle name="표준 43 3 2 3" xfId="3954"/>
    <cellStyle name="표준 43 3 2 3 2" xfId="4103"/>
    <cellStyle name="표준 43 3 2 3 2 2" xfId="4401"/>
    <cellStyle name="표준 43 3 2 3 2 2 2" xfId="4975"/>
    <cellStyle name="표준 43 3 2 3 2 2 2 2" xfId="5872"/>
    <cellStyle name="표준 43 3 2 3 2 2 3" xfId="5424"/>
    <cellStyle name="표준 43 3 2 3 2 2 4" xfId="6462"/>
    <cellStyle name="표준 43 3 2 3 2 3" xfId="4252"/>
    <cellStyle name="표준 43 3 2 3 2 3 2" xfId="4826"/>
    <cellStyle name="표준 43 3 2 3 2 3 2 2" xfId="5723"/>
    <cellStyle name="표준 43 3 2 3 2 3 3" xfId="5275"/>
    <cellStyle name="표준 43 3 2 3 2 3 4" xfId="6313"/>
    <cellStyle name="표준 43 3 2 3 2 4" xfId="4677"/>
    <cellStyle name="표준 43 3 2 3 2 4 2" xfId="5574"/>
    <cellStyle name="표준 43 3 2 3 2 5" xfId="5126"/>
    <cellStyle name="표준 43 3 2 3 2 6" xfId="6164"/>
    <cellStyle name="표준 43 3 2 3 3" xfId="4324"/>
    <cellStyle name="표준 43 3 2 3 3 2" xfId="4898"/>
    <cellStyle name="표준 43 3 2 3 3 2 2" xfId="5795"/>
    <cellStyle name="표준 43 3 2 3 3 3" xfId="5347"/>
    <cellStyle name="표준 43 3 2 3 3 4" xfId="6385"/>
    <cellStyle name="표준 43 3 2 3 4" xfId="4175"/>
    <cellStyle name="표준 43 3 2 3 4 2" xfId="4749"/>
    <cellStyle name="표준 43 3 2 3 4 2 2" xfId="5646"/>
    <cellStyle name="표준 43 3 2 3 4 3" xfId="5198"/>
    <cellStyle name="표준 43 3 2 3 4 4" xfId="6236"/>
    <cellStyle name="표준 43 3 2 3 5" xfId="4600"/>
    <cellStyle name="표준 43 3 2 3 5 2" xfId="5497"/>
    <cellStyle name="표준 43 3 2 3 6" xfId="5049"/>
    <cellStyle name="표준 43 3 2 3 7" xfId="6085"/>
    <cellStyle name="표준 43 3 2 4" xfId="3980"/>
    <cellStyle name="표준 43 3 2 4 2" xfId="4129"/>
    <cellStyle name="표준 43 3 2 4 2 2" xfId="4427"/>
    <cellStyle name="표준 43 3 2 4 2 2 2" xfId="5001"/>
    <cellStyle name="표준 43 3 2 4 2 2 2 2" xfId="5898"/>
    <cellStyle name="표준 43 3 2 4 2 2 3" xfId="5450"/>
    <cellStyle name="표준 43 3 2 4 2 2 4" xfId="6488"/>
    <cellStyle name="표준 43 3 2 4 2 3" xfId="4278"/>
    <cellStyle name="표준 43 3 2 4 2 3 2" xfId="4852"/>
    <cellStyle name="표준 43 3 2 4 2 3 2 2" xfId="5749"/>
    <cellStyle name="표준 43 3 2 4 2 3 3" xfId="5301"/>
    <cellStyle name="표준 43 3 2 4 2 3 4" xfId="6339"/>
    <cellStyle name="표준 43 3 2 4 2 4" xfId="4703"/>
    <cellStyle name="표준 43 3 2 4 2 4 2" xfId="5600"/>
    <cellStyle name="표준 43 3 2 4 2 5" xfId="5152"/>
    <cellStyle name="표준 43 3 2 4 2 6" xfId="6190"/>
    <cellStyle name="표준 43 3 2 4 3" xfId="4350"/>
    <cellStyle name="표준 43 3 2 4 3 2" xfId="4924"/>
    <cellStyle name="표준 43 3 2 4 3 2 2" xfId="5821"/>
    <cellStyle name="표준 43 3 2 4 3 3" xfId="5373"/>
    <cellStyle name="표준 43 3 2 4 3 4" xfId="6411"/>
    <cellStyle name="표준 43 3 2 4 4" xfId="4201"/>
    <cellStyle name="표준 43 3 2 4 4 2" xfId="4775"/>
    <cellStyle name="표준 43 3 2 4 4 2 2" xfId="5672"/>
    <cellStyle name="표준 43 3 2 4 4 3" xfId="5224"/>
    <cellStyle name="표준 43 3 2 4 4 4" xfId="6262"/>
    <cellStyle name="표준 43 3 2 4 5" xfId="4626"/>
    <cellStyle name="표준 43 3 2 4 5 2" xfId="5523"/>
    <cellStyle name="표준 43 3 2 4 6" xfId="5075"/>
    <cellStyle name="표준 43 3 2 4 7" xfId="6111"/>
    <cellStyle name="표준 43 3 2 5" xfId="4079"/>
    <cellStyle name="표준 43 3 2 5 2" xfId="4377"/>
    <cellStyle name="표준 43 3 2 5 2 2" xfId="4951"/>
    <cellStyle name="표준 43 3 2 5 2 2 2" xfId="5848"/>
    <cellStyle name="표준 43 3 2 5 2 3" xfId="5400"/>
    <cellStyle name="표준 43 3 2 5 2 4" xfId="6438"/>
    <cellStyle name="표준 43 3 2 5 3" xfId="4228"/>
    <cellStyle name="표준 43 3 2 5 3 2" xfId="4802"/>
    <cellStyle name="표준 43 3 2 5 3 2 2" xfId="5699"/>
    <cellStyle name="표준 43 3 2 5 3 3" xfId="5251"/>
    <cellStyle name="표준 43 3 2 5 3 4" xfId="6289"/>
    <cellStyle name="표준 43 3 2 5 4" xfId="4653"/>
    <cellStyle name="표준 43 3 2 5 4 2" xfId="5550"/>
    <cellStyle name="표준 43 3 2 5 5" xfId="5102"/>
    <cellStyle name="표준 43 3 2 5 6" xfId="6140"/>
    <cellStyle name="표준 43 3 2 6" xfId="4300"/>
    <cellStyle name="표준 43 3 2 6 2" xfId="4874"/>
    <cellStyle name="표준 43 3 2 6 2 2" xfId="5771"/>
    <cellStyle name="표준 43 3 2 6 3" xfId="5323"/>
    <cellStyle name="표준 43 3 2 6 4" xfId="6361"/>
    <cellStyle name="표준 43 3 2 7" xfId="4151"/>
    <cellStyle name="표준 43 3 2 7 2" xfId="4725"/>
    <cellStyle name="표준 43 3 2 7 2 2" xfId="5622"/>
    <cellStyle name="표준 43 3 2 7 3" xfId="5174"/>
    <cellStyle name="표준 43 3 2 7 4" xfId="6212"/>
    <cellStyle name="표준 43 3 2 8" xfId="4576"/>
    <cellStyle name="표준 43 3 2 8 2" xfId="5473"/>
    <cellStyle name="표준 43 3 2 9" xfId="5025"/>
    <cellStyle name="표준 43 3 3" xfId="3790"/>
    <cellStyle name="표준 43 3 3 2" xfId="3958"/>
    <cellStyle name="표준 43 3 3 2 2" xfId="4107"/>
    <cellStyle name="표준 43 3 3 2 2 2" xfId="4405"/>
    <cellStyle name="표준 43 3 3 2 2 2 2" xfId="4979"/>
    <cellStyle name="표준 43 3 3 2 2 2 2 2" xfId="5876"/>
    <cellStyle name="표준 43 3 3 2 2 2 3" xfId="5428"/>
    <cellStyle name="표준 43 3 3 2 2 2 4" xfId="6466"/>
    <cellStyle name="표준 43 3 3 2 2 3" xfId="4256"/>
    <cellStyle name="표준 43 3 3 2 2 3 2" xfId="4830"/>
    <cellStyle name="표준 43 3 3 2 2 3 2 2" xfId="5727"/>
    <cellStyle name="표준 43 3 3 2 2 3 3" xfId="5279"/>
    <cellStyle name="표준 43 3 3 2 2 3 4" xfId="6317"/>
    <cellStyle name="표준 43 3 3 2 2 4" xfId="4681"/>
    <cellStyle name="표준 43 3 3 2 2 4 2" xfId="5578"/>
    <cellStyle name="표준 43 3 3 2 2 5" xfId="5130"/>
    <cellStyle name="표준 43 3 3 2 2 6" xfId="6168"/>
    <cellStyle name="표준 43 3 3 2 3" xfId="4328"/>
    <cellStyle name="표준 43 3 3 2 3 2" xfId="4902"/>
    <cellStyle name="표준 43 3 3 2 3 2 2" xfId="5799"/>
    <cellStyle name="표준 43 3 3 2 3 3" xfId="5351"/>
    <cellStyle name="표준 43 3 3 2 3 4" xfId="6389"/>
    <cellStyle name="표준 43 3 3 2 4" xfId="4179"/>
    <cellStyle name="표준 43 3 3 2 4 2" xfId="4753"/>
    <cellStyle name="표준 43 3 3 2 4 2 2" xfId="5650"/>
    <cellStyle name="표준 43 3 3 2 4 3" xfId="5202"/>
    <cellStyle name="표준 43 3 3 2 4 4" xfId="6240"/>
    <cellStyle name="표준 43 3 3 2 5" xfId="4604"/>
    <cellStyle name="표준 43 3 3 2 5 2" xfId="5501"/>
    <cellStyle name="표준 43 3 3 2 6" xfId="5053"/>
    <cellStyle name="표준 43 3 3 2 7" xfId="6089"/>
    <cellStyle name="표준 43 3 3 3" xfId="3984"/>
    <cellStyle name="표준 43 3 3 3 2" xfId="4133"/>
    <cellStyle name="표준 43 3 3 3 2 2" xfId="4431"/>
    <cellStyle name="표준 43 3 3 3 2 2 2" xfId="5005"/>
    <cellStyle name="표준 43 3 3 3 2 2 2 2" xfId="5902"/>
    <cellStyle name="표준 43 3 3 3 2 2 3" xfId="5454"/>
    <cellStyle name="표준 43 3 3 3 2 2 4" xfId="6492"/>
    <cellStyle name="표준 43 3 3 3 2 3" xfId="4282"/>
    <cellStyle name="표준 43 3 3 3 2 3 2" xfId="4856"/>
    <cellStyle name="표준 43 3 3 3 2 3 2 2" xfId="5753"/>
    <cellStyle name="표준 43 3 3 3 2 3 3" xfId="5305"/>
    <cellStyle name="표준 43 3 3 3 2 3 4" xfId="6343"/>
    <cellStyle name="표준 43 3 3 3 2 4" xfId="4707"/>
    <cellStyle name="표준 43 3 3 3 2 4 2" xfId="5604"/>
    <cellStyle name="표준 43 3 3 3 2 5" xfId="5156"/>
    <cellStyle name="표준 43 3 3 3 2 6" xfId="6194"/>
    <cellStyle name="표준 43 3 3 3 3" xfId="4354"/>
    <cellStyle name="표준 43 3 3 3 3 2" xfId="4928"/>
    <cellStyle name="표준 43 3 3 3 3 2 2" xfId="5825"/>
    <cellStyle name="표준 43 3 3 3 3 3" xfId="5377"/>
    <cellStyle name="표준 43 3 3 3 3 4" xfId="6415"/>
    <cellStyle name="표준 43 3 3 3 4" xfId="4205"/>
    <cellStyle name="표준 43 3 3 3 4 2" xfId="4779"/>
    <cellStyle name="표준 43 3 3 3 4 2 2" xfId="5676"/>
    <cellStyle name="표준 43 3 3 3 4 3" xfId="5228"/>
    <cellStyle name="표준 43 3 3 3 4 4" xfId="6266"/>
    <cellStyle name="표준 43 3 3 3 5" xfId="4630"/>
    <cellStyle name="표준 43 3 3 3 5 2" xfId="5527"/>
    <cellStyle name="표준 43 3 3 3 6" xfId="5079"/>
    <cellStyle name="표준 43 3 3 3 7" xfId="6115"/>
    <cellStyle name="표준 43 3 3 4" xfId="4083"/>
    <cellStyle name="표준 43 3 3 4 2" xfId="4381"/>
    <cellStyle name="표준 43 3 3 4 2 2" xfId="4955"/>
    <cellStyle name="표준 43 3 3 4 2 2 2" xfId="5852"/>
    <cellStyle name="표준 43 3 3 4 2 3" xfId="5404"/>
    <cellStyle name="표준 43 3 3 4 2 4" xfId="6442"/>
    <cellStyle name="표준 43 3 3 4 3" xfId="4232"/>
    <cellStyle name="표준 43 3 3 4 3 2" xfId="4806"/>
    <cellStyle name="표준 43 3 3 4 3 2 2" xfId="5703"/>
    <cellStyle name="표준 43 3 3 4 3 3" xfId="5255"/>
    <cellStyle name="표준 43 3 3 4 3 4" xfId="6293"/>
    <cellStyle name="표준 43 3 3 4 4" xfId="4657"/>
    <cellStyle name="표준 43 3 3 4 4 2" xfId="5554"/>
    <cellStyle name="표준 43 3 3 4 5" xfId="5106"/>
    <cellStyle name="표준 43 3 3 4 6" xfId="6144"/>
    <cellStyle name="표준 43 3 3 5" xfId="4304"/>
    <cellStyle name="표준 43 3 3 5 2" xfId="4878"/>
    <cellStyle name="표준 43 3 3 5 2 2" xfId="5775"/>
    <cellStyle name="표준 43 3 3 5 3" xfId="5327"/>
    <cellStyle name="표준 43 3 3 5 4" xfId="6365"/>
    <cellStyle name="표준 43 3 3 6" xfId="4155"/>
    <cellStyle name="표준 43 3 3 6 2" xfId="4729"/>
    <cellStyle name="표준 43 3 3 6 2 2" xfId="5626"/>
    <cellStyle name="표준 43 3 3 6 3" xfId="5178"/>
    <cellStyle name="표준 43 3 3 6 4" xfId="6216"/>
    <cellStyle name="표준 43 3 3 7" xfId="4580"/>
    <cellStyle name="표준 43 3 3 7 2" xfId="5477"/>
    <cellStyle name="표준 43 3 3 8" xfId="5029"/>
    <cellStyle name="표준 43 3 3 9" xfId="6060"/>
    <cellStyle name="표준 43 3 4" xfId="3803"/>
    <cellStyle name="표준 43 3 4 2" xfId="3969"/>
    <cellStyle name="표준 43 3 4 2 2" xfId="4118"/>
    <cellStyle name="표준 43 3 4 2 2 2" xfId="4416"/>
    <cellStyle name="표준 43 3 4 2 2 2 2" xfId="4990"/>
    <cellStyle name="표준 43 3 4 2 2 2 2 2" xfId="5887"/>
    <cellStyle name="표준 43 3 4 2 2 2 3" xfId="5439"/>
    <cellStyle name="표준 43 3 4 2 2 2 4" xfId="6477"/>
    <cellStyle name="표준 43 3 4 2 2 3" xfId="4267"/>
    <cellStyle name="표준 43 3 4 2 2 3 2" xfId="4841"/>
    <cellStyle name="표준 43 3 4 2 2 3 2 2" xfId="5738"/>
    <cellStyle name="표준 43 3 4 2 2 3 3" xfId="5290"/>
    <cellStyle name="표준 43 3 4 2 2 3 4" xfId="6328"/>
    <cellStyle name="표준 43 3 4 2 2 4" xfId="4692"/>
    <cellStyle name="표준 43 3 4 2 2 4 2" xfId="5589"/>
    <cellStyle name="표준 43 3 4 2 2 5" xfId="5141"/>
    <cellStyle name="표준 43 3 4 2 2 6" xfId="6179"/>
    <cellStyle name="표준 43 3 4 2 3" xfId="4339"/>
    <cellStyle name="표준 43 3 4 2 3 2" xfId="4913"/>
    <cellStyle name="표준 43 3 4 2 3 2 2" xfId="5810"/>
    <cellStyle name="표준 43 3 4 2 3 3" xfId="5362"/>
    <cellStyle name="표준 43 3 4 2 3 4" xfId="6400"/>
    <cellStyle name="표준 43 3 4 2 4" xfId="4190"/>
    <cellStyle name="표준 43 3 4 2 4 2" xfId="4764"/>
    <cellStyle name="표준 43 3 4 2 4 2 2" xfId="5661"/>
    <cellStyle name="표준 43 3 4 2 4 3" xfId="5213"/>
    <cellStyle name="표준 43 3 4 2 4 4" xfId="6251"/>
    <cellStyle name="표준 43 3 4 2 5" xfId="4615"/>
    <cellStyle name="표준 43 3 4 2 5 2" xfId="5512"/>
    <cellStyle name="표준 43 3 4 2 6" xfId="5064"/>
    <cellStyle name="표준 43 3 4 2 7" xfId="6100"/>
    <cellStyle name="표준 43 3 4 3" xfId="4094"/>
    <cellStyle name="표준 43 3 4 3 2" xfId="4392"/>
    <cellStyle name="표준 43 3 4 3 2 2" xfId="4966"/>
    <cellStyle name="표준 43 3 4 3 2 2 2" xfId="5863"/>
    <cellStyle name="표준 43 3 4 3 2 3" xfId="5415"/>
    <cellStyle name="표준 43 3 4 3 2 4" xfId="6453"/>
    <cellStyle name="표준 43 3 4 3 3" xfId="4243"/>
    <cellStyle name="표준 43 3 4 3 3 2" xfId="4817"/>
    <cellStyle name="표준 43 3 4 3 3 2 2" xfId="5714"/>
    <cellStyle name="표준 43 3 4 3 3 3" xfId="5266"/>
    <cellStyle name="표준 43 3 4 3 3 4" xfId="6304"/>
    <cellStyle name="표준 43 3 4 3 4" xfId="4668"/>
    <cellStyle name="표준 43 3 4 3 4 2" xfId="5565"/>
    <cellStyle name="표준 43 3 4 3 5" xfId="5117"/>
    <cellStyle name="표준 43 3 4 3 6" xfId="6155"/>
    <cellStyle name="표준 43 3 4 4" xfId="4315"/>
    <cellStyle name="표준 43 3 4 4 2" xfId="4889"/>
    <cellStyle name="표준 43 3 4 4 2 2" xfId="5786"/>
    <cellStyle name="표준 43 3 4 4 3" xfId="5338"/>
    <cellStyle name="표준 43 3 4 4 4" xfId="6376"/>
    <cellStyle name="표준 43 3 4 5" xfId="4166"/>
    <cellStyle name="표준 43 3 4 5 2" xfId="4740"/>
    <cellStyle name="표준 43 3 4 5 2 2" xfId="5637"/>
    <cellStyle name="표준 43 3 4 5 3" xfId="5189"/>
    <cellStyle name="표준 43 3 4 5 4" xfId="6227"/>
    <cellStyle name="표준 43 3 4 6" xfId="4591"/>
    <cellStyle name="표준 43 3 4 6 2" xfId="5488"/>
    <cellStyle name="표준 43 3 4 7" xfId="5040"/>
    <cellStyle name="표준 43 3 4 8" xfId="6071"/>
    <cellStyle name="표준 43 3 5" xfId="3936"/>
    <cellStyle name="표준 43 3 5 2" xfId="4098"/>
    <cellStyle name="표준 43 3 5 2 2" xfId="4396"/>
    <cellStyle name="표준 43 3 5 2 2 2" xfId="4970"/>
    <cellStyle name="표준 43 3 5 2 2 2 2" xfId="5867"/>
    <cellStyle name="표준 43 3 5 2 2 3" xfId="5419"/>
    <cellStyle name="표준 43 3 5 2 2 4" xfId="6457"/>
    <cellStyle name="표준 43 3 5 2 3" xfId="4247"/>
    <cellStyle name="표준 43 3 5 2 3 2" xfId="4821"/>
    <cellStyle name="표준 43 3 5 2 3 2 2" xfId="5718"/>
    <cellStyle name="표준 43 3 5 2 3 3" xfId="5270"/>
    <cellStyle name="표준 43 3 5 2 3 4" xfId="6308"/>
    <cellStyle name="표준 43 3 5 2 4" xfId="4672"/>
    <cellStyle name="표준 43 3 5 2 4 2" xfId="5569"/>
    <cellStyle name="표준 43 3 5 2 5" xfId="5121"/>
    <cellStyle name="표준 43 3 5 2 6" xfId="6159"/>
    <cellStyle name="표준 43 3 5 3" xfId="4319"/>
    <cellStyle name="표준 43 3 5 3 2" xfId="4893"/>
    <cellStyle name="표준 43 3 5 3 2 2" xfId="5790"/>
    <cellStyle name="표준 43 3 5 3 3" xfId="5342"/>
    <cellStyle name="표준 43 3 5 3 4" xfId="6380"/>
    <cellStyle name="표준 43 3 5 4" xfId="4170"/>
    <cellStyle name="표준 43 3 5 4 2" xfId="4744"/>
    <cellStyle name="표준 43 3 5 4 2 2" xfId="5641"/>
    <cellStyle name="표준 43 3 5 4 3" xfId="5193"/>
    <cellStyle name="표준 43 3 5 4 4" xfId="6231"/>
    <cellStyle name="표준 43 3 5 5" xfId="4595"/>
    <cellStyle name="표준 43 3 5 5 2" xfId="5492"/>
    <cellStyle name="표준 43 3 5 6" xfId="5044"/>
    <cellStyle name="표준 43 3 5 7" xfId="6080"/>
    <cellStyle name="표준 43 3 6" xfId="3973"/>
    <cellStyle name="표준 43 3 6 2" xfId="4122"/>
    <cellStyle name="표준 43 3 6 2 2" xfId="4420"/>
    <cellStyle name="표준 43 3 6 2 2 2" xfId="4994"/>
    <cellStyle name="표준 43 3 6 2 2 2 2" xfId="5891"/>
    <cellStyle name="표준 43 3 6 2 2 3" xfId="5443"/>
    <cellStyle name="표준 43 3 6 2 2 4" xfId="6481"/>
    <cellStyle name="표준 43 3 6 2 3" xfId="4271"/>
    <cellStyle name="표준 43 3 6 2 3 2" xfId="4845"/>
    <cellStyle name="표준 43 3 6 2 3 2 2" xfId="5742"/>
    <cellStyle name="표준 43 3 6 2 3 3" xfId="5294"/>
    <cellStyle name="표준 43 3 6 2 3 4" xfId="6332"/>
    <cellStyle name="표준 43 3 6 2 4" xfId="4696"/>
    <cellStyle name="표준 43 3 6 2 4 2" xfId="5593"/>
    <cellStyle name="표준 43 3 6 2 5" xfId="5145"/>
    <cellStyle name="표준 43 3 6 2 6" xfId="6183"/>
    <cellStyle name="표준 43 3 6 3" xfId="4343"/>
    <cellStyle name="표준 43 3 6 3 2" xfId="4917"/>
    <cellStyle name="표준 43 3 6 3 2 2" xfId="5814"/>
    <cellStyle name="표준 43 3 6 3 3" xfId="5366"/>
    <cellStyle name="표준 43 3 6 3 4" xfId="6404"/>
    <cellStyle name="표준 43 3 6 4" xfId="4194"/>
    <cellStyle name="표준 43 3 6 4 2" xfId="4768"/>
    <cellStyle name="표준 43 3 6 4 2 2" xfId="5665"/>
    <cellStyle name="표준 43 3 6 4 3" xfId="5217"/>
    <cellStyle name="표준 43 3 6 4 4" xfId="6255"/>
    <cellStyle name="표준 43 3 6 5" xfId="4619"/>
    <cellStyle name="표준 43 3 6 5 2" xfId="5516"/>
    <cellStyle name="표준 43 3 6 6" xfId="5068"/>
    <cellStyle name="표준 43 3 6 7" xfId="6104"/>
    <cellStyle name="표준 43 3 7" xfId="4071"/>
    <cellStyle name="표준 43 3 7 2" xfId="4369"/>
    <cellStyle name="표준 43 3 7 2 2" xfId="4943"/>
    <cellStyle name="표준 43 3 7 2 2 2" xfId="5840"/>
    <cellStyle name="표준 43 3 7 2 3" xfId="5392"/>
    <cellStyle name="표준 43 3 7 2 4" xfId="6430"/>
    <cellStyle name="표준 43 3 7 3" xfId="4220"/>
    <cellStyle name="표준 43 3 7 3 2" xfId="4794"/>
    <cellStyle name="표준 43 3 7 3 2 2" xfId="5691"/>
    <cellStyle name="표준 43 3 7 3 3" xfId="5243"/>
    <cellStyle name="표준 43 3 7 3 4" xfId="6281"/>
    <cellStyle name="표준 43 3 7 4" xfId="4645"/>
    <cellStyle name="표준 43 3 7 4 2" xfId="5542"/>
    <cellStyle name="표준 43 3 7 5" xfId="5094"/>
    <cellStyle name="표준 43 3 7 6" xfId="6132"/>
    <cellStyle name="표준 43 3 8" xfId="4293"/>
    <cellStyle name="표준 43 3 8 2" xfId="4867"/>
    <cellStyle name="표준 43 3 8 2 2" xfId="5764"/>
    <cellStyle name="표준 43 3 8 3" xfId="5316"/>
    <cellStyle name="표준 43 3 8 4" xfId="6354"/>
    <cellStyle name="표준 43 3 9" xfId="4144"/>
    <cellStyle name="표준 43 3 9 2" xfId="4718"/>
    <cellStyle name="표준 43 3 9 2 2" xfId="5615"/>
    <cellStyle name="표준 43 3 9 3" xfId="5167"/>
    <cellStyle name="표준 43 3 9 4" xfId="6205"/>
    <cellStyle name="표준 43 4" xfId="3273"/>
    <cellStyle name="표준 43 4 10" xfId="6019"/>
    <cellStyle name="표준 43 4 2" xfId="3788"/>
    <cellStyle name="표준 43 4 2 2" xfId="3956"/>
    <cellStyle name="표준 43 4 2 2 2" xfId="4105"/>
    <cellStyle name="표준 43 4 2 2 2 2" xfId="4403"/>
    <cellStyle name="표준 43 4 2 2 2 2 2" xfId="4977"/>
    <cellStyle name="표준 43 4 2 2 2 2 2 2" xfId="5874"/>
    <cellStyle name="표준 43 4 2 2 2 2 3" xfId="5426"/>
    <cellStyle name="표준 43 4 2 2 2 2 4" xfId="6464"/>
    <cellStyle name="표준 43 4 2 2 2 3" xfId="4254"/>
    <cellStyle name="표준 43 4 2 2 2 3 2" xfId="4828"/>
    <cellStyle name="표준 43 4 2 2 2 3 2 2" xfId="5725"/>
    <cellStyle name="표준 43 4 2 2 2 3 3" xfId="5277"/>
    <cellStyle name="표준 43 4 2 2 2 3 4" xfId="6315"/>
    <cellStyle name="표준 43 4 2 2 2 4" xfId="4679"/>
    <cellStyle name="표준 43 4 2 2 2 4 2" xfId="5576"/>
    <cellStyle name="표준 43 4 2 2 2 5" xfId="5128"/>
    <cellStyle name="표준 43 4 2 2 2 6" xfId="6166"/>
    <cellStyle name="표준 43 4 2 2 3" xfId="4326"/>
    <cellStyle name="표준 43 4 2 2 3 2" xfId="4900"/>
    <cellStyle name="표준 43 4 2 2 3 2 2" xfId="5797"/>
    <cellStyle name="표준 43 4 2 2 3 3" xfId="5349"/>
    <cellStyle name="표준 43 4 2 2 3 4" xfId="6387"/>
    <cellStyle name="표준 43 4 2 2 4" xfId="4177"/>
    <cellStyle name="표준 43 4 2 2 4 2" xfId="4751"/>
    <cellStyle name="표준 43 4 2 2 4 2 2" xfId="5648"/>
    <cellStyle name="표준 43 4 2 2 4 3" xfId="5200"/>
    <cellStyle name="표준 43 4 2 2 4 4" xfId="6238"/>
    <cellStyle name="표준 43 4 2 2 5" xfId="4602"/>
    <cellStyle name="표준 43 4 2 2 5 2" xfId="5499"/>
    <cellStyle name="표준 43 4 2 2 6" xfId="5051"/>
    <cellStyle name="표준 43 4 2 2 7" xfId="6087"/>
    <cellStyle name="표준 43 4 2 3" xfId="3982"/>
    <cellStyle name="표준 43 4 2 3 2" xfId="4131"/>
    <cellStyle name="표준 43 4 2 3 2 2" xfId="4429"/>
    <cellStyle name="표준 43 4 2 3 2 2 2" xfId="5003"/>
    <cellStyle name="표준 43 4 2 3 2 2 2 2" xfId="5900"/>
    <cellStyle name="표준 43 4 2 3 2 2 3" xfId="5452"/>
    <cellStyle name="표준 43 4 2 3 2 2 4" xfId="6490"/>
    <cellStyle name="표준 43 4 2 3 2 3" xfId="4280"/>
    <cellStyle name="표준 43 4 2 3 2 3 2" xfId="4854"/>
    <cellStyle name="표준 43 4 2 3 2 3 2 2" xfId="5751"/>
    <cellStyle name="표준 43 4 2 3 2 3 3" xfId="5303"/>
    <cellStyle name="표준 43 4 2 3 2 3 4" xfId="6341"/>
    <cellStyle name="표준 43 4 2 3 2 4" xfId="4705"/>
    <cellStyle name="표준 43 4 2 3 2 4 2" xfId="5602"/>
    <cellStyle name="표준 43 4 2 3 2 5" xfId="5154"/>
    <cellStyle name="표준 43 4 2 3 2 6" xfId="6192"/>
    <cellStyle name="표준 43 4 2 3 3" xfId="4352"/>
    <cellStyle name="표준 43 4 2 3 3 2" xfId="4926"/>
    <cellStyle name="표준 43 4 2 3 3 2 2" xfId="5823"/>
    <cellStyle name="표준 43 4 2 3 3 3" xfId="5375"/>
    <cellStyle name="표준 43 4 2 3 3 4" xfId="6413"/>
    <cellStyle name="표준 43 4 2 3 4" xfId="4203"/>
    <cellStyle name="표준 43 4 2 3 4 2" xfId="4777"/>
    <cellStyle name="표준 43 4 2 3 4 2 2" xfId="5674"/>
    <cellStyle name="표준 43 4 2 3 4 3" xfId="5226"/>
    <cellStyle name="표준 43 4 2 3 4 4" xfId="6264"/>
    <cellStyle name="표준 43 4 2 3 5" xfId="4628"/>
    <cellStyle name="표준 43 4 2 3 5 2" xfId="5525"/>
    <cellStyle name="표준 43 4 2 3 6" xfId="5077"/>
    <cellStyle name="표준 43 4 2 3 7" xfId="6113"/>
    <cellStyle name="표준 43 4 2 4" xfId="4081"/>
    <cellStyle name="표준 43 4 2 4 2" xfId="4379"/>
    <cellStyle name="표준 43 4 2 4 2 2" xfId="4953"/>
    <cellStyle name="표준 43 4 2 4 2 2 2" xfId="5850"/>
    <cellStyle name="표준 43 4 2 4 2 3" xfId="5402"/>
    <cellStyle name="표준 43 4 2 4 2 4" xfId="6440"/>
    <cellStyle name="표준 43 4 2 4 3" xfId="4230"/>
    <cellStyle name="표준 43 4 2 4 3 2" xfId="4804"/>
    <cellStyle name="표준 43 4 2 4 3 2 2" xfId="5701"/>
    <cellStyle name="표준 43 4 2 4 3 3" xfId="5253"/>
    <cellStyle name="표준 43 4 2 4 3 4" xfId="6291"/>
    <cellStyle name="표준 43 4 2 4 4" xfId="4655"/>
    <cellStyle name="표준 43 4 2 4 4 2" xfId="5552"/>
    <cellStyle name="표준 43 4 2 4 5" xfId="5104"/>
    <cellStyle name="표준 43 4 2 4 6" xfId="6142"/>
    <cellStyle name="표준 43 4 2 5" xfId="4302"/>
    <cellStyle name="표준 43 4 2 5 2" xfId="4876"/>
    <cellStyle name="표준 43 4 2 5 2 2" xfId="5773"/>
    <cellStyle name="표준 43 4 2 5 3" xfId="5325"/>
    <cellStyle name="표준 43 4 2 5 4" xfId="6363"/>
    <cellStyle name="표준 43 4 2 6" xfId="4153"/>
    <cellStyle name="표준 43 4 2 6 2" xfId="4727"/>
    <cellStyle name="표준 43 4 2 6 2 2" xfId="5624"/>
    <cellStyle name="표준 43 4 2 6 3" xfId="5176"/>
    <cellStyle name="표준 43 4 2 6 4" xfId="6214"/>
    <cellStyle name="표준 43 4 2 7" xfId="4578"/>
    <cellStyle name="표준 43 4 2 7 2" xfId="5475"/>
    <cellStyle name="표준 43 4 2 8" xfId="5027"/>
    <cellStyle name="표준 43 4 2 9" xfId="6058"/>
    <cellStyle name="표준 43 4 3" xfId="3934"/>
    <cellStyle name="표준 43 4 3 2" xfId="4096"/>
    <cellStyle name="표준 43 4 3 2 2" xfId="4394"/>
    <cellStyle name="표준 43 4 3 2 2 2" xfId="4968"/>
    <cellStyle name="표준 43 4 3 2 2 2 2" xfId="5865"/>
    <cellStyle name="표준 43 4 3 2 2 3" xfId="5417"/>
    <cellStyle name="표준 43 4 3 2 2 4" xfId="6455"/>
    <cellStyle name="표준 43 4 3 2 3" xfId="4245"/>
    <cellStyle name="표준 43 4 3 2 3 2" xfId="4819"/>
    <cellStyle name="표준 43 4 3 2 3 2 2" xfId="5716"/>
    <cellStyle name="표준 43 4 3 2 3 3" xfId="5268"/>
    <cellStyle name="표준 43 4 3 2 3 4" xfId="6306"/>
    <cellStyle name="표준 43 4 3 2 4" xfId="4670"/>
    <cellStyle name="표준 43 4 3 2 4 2" xfId="5567"/>
    <cellStyle name="표준 43 4 3 2 5" xfId="5119"/>
    <cellStyle name="표준 43 4 3 2 6" xfId="6157"/>
    <cellStyle name="표준 43 4 3 3" xfId="4317"/>
    <cellStyle name="표준 43 4 3 3 2" xfId="4891"/>
    <cellStyle name="표준 43 4 3 3 2 2" xfId="5788"/>
    <cellStyle name="표준 43 4 3 3 3" xfId="5340"/>
    <cellStyle name="표준 43 4 3 3 4" xfId="6378"/>
    <cellStyle name="표준 43 4 3 4" xfId="4168"/>
    <cellStyle name="표준 43 4 3 4 2" xfId="4742"/>
    <cellStyle name="표준 43 4 3 4 2 2" xfId="5639"/>
    <cellStyle name="표준 43 4 3 4 3" xfId="5191"/>
    <cellStyle name="표준 43 4 3 4 4" xfId="6229"/>
    <cellStyle name="표준 43 4 3 5" xfId="4593"/>
    <cellStyle name="표준 43 4 3 5 2" xfId="5490"/>
    <cellStyle name="표준 43 4 3 6" xfId="5042"/>
    <cellStyle name="표준 43 4 3 7" xfId="6078"/>
    <cellStyle name="표준 43 4 4" xfId="3971"/>
    <cellStyle name="표준 43 4 4 2" xfId="4120"/>
    <cellStyle name="표준 43 4 4 2 2" xfId="4418"/>
    <cellStyle name="표준 43 4 4 2 2 2" xfId="4992"/>
    <cellStyle name="표준 43 4 4 2 2 2 2" xfId="5889"/>
    <cellStyle name="표준 43 4 4 2 2 3" xfId="5441"/>
    <cellStyle name="표준 43 4 4 2 2 4" xfId="6479"/>
    <cellStyle name="표준 43 4 4 2 3" xfId="4269"/>
    <cellStyle name="표준 43 4 4 2 3 2" xfId="4843"/>
    <cellStyle name="표준 43 4 4 2 3 2 2" xfId="5740"/>
    <cellStyle name="표준 43 4 4 2 3 3" xfId="5292"/>
    <cellStyle name="표준 43 4 4 2 3 4" xfId="6330"/>
    <cellStyle name="표준 43 4 4 2 4" xfId="4694"/>
    <cellStyle name="표준 43 4 4 2 4 2" xfId="5591"/>
    <cellStyle name="표준 43 4 4 2 5" xfId="5143"/>
    <cellStyle name="표준 43 4 4 2 6" xfId="6181"/>
    <cellStyle name="표준 43 4 4 3" xfId="4341"/>
    <cellStyle name="표준 43 4 4 3 2" xfId="4915"/>
    <cellStyle name="표준 43 4 4 3 2 2" xfId="5812"/>
    <cellStyle name="표준 43 4 4 3 3" xfId="5364"/>
    <cellStyle name="표준 43 4 4 3 4" xfId="6402"/>
    <cellStyle name="표준 43 4 4 4" xfId="4192"/>
    <cellStyle name="표준 43 4 4 4 2" xfId="4766"/>
    <cellStyle name="표준 43 4 4 4 2 2" xfId="5663"/>
    <cellStyle name="표준 43 4 4 4 3" xfId="5215"/>
    <cellStyle name="표준 43 4 4 4 4" xfId="6253"/>
    <cellStyle name="표준 43 4 4 5" xfId="4617"/>
    <cellStyle name="표준 43 4 4 5 2" xfId="5514"/>
    <cellStyle name="표준 43 4 4 6" xfId="5066"/>
    <cellStyle name="표준 43 4 4 7" xfId="6102"/>
    <cellStyle name="표준 43 4 5" xfId="4073"/>
    <cellStyle name="표준 43 4 5 2" xfId="4371"/>
    <cellStyle name="표준 43 4 5 2 2" xfId="4945"/>
    <cellStyle name="표준 43 4 5 2 2 2" xfId="5842"/>
    <cellStyle name="표준 43 4 5 2 3" xfId="5394"/>
    <cellStyle name="표준 43 4 5 2 4" xfId="6432"/>
    <cellStyle name="표준 43 4 5 3" xfId="4222"/>
    <cellStyle name="표준 43 4 5 3 2" xfId="4796"/>
    <cellStyle name="표준 43 4 5 3 2 2" xfId="5693"/>
    <cellStyle name="표준 43 4 5 3 3" xfId="5245"/>
    <cellStyle name="표준 43 4 5 3 4" xfId="6283"/>
    <cellStyle name="표준 43 4 5 4" xfId="4647"/>
    <cellStyle name="표준 43 4 5 4 2" xfId="5544"/>
    <cellStyle name="표준 43 4 5 5" xfId="5096"/>
    <cellStyle name="표준 43 4 5 6" xfId="6134"/>
    <cellStyle name="표준 43 4 6" xfId="4291"/>
    <cellStyle name="표준 43 4 6 2" xfId="4865"/>
    <cellStyle name="표준 43 4 6 2 2" xfId="5762"/>
    <cellStyle name="표준 43 4 6 3" xfId="5314"/>
    <cellStyle name="표준 43 4 6 4" xfId="6352"/>
    <cellStyle name="표준 43 4 7" xfId="4142"/>
    <cellStyle name="표준 43 4 7 2" xfId="4716"/>
    <cellStyle name="표준 43 4 7 2 2" xfId="5613"/>
    <cellStyle name="표준 43 4 7 3" xfId="5165"/>
    <cellStyle name="표준 43 4 7 4" xfId="6203"/>
    <cellStyle name="표준 43 4 8" xfId="4562"/>
    <cellStyle name="표준 43 4 8 2" xfId="5464"/>
    <cellStyle name="표준 43 4 9" xfId="5016"/>
    <cellStyle name="표준 43 5" xfId="3269"/>
    <cellStyle name="표준 43 6" xfId="3783"/>
    <cellStyle name="표준 43 6 10" xfId="6054"/>
    <cellStyle name="표준 43 6 2" xfId="3797"/>
    <cellStyle name="표준 43 6 2 2" xfId="3963"/>
    <cellStyle name="표준 43 6 2 2 2" xfId="4112"/>
    <cellStyle name="표준 43 6 2 2 2 2" xfId="4410"/>
    <cellStyle name="표준 43 6 2 2 2 2 2" xfId="4984"/>
    <cellStyle name="표준 43 6 2 2 2 2 2 2" xfId="5881"/>
    <cellStyle name="표준 43 6 2 2 2 2 3" xfId="5433"/>
    <cellStyle name="표준 43 6 2 2 2 2 4" xfId="6471"/>
    <cellStyle name="표준 43 6 2 2 2 3" xfId="4261"/>
    <cellStyle name="표준 43 6 2 2 2 3 2" xfId="4835"/>
    <cellStyle name="표준 43 6 2 2 2 3 2 2" xfId="5732"/>
    <cellStyle name="표준 43 6 2 2 2 3 3" xfId="5284"/>
    <cellStyle name="표준 43 6 2 2 2 3 4" xfId="6322"/>
    <cellStyle name="표준 43 6 2 2 2 4" xfId="4686"/>
    <cellStyle name="표준 43 6 2 2 2 4 2" xfId="5583"/>
    <cellStyle name="표준 43 6 2 2 2 5" xfId="5135"/>
    <cellStyle name="표준 43 6 2 2 2 6" xfId="6173"/>
    <cellStyle name="표준 43 6 2 2 3" xfId="4333"/>
    <cellStyle name="표준 43 6 2 2 3 2" xfId="4907"/>
    <cellStyle name="표준 43 6 2 2 3 2 2" xfId="5804"/>
    <cellStyle name="표준 43 6 2 2 3 3" xfId="5356"/>
    <cellStyle name="표준 43 6 2 2 3 4" xfId="6394"/>
    <cellStyle name="표준 43 6 2 2 4" xfId="4184"/>
    <cellStyle name="표준 43 6 2 2 4 2" xfId="4758"/>
    <cellStyle name="표준 43 6 2 2 4 2 2" xfId="5655"/>
    <cellStyle name="표준 43 6 2 2 4 3" xfId="5207"/>
    <cellStyle name="표준 43 6 2 2 4 4" xfId="6245"/>
    <cellStyle name="표준 43 6 2 2 5" xfId="4609"/>
    <cellStyle name="표준 43 6 2 2 5 2" xfId="5506"/>
    <cellStyle name="표준 43 6 2 2 6" xfId="5058"/>
    <cellStyle name="표준 43 6 2 2 7" xfId="6094"/>
    <cellStyle name="표준 43 6 2 3" xfId="3989"/>
    <cellStyle name="표준 43 6 2 3 2" xfId="4138"/>
    <cellStyle name="표준 43 6 2 3 2 2" xfId="4436"/>
    <cellStyle name="표준 43 6 2 3 2 2 2" xfId="5010"/>
    <cellStyle name="표준 43 6 2 3 2 2 2 2" xfId="5907"/>
    <cellStyle name="표준 43 6 2 3 2 2 3" xfId="5459"/>
    <cellStyle name="표준 43 6 2 3 2 2 4" xfId="6497"/>
    <cellStyle name="표준 43 6 2 3 2 3" xfId="4287"/>
    <cellStyle name="표준 43 6 2 3 2 3 2" xfId="4861"/>
    <cellStyle name="표준 43 6 2 3 2 3 2 2" xfId="5758"/>
    <cellStyle name="표준 43 6 2 3 2 3 3" xfId="5310"/>
    <cellStyle name="표준 43 6 2 3 2 3 4" xfId="6348"/>
    <cellStyle name="표준 43 6 2 3 2 4" xfId="4712"/>
    <cellStyle name="표준 43 6 2 3 2 4 2" xfId="5609"/>
    <cellStyle name="표준 43 6 2 3 2 5" xfId="5161"/>
    <cellStyle name="표준 43 6 2 3 2 6" xfId="6199"/>
    <cellStyle name="표준 43 6 2 3 3" xfId="4359"/>
    <cellStyle name="표준 43 6 2 3 3 2" xfId="4933"/>
    <cellStyle name="표준 43 6 2 3 3 2 2" xfId="5830"/>
    <cellStyle name="표준 43 6 2 3 3 3" xfId="5382"/>
    <cellStyle name="표준 43 6 2 3 3 4" xfId="6420"/>
    <cellStyle name="표준 43 6 2 3 4" xfId="4210"/>
    <cellStyle name="표준 43 6 2 3 4 2" xfId="4784"/>
    <cellStyle name="표준 43 6 2 3 4 2 2" xfId="5681"/>
    <cellStyle name="표준 43 6 2 3 4 3" xfId="5233"/>
    <cellStyle name="표준 43 6 2 3 4 4" xfId="6271"/>
    <cellStyle name="표준 43 6 2 3 5" xfId="4635"/>
    <cellStyle name="표준 43 6 2 3 5 2" xfId="5532"/>
    <cellStyle name="표준 43 6 2 3 6" xfId="5084"/>
    <cellStyle name="표준 43 6 2 3 7" xfId="6120"/>
    <cellStyle name="표준 43 6 2 4" xfId="4088"/>
    <cellStyle name="표준 43 6 2 4 2" xfId="4386"/>
    <cellStyle name="표준 43 6 2 4 2 2" xfId="4960"/>
    <cellStyle name="표준 43 6 2 4 2 2 2" xfId="5857"/>
    <cellStyle name="표준 43 6 2 4 2 3" xfId="5409"/>
    <cellStyle name="표준 43 6 2 4 2 4" xfId="6447"/>
    <cellStyle name="표준 43 6 2 4 3" xfId="4237"/>
    <cellStyle name="표준 43 6 2 4 3 2" xfId="4811"/>
    <cellStyle name="표준 43 6 2 4 3 2 2" xfId="5708"/>
    <cellStyle name="표준 43 6 2 4 3 3" xfId="5260"/>
    <cellStyle name="표준 43 6 2 4 3 4" xfId="6298"/>
    <cellStyle name="표준 43 6 2 4 4" xfId="4662"/>
    <cellStyle name="표준 43 6 2 4 4 2" xfId="5559"/>
    <cellStyle name="표준 43 6 2 4 5" xfId="5111"/>
    <cellStyle name="표준 43 6 2 4 6" xfId="6149"/>
    <cellStyle name="표준 43 6 2 5" xfId="4309"/>
    <cellStyle name="표준 43 6 2 5 2" xfId="4883"/>
    <cellStyle name="표준 43 6 2 5 2 2" xfId="5780"/>
    <cellStyle name="표준 43 6 2 5 3" xfId="5332"/>
    <cellStyle name="표준 43 6 2 5 4" xfId="6370"/>
    <cellStyle name="표준 43 6 2 6" xfId="4160"/>
    <cellStyle name="표준 43 6 2 6 2" xfId="4734"/>
    <cellStyle name="표준 43 6 2 6 2 2" xfId="5631"/>
    <cellStyle name="표준 43 6 2 6 3" xfId="5183"/>
    <cellStyle name="표준 43 6 2 6 4" xfId="6221"/>
    <cellStyle name="표준 43 6 2 7" xfId="4585"/>
    <cellStyle name="표준 43 6 2 7 2" xfId="5482"/>
    <cellStyle name="표준 43 6 2 8" xfId="5034"/>
    <cellStyle name="표준 43 6 2 9" xfId="6065"/>
    <cellStyle name="표준 43 6 3" xfId="3952"/>
    <cellStyle name="표준 43 6 3 2" xfId="4101"/>
    <cellStyle name="표준 43 6 3 2 2" xfId="4399"/>
    <cellStyle name="표준 43 6 3 2 2 2" xfId="4973"/>
    <cellStyle name="표준 43 6 3 2 2 2 2" xfId="5870"/>
    <cellStyle name="표준 43 6 3 2 2 3" xfId="5422"/>
    <cellStyle name="표준 43 6 3 2 2 4" xfId="6460"/>
    <cellStyle name="표준 43 6 3 2 3" xfId="4250"/>
    <cellStyle name="표준 43 6 3 2 3 2" xfId="4824"/>
    <cellStyle name="표준 43 6 3 2 3 2 2" xfId="5721"/>
    <cellStyle name="표준 43 6 3 2 3 3" xfId="5273"/>
    <cellStyle name="표준 43 6 3 2 3 4" xfId="6311"/>
    <cellStyle name="표준 43 6 3 2 4" xfId="4675"/>
    <cellStyle name="표준 43 6 3 2 4 2" xfId="5572"/>
    <cellStyle name="표준 43 6 3 2 5" xfId="5124"/>
    <cellStyle name="표준 43 6 3 2 6" xfId="6162"/>
    <cellStyle name="표준 43 6 3 3" xfId="4322"/>
    <cellStyle name="표준 43 6 3 3 2" xfId="4896"/>
    <cellStyle name="표준 43 6 3 3 2 2" xfId="5793"/>
    <cellStyle name="표준 43 6 3 3 3" xfId="5345"/>
    <cellStyle name="표준 43 6 3 3 4" xfId="6383"/>
    <cellStyle name="표준 43 6 3 4" xfId="4173"/>
    <cellStyle name="표준 43 6 3 4 2" xfId="4747"/>
    <cellStyle name="표준 43 6 3 4 2 2" xfId="5644"/>
    <cellStyle name="표준 43 6 3 4 3" xfId="5196"/>
    <cellStyle name="표준 43 6 3 4 4" xfId="6234"/>
    <cellStyle name="표준 43 6 3 5" xfId="4598"/>
    <cellStyle name="표준 43 6 3 5 2" xfId="5495"/>
    <cellStyle name="표준 43 6 3 6" xfId="5047"/>
    <cellStyle name="표준 43 6 3 7" xfId="6083"/>
    <cellStyle name="표준 43 6 4" xfId="3978"/>
    <cellStyle name="표준 43 6 4 2" xfId="4127"/>
    <cellStyle name="표준 43 6 4 2 2" xfId="4425"/>
    <cellStyle name="표준 43 6 4 2 2 2" xfId="4999"/>
    <cellStyle name="표준 43 6 4 2 2 2 2" xfId="5896"/>
    <cellStyle name="표준 43 6 4 2 2 3" xfId="5448"/>
    <cellStyle name="표준 43 6 4 2 2 4" xfId="6486"/>
    <cellStyle name="표준 43 6 4 2 3" xfId="4276"/>
    <cellStyle name="표준 43 6 4 2 3 2" xfId="4850"/>
    <cellStyle name="표준 43 6 4 2 3 2 2" xfId="5747"/>
    <cellStyle name="표준 43 6 4 2 3 3" xfId="5299"/>
    <cellStyle name="표준 43 6 4 2 3 4" xfId="6337"/>
    <cellStyle name="표준 43 6 4 2 4" xfId="4701"/>
    <cellStyle name="표준 43 6 4 2 4 2" xfId="5598"/>
    <cellStyle name="표준 43 6 4 2 5" xfId="5150"/>
    <cellStyle name="표준 43 6 4 2 6" xfId="6188"/>
    <cellStyle name="표준 43 6 4 3" xfId="4348"/>
    <cellStyle name="표준 43 6 4 3 2" xfId="4922"/>
    <cellStyle name="표준 43 6 4 3 2 2" xfId="5819"/>
    <cellStyle name="표준 43 6 4 3 3" xfId="5371"/>
    <cellStyle name="표준 43 6 4 3 4" xfId="6409"/>
    <cellStyle name="표준 43 6 4 4" xfId="4199"/>
    <cellStyle name="표준 43 6 4 4 2" xfId="4773"/>
    <cellStyle name="표준 43 6 4 4 2 2" xfId="5670"/>
    <cellStyle name="표준 43 6 4 4 3" xfId="5222"/>
    <cellStyle name="표준 43 6 4 4 4" xfId="6260"/>
    <cellStyle name="표준 43 6 4 5" xfId="4624"/>
    <cellStyle name="표준 43 6 4 5 2" xfId="5521"/>
    <cellStyle name="표준 43 6 4 6" xfId="5073"/>
    <cellStyle name="표준 43 6 4 7" xfId="6109"/>
    <cellStyle name="표준 43 6 5" xfId="4077"/>
    <cellStyle name="표준 43 6 5 2" xfId="4375"/>
    <cellStyle name="표준 43 6 5 2 2" xfId="4949"/>
    <cellStyle name="표준 43 6 5 2 2 2" xfId="5846"/>
    <cellStyle name="표준 43 6 5 2 3" xfId="5398"/>
    <cellStyle name="표준 43 6 5 2 4" xfId="6436"/>
    <cellStyle name="표준 43 6 5 3" xfId="4226"/>
    <cellStyle name="표준 43 6 5 3 2" xfId="4800"/>
    <cellStyle name="표준 43 6 5 3 2 2" xfId="5697"/>
    <cellStyle name="표준 43 6 5 3 3" xfId="5249"/>
    <cellStyle name="표준 43 6 5 3 4" xfId="6287"/>
    <cellStyle name="표준 43 6 5 4" xfId="4651"/>
    <cellStyle name="표준 43 6 5 4 2" xfId="5548"/>
    <cellStyle name="표준 43 6 5 5" xfId="5100"/>
    <cellStyle name="표준 43 6 5 6" xfId="6138"/>
    <cellStyle name="표준 43 6 6" xfId="4298"/>
    <cellStyle name="표준 43 6 6 2" xfId="4872"/>
    <cellStyle name="표준 43 6 6 2 2" xfId="5769"/>
    <cellStyle name="표준 43 6 6 3" xfId="5321"/>
    <cellStyle name="표준 43 6 6 4" xfId="6359"/>
    <cellStyle name="표준 43 6 7" xfId="4149"/>
    <cellStyle name="표준 43 6 7 2" xfId="4723"/>
    <cellStyle name="표준 43 6 7 2 2" xfId="5620"/>
    <cellStyle name="표준 43 6 7 3" xfId="5172"/>
    <cellStyle name="표준 43 6 7 4" xfId="6210"/>
    <cellStyle name="표준 43 6 8" xfId="4574"/>
    <cellStyle name="표준 43 6 8 2" xfId="5471"/>
    <cellStyle name="표준 43 6 9" xfId="5023"/>
    <cellStyle name="표준 43 7" xfId="3801"/>
    <cellStyle name="표준 43 7 2" xfId="3967"/>
    <cellStyle name="표준 43 7 2 2" xfId="4116"/>
    <cellStyle name="표준 43 7 2 2 2" xfId="4414"/>
    <cellStyle name="표준 43 7 2 2 2 2" xfId="4988"/>
    <cellStyle name="표준 43 7 2 2 2 2 2" xfId="5885"/>
    <cellStyle name="표준 43 7 2 2 2 3" xfId="5437"/>
    <cellStyle name="표준 43 7 2 2 2 4" xfId="6475"/>
    <cellStyle name="표준 43 7 2 2 3" xfId="4265"/>
    <cellStyle name="표준 43 7 2 2 3 2" xfId="4839"/>
    <cellStyle name="표준 43 7 2 2 3 2 2" xfId="5736"/>
    <cellStyle name="표준 43 7 2 2 3 3" xfId="5288"/>
    <cellStyle name="표준 43 7 2 2 3 4" xfId="6326"/>
    <cellStyle name="표준 43 7 2 2 4" xfId="4690"/>
    <cellStyle name="표준 43 7 2 2 4 2" xfId="5587"/>
    <cellStyle name="표준 43 7 2 2 5" xfId="5139"/>
    <cellStyle name="표준 43 7 2 2 6" xfId="6177"/>
    <cellStyle name="표준 43 7 2 3" xfId="4337"/>
    <cellStyle name="표준 43 7 2 3 2" xfId="4911"/>
    <cellStyle name="표준 43 7 2 3 2 2" xfId="5808"/>
    <cellStyle name="표준 43 7 2 3 3" xfId="5360"/>
    <cellStyle name="표준 43 7 2 3 4" xfId="6398"/>
    <cellStyle name="표준 43 7 2 4" xfId="4188"/>
    <cellStyle name="표준 43 7 2 4 2" xfId="4762"/>
    <cellStyle name="표준 43 7 2 4 2 2" xfId="5659"/>
    <cellStyle name="표준 43 7 2 4 3" xfId="5211"/>
    <cellStyle name="표준 43 7 2 4 4" xfId="6249"/>
    <cellStyle name="표준 43 7 2 5" xfId="4613"/>
    <cellStyle name="표준 43 7 2 5 2" xfId="5510"/>
    <cellStyle name="표준 43 7 2 6" xfId="5062"/>
    <cellStyle name="표준 43 7 2 7" xfId="6098"/>
    <cellStyle name="표준 43 7 3" xfId="4092"/>
    <cellStyle name="표준 43 7 3 2" xfId="4390"/>
    <cellStyle name="표준 43 7 3 2 2" xfId="4964"/>
    <cellStyle name="표준 43 7 3 2 2 2" xfId="5861"/>
    <cellStyle name="표준 43 7 3 2 3" xfId="5413"/>
    <cellStyle name="표준 43 7 3 2 4" xfId="6451"/>
    <cellStyle name="표준 43 7 3 3" xfId="4241"/>
    <cellStyle name="표준 43 7 3 3 2" xfId="4815"/>
    <cellStyle name="표준 43 7 3 3 2 2" xfId="5712"/>
    <cellStyle name="표준 43 7 3 3 3" xfId="5264"/>
    <cellStyle name="표준 43 7 3 3 4" xfId="6302"/>
    <cellStyle name="표준 43 7 3 4" xfId="4666"/>
    <cellStyle name="표준 43 7 3 4 2" xfId="5563"/>
    <cellStyle name="표준 43 7 3 5" xfId="5115"/>
    <cellStyle name="표준 43 7 3 6" xfId="6153"/>
    <cellStyle name="표준 43 7 4" xfId="4313"/>
    <cellStyle name="표준 43 7 4 2" xfId="4887"/>
    <cellStyle name="표준 43 7 4 2 2" xfId="5784"/>
    <cellStyle name="표준 43 7 4 3" xfId="5336"/>
    <cellStyle name="표준 43 7 4 4" xfId="6374"/>
    <cellStyle name="표준 43 7 5" xfId="4164"/>
    <cellStyle name="표준 43 7 5 2" xfId="4738"/>
    <cellStyle name="표준 43 7 5 2 2" xfId="5635"/>
    <cellStyle name="표준 43 7 5 3" xfId="5187"/>
    <cellStyle name="표준 43 7 5 4" xfId="6225"/>
    <cellStyle name="표준 43 7 6" xfId="4589"/>
    <cellStyle name="표준 43 7 6 2" xfId="5486"/>
    <cellStyle name="표준 43 7 7" xfId="5038"/>
    <cellStyle name="표준 43 7 8" xfId="6069"/>
    <cellStyle name="표준 44" xfId="3257"/>
    <cellStyle name="표준 44 2" xfId="3276"/>
    <cellStyle name="표준 44 2 10" xfId="5019"/>
    <cellStyle name="표준 44 2 11" xfId="6022"/>
    <cellStyle name="표준 44 2 2" xfId="3562"/>
    <cellStyle name="표준 44 2 2 10" xfId="6051"/>
    <cellStyle name="표준 44 2 2 2" xfId="3793"/>
    <cellStyle name="표준 44 2 2 2 2" xfId="3961"/>
    <cellStyle name="표준 44 2 2 2 2 2" xfId="4110"/>
    <cellStyle name="표준 44 2 2 2 2 2 2" xfId="4408"/>
    <cellStyle name="표준 44 2 2 2 2 2 2 2" xfId="4982"/>
    <cellStyle name="표준 44 2 2 2 2 2 2 2 2" xfId="5879"/>
    <cellStyle name="표준 44 2 2 2 2 2 2 3" xfId="5431"/>
    <cellStyle name="표준 44 2 2 2 2 2 2 4" xfId="6469"/>
    <cellStyle name="표준 44 2 2 2 2 2 3" xfId="4259"/>
    <cellStyle name="표준 44 2 2 2 2 2 3 2" xfId="4833"/>
    <cellStyle name="표준 44 2 2 2 2 2 3 2 2" xfId="5730"/>
    <cellStyle name="표준 44 2 2 2 2 2 3 3" xfId="5282"/>
    <cellStyle name="표준 44 2 2 2 2 2 3 4" xfId="6320"/>
    <cellStyle name="표준 44 2 2 2 2 2 4" xfId="4684"/>
    <cellStyle name="표준 44 2 2 2 2 2 4 2" xfId="5581"/>
    <cellStyle name="표준 44 2 2 2 2 2 5" xfId="5133"/>
    <cellStyle name="표준 44 2 2 2 2 2 6" xfId="6171"/>
    <cellStyle name="표준 44 2 2 2 2 3" xfId="4331"/>
    <cellStyle name="표준 44 2 2 2 2 3 2" xfId="4905"/>
    <cellStyle name="표준 44 2 2 2 2 3 2 2" xfId="5802"/>
    <cellStyle name="표준 44 2 2 2 2 3 3" xfId="5354"/>
    <cellStyle name="표준 44 2 2 2 2 3 4" xfId="6392"/>
    <cellStyle name="표준 44 2 2 2 2 4" xfId="4182"/>
    <cellStyle name="표준 44 2 2 2 2 4 2" xfId="4756"/>
    <cellStyle name="표준 44 2 2 2 2 4 2 2" xfId="5653"/>
    <cellStyle name="표준 44 2 2 2 2 4 3" xfId="5205"/>
    <cellStyle name="표준 44 2 2 2 2 4 4" xfId="6243"/>
    <cellStyle name="표준 44 2 2 2 2 5" xfId="4607"/>
    <cellStyle name="표준 44 2 2 2 2 5 2" xfId="5504"/>
    <cellStyle name="표준 44 2 2 2 2 6" xfId="5056"/>
    <cellStyle name="표준 44 2 2 2 2 7" xfId="6092"/>
    <cellStyle name="표준 44 2 2 2 3" xfId="3987"/>
    <cellStyle name="표준 44 2 2 2 3 2" xfId="4136"/>
    <cellStyle name="표준 44 2 2 2 3 2 2" xfId="4434"/>
    <cellStyle name="표준 44 2 2 2 3 2 2 2" xfId="5008"/>
    <cellStyle name="표준 44 2 2 2 3 2 2 2 2" xfId="5905"/>
    <cellStyle name="표준 44 2 2 2 3 2 2 3" xfId="5457"/>
    <cellStyle name="표준 44 2 2 2 3 2 2 4" xfId="6495"/>
    <cellStyle name="표준 44 2 2 2 3 2 3" xfId="4285"/>
    <cellStyle name="표준 44 2 2 2 3 2 3 2" xfId="4859"/>
    <cellStyle name="표준 44 2 2 2 3 2 3 2 2" xfId="5756"/>
    <cellStyle name="표준 44 2 2 2 3 2 3 3" xfId="5308"/>
    <cellStyle name="표준 44 2 2 2 3 2 3 4" xfId="6346"/>
    <cellStyle name="표준 44 2 2 2 3 2 4" xfId="4710"/>
    <cellStyle name="표준 44 2 2 2 3 2 4 2" xfId="5607"/>
    <cellStyle name="표준 44 2 2 2 3 2 5" xfId="5159"/>
    <cellStyle name="표준 44 2 2 2 3 2 6" xfId="6197"/>
    <cellStyle name="표준 44 2 2 2 3 3" xfId="4357"/>
    <cellStyle name="표준 44 2 2 2 3 3 2" xfId="4931"/>
    <cellStyle name="표준 44 2 2 2 3 3 2 2" xfId="5828"/>
    <cellStyle name="표준 44 2 2 2 3 3 3" xfId="5380"/>
    <cellStyle name="표준 44 2 2 2 3 3 4" xfId="6418"/>
    <cellStyle name="표준 44 2 2 2 3 4" xfId="4208"/>
    <cellStyle name="표준 44 2 2 2 3 4 2" xfId="4782"/>
    <cellStyle name="표준 44 2 2 2 3 4 2 2" xfId="5679"/>
    <cellStyle name="표준 44 2 2 2 3 4 3" xfId="5231"/>
    <cellStyle name="표준 44 2 2 2 3 4 4" xfId="6269"/>
    <cellStyle name="표준 44 2 2 2 3 5" xfId="4633"/>
    <cellStyle name="표준 44 2 2 2 3 5 2" xfId="5530"/>
    <cellStyle name="표준 44 2 2 2 3 6" xfId="5082"/>
    <cellStyle name="표준 44 2 2 2 3 7" xfId="6118"/>
    <cellStyle name="표준 44 2 2 2 4" xfId="4086"/>
    <cellStyle name="표준 44 2 2 2 4 2" xfId="4384"/>
    <cellStyle name="표준 44 2 2 2 4 2 2" xfId="4958"/>
    <cellStyle name="표준 44 2 2 2 4 2 2 2" xfId="5855"/>
    <cellStyle name="표준 44 2 2 2 4 2 3" xfId="5407"/>
    <cellStyle name="표준 44 2 2 2 4 2 4" xfId="6445"/>
    <cellStyle name="표준 44 2 2 2 4 3" xfId="4235"/>
    <cellStyle name="표준 44 2 2 2 4 3 2" xfId="4809"/>
    <cellStyle name="표준 44 2 2 2 4 3 2 2" xfId="5706"/>
    <cellStyle name="표준 44 2 2 2 4 3 3" xfId="5258"/>
    <cellStyle name="표준 44 2 2 2 4 3 4" xfId="6296"/>
    <cellStyle name="표준 44 2 2 2 4 4" xfId="4660"/>
    <cellStyle name="표준 44 2 2 2 4 4 2" xfId="5557"/>
    <cellStyle name="표준 44 2 2 2 4 5" xfId="5109"/>
    <cellStyle name="표준 44 2 2 2 4 6" xfId="6147"/>
    <cellStyle name="표준 44 2 2 2 5" xfId="4307"/>
    <cellStyle name="표준 44 2 2 2 5 2" xfId="4881"/>
    <cellStyle name="표준 44 2 2 2 5 2 2" xfId="5778"/>
    <cellStyle name="표준 44 2 2 2 5 3" xfId="5330"/>
    <cellStyle name="표준 44 2 2 2 5 4" xfId="6368"/>
    <cellStyle name="표준 44 2 2 2 6" xfId="4158"/>
    <cellStyle name="표준 44 2 2 2 6 2" xfId="4732"/>
    <cellStyle name="표준 44 2 2 2 6 2 2" xfId="5629"/>
    <cellStyle name="표준 44 2 2 2 6 3" xfId="5181"/>
    <cellStyle name="표준 44 2 2 2 6 4" xfId="6219"/>
    <cellStyle name="표준 44 2 2 2 7" xfId="4583"/>
    <cellStyle name="표준 44 2 2 2 7 2" xfId="5480"/>
    <cellStyle name="표준 44 2 2 2 8" xfId="5032"/>
    <cellStyle name="표준 44 2 2 2 9" xfId="6063"/>
    <cellStyle name="표준 44 2 2 3" xfId="3948"/>
    <cellStyle name="표준 44 2 2 3 2" xfId="4100"/>
    <cellStyle name="표준 44 2 2 3 2 2" xfId="4398"/>
    <cellStyle name="표준 44 2 2 3 2 2 2" xfId="4972"/>
    <cellStyle name="표준 44 2 2 3 2 2 2 2" xfId="5869"/>
    <cellStyle name="표준 44 2 2 3 2 2 3" xfId="5421"/>
    <cellStyle name="표준 44 2 2 3 2 2 4" xfId="6459"/>
    <cellStyle name="표준 44 2 2 3 2 3" xfId="4249"/>
    <cellStyle name="표준 44 2 2 3 2 3 2" xfId="4823"/>
    <cellStyle name="표준 44 2 2 3 2 3 2 2" xfId="5720"/>
    <cellStyle name="표준 44 2 2 3 2 3 3" xfId="5272"/>
    <cellStyle name="표준 44 2 2 3 2 3 4" xfId="6310"/>
    <cellStyle name="표준 44 2 2 3 2 4" xfId="4674"/>
    <cellStyle name="표준 44 2 2 3 2 4 2" xfId="5571"/>
    <cellStyle name="표준 44 2 2 3 2 5" xfId="5123"/>
    <cellStyle name="표준 44 2 2 3 2 6" xfId="6161"/>
    <cellStyle name="표준 44 2 2 3 3" xfId="4321"/>
    <cellStyle name="표준 44 2 2 3 3 2" xfId="4895"/>
    <cellStyle name="표준 44 2 2 3 3 2 2" xfId="5792"/>
    <cellStyle name="표준 44 2 2 3 3 3" xfId="5344"/>
    <cellStyle name="표준 44 2 2 3 3 4" xfId="6382"/>
    <cellStyle name="표준 44 2 2 3 4" xfId="4172"/>
    <cellStyle name="표준 44 2 2 3 4 2" xfId="4746"/>
    <cellStyle name="표준 44 2 2 3 4 2 2" xfId="5643"/>
    <cellStyle name="표준 44 2 2 3 4 3" xfId="5195"/>
    <cellStyle name="표준 44 2 2 3 4 4" xfId="6233"/>
    <cellStyle name="표준 44 2 2 3 5" xfId="4597"/>
    <cellStyle name="표준 44 2 2 3 5 2" xfId="5494"/>
    <cellStyle name="표준 44 2 2 3 6" xfId="5046"/>
    <cellStyle name="표준 44 2 2 3 7" xfId="6082"/>
    <cellStyle name="표준 44 2 2 4" xfId="3976"/>
    <cellStyle name="표준 44 2 2 4 2" xfId="4125"/>
    <cellStyle name="표준 44 2 2 4 2 2" xfId="4423"/>
    <cellStyle name="표준 44 2 2 4 2 2 2" xfId="4997"/>
    <cellStyle name="표준 44 2 2 4 2 2 2 2" xfId="5894"/>
    <cellStyle name="표준 44 2 2 4 2 2 3" xfId="5446"/>
    <cellStyle name="표준 44 2 2 4 2 2 4" xfId="6484"/>
    <cellStyle name="표준 44 2 2 4 2 3" xfId="4274"/>
    <cellStyle name="표준 44 2 2 4 2 3 2" xfId="4848"/>
    <cellStyle name="표준 44 2 2 4 2 3 2 2" xfId="5745"/>
    <cellStyle name="표준 44 2 2 4 2 3 3" xfId="5297"/>
    <cellStyle name="표준 44 2 2 4 2 3 4" xfId="6335"/>
    <cellStyle name="표준 44 2 2 4 2 4" xfId="4699"/>
    <cellStyle name="표준 44 2 2 4 2 4 2" xfId="5596"/>
    <cellStyle name="표준 44 2 2 4 2 5" xfId="5148"/>
    <cellStyle name="표준 44 2 2 4 2 6" xfId="6186"/>
    <cellStyle name="표준 44 2 2 4 3" xfId="4346"/>
    <cellStyle name="표준 44 2 2 4 3 2" xfId="4920"/>
    <cellStyle name="표준 44 2 2 4 3 2 2" xfId="5817"/>
    <cellStyle name="표준 44 2 2 4 3 3" xfId="5369"/>
    <cellStyle name="표준 44 2 2 4 3 4" xfId="6407"/>
    <cellStyle name="표준 44 2 2 4 4" xfId="4197"/>
    <cellStyle name="표준 44 2 2 4 4 2" xfId="4771"/>
    <cellStyle name="표준 44 2 2 4 4 2 2" xfId="5668"/>
    <cellStyle name="표준 44 2 2 4 4 3" xfId="5220"/>
    <cellStyle name="표준 44 2 2 4 4 4" xfId="6258"/>
    <cellStyle name="표준 44 2 2 4 5" xfId="4622"/>
    <cellStyle name="표준 44 2 2 4 5 2" xfId="5519"/>
    <cellStyle name="표준 44 2 2 4 6" xfId="5071"/>
    <cellStyle name="표준 44 2 2 4 7" xfId="6107"/>
    <cellStyle name="표준 44 2 2 5" xfId="4075"/>
    <cellStyle name="표준 44 2 2 5 2" xfId="4373"/>
    <cellStyle name="표준 44 2 2 5 2 2" xfId="4947"/>
    <cellStyle name="표준 44 2 2 5 2 2 2" xfId="5844"/>
    <cellStyle name="표준 44 2 2 5 2 3" xfId="5396"/>
    <cellStyle name="표준 44 2 2 5 2 4" xfId="6434"/>
    <cellStyle name="표준 44 2 2 5 3" xfId="4224"/>
    <cellStyle name="표준 44 2 2 5 3 2" xfId="4798"/>
    <cellStyle name="표준 44 2 2 5 3 2 2" xfId="5695"/>
    <cellStyle name="표준 44 2 2 5 3 3" xfId="5247"/>
    <cellStyle name="표준 44 2 2 5 3 4" xfId="6285"/>
    <cellStyle name="표준 44 2 2 5 4" xfId="4649"/>
    <cellStyle name="표준 44 2 2 5 4 2" xfId="5546"/>
    <cellStyle name="표준 44 2 2 5 5" xfId="5098"/>
    <cellStyle name="표준 44 2 2 5 6" xfId="6136"/>
    <cellStyle name="표준 44 2 2 6" xfId="4296"/>
    <cellStyle name="표준 44 2 2 6 2" xfId="4870"/>
    <cellStyle name="표준 44 2 2 6 2 2" xfId="5767"/>
    <cellStyle name="표준 44 2 2 6 3" xfId="5319"/>
    <cellStyle name="표준 44 2 2 6 4" xfId="6357"/>
    <cellStyle name="표준 44 2 2 7" xfId="4147"/>
    <cellStyle name="표준 44 2 2 7 2" xfId="4721"/>
    <cellStyle name="표준 44 2 2 7 2 2" xfId="5618"/>
    <cellStyle name="표준 44 2 2 7 3" xfId="5170"/>
    <cellStyle name="표준 44 2 2 7 4" xfId="6208"/>
    <cellStyle name="표준 44 2 2 8" xfId="4568"/>
    <cellStyle name="표준 44 2 2 8 2" xfId="5469"/>
    <cellStyle name="표준 44 2 2 9" xfId="5021"/>
    <cellStyle name="표준 44 2 3" xfId="3573"/>
    <cellStyle name="표준 44 2 4" xfId="3791"/>
    <cellStyle name="표준 44 2 4 2" xfId="3959"/>
    <cellStyle name="표준 44 2 4 2 2" xfId="4108"/>
    <cellStyle name="표준 44 2 4 2 2 2" xfId="4406"/>
    <cellStyle name="표준 44 2 4 2 2 2 2" xfId="4980"/>
    <cellStyle name="표준 44 2 4 2 2 2 2 2" xfId="5877"/>
    <cellStyle name="표준 44 2 4 2 2 2 3" xfId="5429"/>
    <cellStyle name="표준 44 2 4 2 2 2 4" xfId="6467"/>
    <cellStyle name="표준 44 2 4 2 2 3" xfId="4257"/>
    <cellStyle name="표준 44 2 4 2 2 3 2" xfId="4831"/>
    <cellStyle name="표준 44 2 4 2 2 3 2 2" xfId="5728"/>
    <cellStyle name="표준 44 2 4 2 2 3 3" xfId="5280"/>
    <cellStyle name="표준 44 2 4 2 2 3 4" xfId="6318"/>
    <cellStyle name="표준 44 2 4 2 2 4" xfId="4682"/>
    <cellStyle name="표준 44 2 4 2 2 4 2" xfId="5579"/>
    <cellStyle name="표준 44 2 4 2 2 5" xfId="5131"/>
    <cellStyle name="표준 44 2 4 2 2 6" xfId="6169"/>
    <cellStyle name="표준 44 2 4 2 3" xfId="4329"/>
    <cellStyle name="표준 44 2 4 2 3 2" xfId="4903"/>
    <cellStyle name="표준 44 2 4 2 3 2 2" xfId="5800"/>
    <cellStyle name="표준 44 2 4 2 3 3" xfId="5352"/>
    <cellStyle name="표준 44 2 4 2 3 4" xfId="6390"/>
    <cellStyle name="표준 44 2 4 2 4" xfId="4180"/>
    <cellStyle name="표준 44 2 4 2 4 2" xfId="4754"/>
    <cellStyle name="표준 44 2 4 2 4 2 2" xfId="5651"/>
    <cellStyle name="표준 44 2 4 2 4 3" xfId="5203"/>
    <cellStyle name="표준 44 2 4 2 4 4" xfId="6241"/>
    <cellStyle name="표준 44 2 4 2 5" xfId="4605"/>
    <cellStyle name="표준 44 2 4 2 5 2" xfId="5502"/>
    <cellStyle name="표준 44 2 4 2 6" xfId="5054"/>
    <cellStyle name="표준 44 2 4 2 7" xfId="6090"/>
    <cellStyle name="표준 44 2 4 3" xfId="3985"/>
    <cellStyle name="표준 44 2 4 3 2" xfId="4134"/>
    <cellStyle name="표준 44 2 4 3 2 2" xfId="4432"/>
    <cellStyle name="표준 44 2 4 3 2 2 2" xfId="5006"/>
    <cellStyle name="표준 44 2 4 3 2 2 2 2" xfId="5903"/>
    <cellStyle name="표준 44 2 4 3 2 2 3" xfId="5455"/>
    <cellStyle name="표준 44 2 4 3 2 2 4" xfId="6493"/>
    <cellStyle name="표준 44 2 4 3 2 3" xfId="4283"/>
    <cellStyle name="표준 44 2 4 3 2 3 2" xfId="4857"/>
    <cellStyle name="표준 44 2 4 3 2 3 2 2" xfId="5754"/>
    <cellStyle name="표준 44 2 4 3 2 3 3" xfId="5306"/>
    <cellStyle name="표준 44 2 4 3 2 3 4" xfId="6344"/>
    <cellStyle name="표준 44 2 4 3 2 4" xfId="4708"/>
    <cellStyle name="표준 44 2 4 3 2 4 2" xfId="5605"/>
    <cellStyle name="표준 44 2 4 3 2 5" xfId="5157"/>
    <cellStyle name="표준 44 2 4 3 2 6" xfId="6195"/>
    <cellStyle name="표준 44 2 4 3 3" xfId="4355"/>
    <cellStyle name="표준 44 2 4 3 3 2" xfId="4929"/>
    <cellStyle name="표준 44 2 4 3 3 2 2" xfId="5826"/>
    <cellStyle name="표준 44 2 4 3 3 3" xfId="5378"/>
    <cellStyle name="표준 44 2 4 3 3 4" xfId="6416"/>
    <cellStyle name="표준 44 2 4 3 4" xfId="4206"/>
    <cellStyle name="표준 44 2 4 3 4 2" xfId="4780"/>
    <cellStyle name="표준 44 2 4 3 4 2 2" xfId="5677"/>
    <cellStyle name="표준 44 2 4 3 4 3" xfId="5229"/>
    <cellStyle name="표준 44 2 4 3 4 4" xfId="6267"/>
    <cellStyle name="표준 44 2 4 3 5" xfId="4631"/>
    <cellStyle name="표준 44 2 4 3 5 2" xfId="5528"/>
    <cellStyle name="표준 44 2 4 3 6" xfId="5080"/>
    <cellStyle name="표준 44 2 4 3 7" xfId="6116"/>
    <cellStyle name="표준 44 2 4 4" xfId="4084"/>
    <cellStyle name="표준 44 2 4 4 2" xfId="4382"/>
    <cellStyle name="표준 44 2 4 4 2 2" xfId="4956"/>
    <cellStyle name="표준 44 2 4 4 2 2 2" xfId="5853"/>
    <cellStyle name="표준 44 2 4 4 2 3" xfId="5405"/>
    <cellStyle name="표준 44 2 4 4 2 4" xfId="6443"/>
    <cellStyle name="표준 44 2 4 4 3" xfId="4233"/>
    <cellStyle name="표준 44 2 4 4 3 2" xfId="4807"/>
    <cellStyle name="표준 44 2 4 4 3 2 2" xfId="5704"/>
    <cellStyle name="표준 44 2 4 4 3 3" xfId="5256"/>
    <cellStyle name="표준 44 2 4 4 3 4" xfId="6294"/>
    <cellStyle name="표준 44 2 4 4 4" xfId="4658"/>
    <cellStyle name="표준 44 2 4 4 4 2" xfId="5555"/>
    <cellStyle name="표준 44 2 4 4 5" xfId="5107"/>
    <cellStyle name="표준 44 2 4 4 6" xfId="6145"/>
    <cellStyle name="표준 44 2 4 5" xfId="4305"/>
    <cellStyle name="표준 44 2 4 5 2" xfId="4879"/>
    <cellStyle name="표준 44 2 4 5 2 2" xfId="5776"/>
    <cellStyle name="표준 44 2 4 5 3" xfId="5328"/>
    <cellStyle name="표준 44 2 4 5 4" xfId="6366"/>
    <cellStyle name="표준 44 2 4 6" xfId="4156"/>
    <cellStyle name="표준 44 2 4 6 2" xfId="4730"/>
    <cellStyle name="표준 44 2 4 6 2 2" xfId="5627"/>
    <cellStyle name="표준 44 2 4 6 3" xfId="5179"/>
    <cellStyle name="표준 44 2 4 6 4" xfId="6217"/>
    <cellStyle name="표준 44 2 4 7" xfId="4581"/>
    <cellStyle name="표준 44 2 4 7 2" xfId="5478"/>
    <cellStyle name="표준 44 2 4 8" xfId="5030"/>
    <cellStyle name="표준 44 2 4 9" xfId="6061"/>
    <cellStyle name="표준 44 2 5" xfId="3974"/>
    <cellStyle name="표준 44 2 5 2" xfId="4123"/>
    <cellStyle name="표준 44 2 5 2 2" xfId="4421"/>
    <cellStyle name="표준 44 2 5 2 2 2" xfId="4995"/>
    <cellStyle name="표준 44 2 5 2 2 2 2" xfId="5892"/>
    <cellStyle name="표준 44 2 5 2 2 3" xfId="5444"/>
    <cellStyle name="표준 44 2 5 2 2 4" xfId="6482"/>
    <cellStyle name="표준 44 2 5 2 3" xfId="4272"/>
    <cellStyle name="표준 44 2 5 2 3 2" xfId="4846"/>
    <cellStyle name="표준 44 2 5 2 3 2 2" xfId="5743"/>
    <cellStyle name="표준 44 2 5 2 3 3" xfId="5295"/>
    <cellStyle name="표준 44 2 5 2 3 4" xfId="6333"/>
    <cellStyle name="표준 44 2 5 2 4" xfId="4697"/>
    <cellStyle name="표준 44 2 5 2 4 2" xfId="5594"/>
    <cellStyle name="표준 44 2 5 2 5" xfId="5146"/>
    <cellStyle name="표준 44 2 5 2 6" xfId="6184"/>
    <cellStyle name="표준 44 2 5 3" xfId="4344"/>
    <cellStyle name="표준 44 2 5 3 2" xfId="4918"/>
    <cellStyle name="표준 44 2 5 3 2 2" xfId="5815"/>
    <cellStyle name="표준 44 2 5 3 3" xfId="5367"/>
    <cellStyle name="표준 44 2 5 3 4" xfId="6405"/>
    <cellStyle name="표준 44 2 5 4" xfId="4195"/>
    <cellStyle name="표준 44 2 5 4 2" xfId="4769"/>
    <cellStyle name="표준 44 2 5 4 2 2" xfId="5666"/>
    <cellStyle name="표준 44 2 5 4 3" xfId="5218"/>
    <cellStyle name="표준 44 2 5 4 4" xfId="6256"/>
    <cellStyle name="표준 44 2 5 5" xfId="4620"/>
    <cellStyle name="표준 44 2 5 5 2" xfId="5517"/>
    <cellStyle name="표준 44 2 5 6" xfId="5069"/>
    <cellStyle name="표준 44 2 5 7" xfId="6105"/>
    <cellStyle name="표준 44 2 6" xfId="4070"/>
    <cellStyle name="표준 44 2 6 2" xfId="4368"/>
    <cellStyle name="표준 44 2 6 2 2" xfId="4942"/>
    <cellStyle name="표준 44 2 6 2 2 2" xfId="5839"/>
    <cellStyle name="표준 44 2 6 2 3" xfId="5391"/>
    <cellStyle name="표준 44 2 6 2 4" xfId="6429"/>
    <cellStyle name="표준 44 2 6 3" xfId="4219"/>
    <cellStyle name="표준 44 2 6 3 2" xfId="4793"/>
    <cellStyle name="표준 44 2 6 3 2 2" xfId="5690"/>
    <cellStyle name="표준 44 2 6 3 3" xfId="5242"/>
    <cellStyle name="표준 44 2 6 3 4" xfId="6280"/>
    <cellStyle name="표준 44 2 6 4" xfId="4644"/>
    <cellStyle name="표준 44 2 6 4 2" xfId="5541"/>
    <cellStyle name="표준 44 2 6 5" xfId="5093"/>
    <cellStyle name="표준 44 2 6 6" xfId="6131"/>
    <cellStyle name="표준 44 2 7" xfId="4294"/>
    <cellStyle name="표준 44 2 7 2" xfId="4868"/>
    <cellStyle name="표준 44 2 7 2 2" xfId="5765"/>
    <cellStyle name="표준 44 2 7 3" xfId="5317"/>
    <cellStyle name="표준 44 2 7 4" xfId="6355"/>
    <cellStyle name="표준 44 2 8" xfId="4145"/>
    <cellStyle name="표준 44 2 8 2" xfId="4719"/>
    <cellStyle name="표준 44 2 8 2 2" xfId="5616"/>
    <cellStyle name="표준 44 2 8 3" xfId="5168"/>
    <cellStyle name="표준 44 2 8 4" xfId="6206"/>
    <cellStyle name="표준 44 2 9" xfId="4565"/>
    <cellStyle name="표준 44 2 9 2" xfId="5467"/>
    <cellStyle name="표준 44 3" xfId="3563"/>
    <cellStyle name="표준 44 3 10" xfId="6052"/>
    <cellStyle name="표준 44 3 2" xfId="3794"/>
    <cellStyle name="표준 44 3 2 2" xfId="3962"/>
    <cellStyle name="표준 44 3 2 2 2" xfId="4111"/>
    <cellStyle name="표준 44 3 2 2 2 2" xfId="4409"/>
    <cellStyle name="표준 44 3 2 2 2 2 2" xfId="4983"/>
    <cellStyle name="표준 44 3 2 2 2 2 2 2" xfId="5880"/>
    <cellStyle name="표준 44 3 2 2 2 2 3" xfId="5432"/>
    <cellStyle name="표준 44 3 2 2 2 2 4" xfId="6470"/>
    <cellStyle name="표준 44 3 2 2 2 3" xfId="4260"/>
    <cellStyle name="표준 44 3 2 2 2 3 2" xfId="4834"/>
    <cellStyle name="표준 44 3 2 2 2 3 2 2" xfId="5731"/>
    <cellStyle name="표준 44 3 2 2 2 3 3" xfId="5283"/>
    <cellStyle name="표준 44 3 2 2 2 3 4" xfId="6321"/>
    <cellStyle name="표준 44 3 2 2 2 4" xfId="4685"/>
    <cellStyle name="표준 44 3 2 2 2 4 2" xfId="5582"/>
    <cellStyle name="표준 44 3 2 2 2 5" xfId="5134"/>
    <cellStyle name="표준 44 3 2 2 2 6" xfId="6172"/>
    <cellStyle name="표준 44 3 2 2 3" xfId="4332"/>
    <cellStyle name="표준 44 3 2 2 3 2" xfId="4906"/>
    <cellStyle name="표준 44 3 2 2 3 2 2" xfId="5803"/>
    <cellStyle name="표준 44 3 2 2 3 3" xfId="5355"/>
    <cellStyle name="표준 44 3 2 2 3 4" xfId="6393"/>
    <cellStyle name="표준 44 3 2 2 4" xfId="4183"/>
    <cellStyle name="표준 44 3 2 2 4 2" xfId="4757"/>
    <cellStyle name="표준 44 3 2 2 4 2 2" xfId="5654"/>
    <cellStyle name="표준 44 3 2 2 4 3" xfId="5206"/>
    <cellStyle name="표준 44 3 2 2 4 4" xfId="6244"/>
    <cellStyle name="표준 44 3 2 2 5" xfId="4608"/>
    <cellStyle name="표준 44 3 2 2 5 2" xfId="5505"/>
    <cellStyle name="표준 44 3 2 2 6" xfId="5057"/>
    <cellStyle name="표준 44 3 2 2 7" xfId="6093"/>
    <cellStyle name="표준 44 3 2 3" xfId="3988"/>
    <cellStyle name="표준 44 3 2 3 2" xfId="4137"/>
    <cellStyle name="표준 44 3 2 3 2 2" xfId="4435"/>
    <cellStyle name="표준 44 3 2 3 2 2 2" xfId="5009"/>
    <cellStyle name="표준 44 3 2 3 2 2 2 2" xfId="5906"/>
    <cellStyle name="표준 44 3 2 3 2 2 3" xfId="5458"/>
    <cellStyle name="표준 44 3 2 3 2 2 4" xfId="6496"/>
    <cellStyle name="표준 44 3 2 3 2 3" xfId="4286"/>
    <cellStyle name="표준 44 3 2 3 2 3 2" xfId="4860"/>
    <cellStyle name="표준 44 3 2 3 2 3 2 2" xfId="5757"/>
    <cellStyle name="표준 44 3 2 3 2 3 3" xfId="5309"/>
    <cellStyle name="표준 44 3 2 3 2 3 4" xfId="6347"/>
    <cellStyle name="표준 44 3 2 3 2 4" xfId="4711"/>
    <cellStyle name="표준 44 3 2 3 2 4 2" xfId="5608"/>
    <cellStyle name="표준 44 3 2 3 2 5" xfId="5160"/>
    <cellStyle name="표준 44 3 2 3 2 6" xfId="6198"/>
    <cellStyle name="표준 44 3 2 3 3" xfId="4358"/>
    <cellStyle name="표준 44 3 2 3 3 2" xfId="4932"/>
    <cellStyle name="표준 44 3 2 3 3 2 2" xfId="5829"/>
    <cellStyle name="표준 44 3 2 3 3 3" xfId="5381"/>
    <cellStyle name="표준 44 3 2 3 3 4" xfId="6419"/>
    <cellStyle name="표준 44 3 2 3 4" xfId="4209"/>
    <cellStyle name="표준 44 3 2 3 4 2" xfId="4783"/>
    <cellStyle name="표준 44 3 2 3 4 2 2" xfId="5680"/>
    <cellStyle name="표준 44 3 2 3 4 3" xfId="5232"/>
    <cellStyle name="표준 44 3 2 3 4 4" xfId="6270"/>
    <cellStyle name="표준 44 3 2 3 5" xfId="4634"/>
    <cellStyle name="표준 44 3 2 3 5 2" xfId="5531"/>
    <cellStyle name="표준 44 3 2 3 6" xfId="5083"/>
    <cellStyle name="표준 44 3 2 3 7" xfId="6119"/>
    <cellStyle name="표준 44 3 2 4" xfId="4087"/>
    <cellStyle name="표준 44 3 2 4 2" xfId="4385"/>
    <cellStyle name="표준 44 3 2 4 2 2" xfId="4959"/>
    <cellStyle name="표준 44 3 2 4 2 2 2" xfId="5856"/>
    <cellStyle name="표준 44 3 2 4 2 3" xfId="5408"/>
    <cellStyle name="표준 44 3 2 4 2 4" xfId="6446"/>
    <cellStyle name="표준 44 3 2 4 3" xfId="4236"/>
    <cellStyle name="표준 44 3 2 4 3 2" xfId="4810"/>
    <cellStyle name="표준 44 3 2 4 3 2 2" xfId="5707"/>
    <cellStyle name="표준 44 3 2 4 3 3" xfId="5259"/>
    <cellStyle name="표준 44 3 2 4 3 4" xfId="6297"/>
    <cellStyle name="표준 44 3 2 4 4" xfId="4661"/>
    <cellStyle name="표준 44 3 2 4 4 2" xfId="5558"/>
    <cellStyle name="표준 44 3 2 4 5" xfId="5110"/>
    <cellStyle name="표준 44 3 2 4 6" xfId="6148"/>
    <cellStyle name="표준 44 3 2 5" xfId="4308"/>
    <cellStyle name="표준 44 3 2 5 2" xfId="4882"/>
    <cellStyle name="표준 44 3 2 5 2 2" xfId="5779"/>
    <cellStyle name="표준 44 3 2 5 3" xfId="5331"/>
    <cellStyle name="표준 44 3 2 5 4" xfId="6369"/>
    <cellStyle name="표준 44 3 2 6" xfId="4159"/>
    <cellStyle name="표준 44 3 2 6 2" xfId="4733"/>
    <cellStyle name="표준 44 3 2 6 2 2" xfId="5630"/>
    <cellStyle name="표준 44 3 2 6 3" xfId="5182"/>
    <cellStyle name="표준 44 3 2 6 4" xfId="6220"/>
    <cellStyle name="표준 44 3 2 7" xfId="4584"/>
    <cellStyle name="표준 44 3 2 7 2" xfId="5481"/>
    <cellStyle name="표준 44 3 2 8" xfId="5033"/>
    <cellStyle name="표준 44 3 2 9" xfId="6064"/>
    <cellStyle name="표준 44 3 3" xfId="3937"/>
    <cellStyle name="표준 44 3 3 2" xfId="4099"/>
    <cellStyle name="표준 44 3 3 2 2" xfId="4397"/>
    <cellStyle name="표준 44 3 3 2 2 2" xfId="4971"/>
    <cellStyle name="표준 44 3 3 2 2 2 2" xfId="5868"/>
    <cellStyle name="표준 44 3 3 2 2 3" xfId="5420"/>
    <cellStyle name="표준 44 3 3 2 2 4" xfId="6458"/>
    <cellStyle name="표준 44 3 3 2 3" xfId="4248"/>
    <cellStyle name="표준 44 3 3 2 3 2" xfId="4822"/>
    <cellStyle name="표준 44 3 3 2 3 2 2" xfId="5719"/>
    <cellStyle name="표준 44 3 3 2 3 3" xfId="5271"/>
    <cellStyle name="표준 44 3 3 2 3 4" xfId="6309"/>
    <cellStyle name="표준 44 3 3 2 4" xfId="4673"/>
    <cellStyle name="표준 44 3 3 2 4 2" xfId="5570"/>
    <cellStyle name="표준 44 3 3 2 5" xfId="5122"/>
    <cellStyle name="표준 44 3 3 2 6" xfId="6160"/>
    <cellStyle name="표준 44 3 3 3" xfId="4320"/>
    <cellStyle name="표준 44 3 3 3 2" xfId="4894"/>
    <cellStyle name="표준 44 3 3 3 2 2" xfId="5791"/>
    <cellStyle name="표준 44 3 3 3 3" xfId="5343"/>
    <cellStyle name="표준 44 3 3 3 4" xfId="6381"/>
    <cellStyle name="표준 44 3 3 4" xfId="4171"/>
    <cellStyle name="표준 44 3 3 4 2" xfId="4745"/>
    <cellStyle name="표준 44 3 3 4 2 2" xfId="5642"/>
    <cellStyle name="표준 44 3 3 4 3" xfId="5194"/>
    <cellStyle name="표준 44 3 3 4 4" xfId="6232"/>
    <cellStyle name="표준 44 3 3 5" xfId="4596"/>
    <cellStyle name="표준 44 3 3 5 2" xfId="5493"/>
    <cellStyle name="표준 44 3 3 6" xfId="5045"/>
    <cellStyle name="표준 44 3 3 7" xfId="6081"/>
    <cellStyle name="표준 44 3 4" xfId="3977"/>
    <cellStyle name="표준 44 3 4 2" xfId="4126"/>
    <cellStyle name="표준 44 3 4 2 2" xfId="4424"/>
    <cellStyle name="표준 44 3 4 2 2 2" xfId="4998"/>
    <cellStyle name="표준 44 3 4 2 2 2 2" xfId="5895"/>
    <cellStyle name="표준 44 3 4 2 2 3" xfId="5447"/>
    <cellStyle name="표준 44 3 4 2 2 4" xfId="6485"/>
    <cellStyle name="표준 44 3 4 2 3" xfId="4275"/>
    <cellStyle name="표준 44 3 4 2 3 2" xfId="4849"/>
    <cellStyle name="표준 44 3 4 2 3 2 2" xfId="5746"/>
    <cellStyle name="표준 44 3 4 2 3 3" xfId="5298"/>
    <cellStyle name="표준 44 3 4 2 3 4" xfId="6336"/>
    <cellStyle name="표준 44 3 4 2 4" xfId="4700"/>
    <cellStyle name="표준 44 3 4 2 4 2" xfId="5597"/>
    <cellStyle name="표준 44 3 4 2 5" xfId="5149"/>
    <cellStyle name="표준 44 3 4 2 6" xfId="6187"/>
    <cellStyle name="표준 44 3 4 3" xfId="4347"/>
    <cellStyle name="표준 44 3 4 3 2" xfId="4921"/>
    <cellStyle name="표준 44 3 4 3 2 2" xfId="5818"/>
    <cellStyle name="표준 44 3 4 3 3" xfId="5370"/>
    <cellStyle name="표준 44 3 4 3 4" xfId="6408"/>
    <cellStyle name="표준 44 3 4 4" xfId="4198"/>
    <cellStyle name="표준 44 3 4 4 2" xfId="4772"/>
    <cellStyle name="표준 44 3 4 4 2 2" xfId="5669"/>
    <cellStyle name="표준 44 3 4 4 3" xfId="5221"/>
    <cellStyle name="표준 44 3 4 4 4" xfId="6259"/>
    <cellStyle name="표준 44 3 4 5" xfId="4623"/>
    <cellStyle name="표준 44 3 4 5 2" xfId="5520"/>
    <cellStyle name="표준 44 3 4 6" xfId="5072"/>
    <cellStyle name="표준 44 3 4 7" xfId="6108"/>
    <cellStyle name="표준 44 3 5" xfId="4076"/>
    <cellStyle name="표준 44 3 5 2" xfId="4374"/>
    <cellStyle name="표준 44 3 5 2 2" xfId="4948"/>
    <cellStyle name="표준 44 3 5 2 2 2" xfId="5845"/>
    <cellStyle name="표준 44 3 5 2 3" xfId="5397"/>
    <cellStyle name="표준 44 3 5 2 4" xfId="6435"/>
    <cellStyle name="표준 44 3 5 3" xfId="4225"/>
    <cellStyle name="표준 44 3 5 3 2" xfId="4799"/>
    <cellStyle name="표준 44 3 5 3 2 2" xfId="5696"/>
    <cellStyle name="표준 44 3 5 3 3" xfId="5248"/>
    <cellStyle name="표준 44 3 5 3 4" xfId="6286"/>
    <cellStyle name="표준 44 3 5 4" xfId="4650"/>
    <cellStyle name="표준 44 3 5 4 2" xfId="5547"/>
    <cellStyle name="표준 44 3 5 5" xfId="5099"/>
    <cellStyle name="표준 44 3 5 6" xfId="6137"/>
    <cellStyle name="표준 44 3 6" xfId="4297"/>
    <cellStyle name="표준 44 3 6 2" xfId="4871"/>
    <cellStyle name="표준 44 3 6 2 2" xfId="5768"/>
    <cellStyle name="표준 44 3 6 3" xfId="5320"/>
    <cellStyle name="표준 44 3 6 4" xfId="6358"/>
    <cellStyle name="표준 44 3 7" xfId="4148"/>
    <cellStyle name="표준 44 3 7 2" xfId="4722"/>
    <cellStyle name="표준 44 3 7 2 2" xfId="5619"/>
    <cellStyle name="표준 44 3 7 3" xfId="5171"/>
    <cellStyle name="표준 44 3 7 4" xfId="6209"/>
    <cellStyle name="표준 44 3 8" xfId="4569"/>
    <cellStyle name="표준 44 3 8 2" xfId="5470"/>
    <cellStyle name="표준 44 3 9" xfId="5022"/>
    <cellStyle name="표준 44 4" xfId="3786"/>
    <cellStyle name="표준 44 4 10" xfId="6057"/>
    <cellStyle name="표준 44 4 2" xfId="3800"/>
    <cellStyle name="표준 44 4 2 2" xfId="3966"/>
    <cellStyle name="표준 44 4 2 2 2" xfId="4115"/>
    <cellStyle name="표준 44 4 2 2 2 2" xfId="4413"/>
    <cellStyle name="표준 44 4 2 2 2 2 2" xfId="4987"/>
    <cellStyle name="표준 44 4 2 2 2 2 2 2" xfId="5884"/>
    <cellStyle name="표준 44 4 2 2 2 2 3" xfId="5436"/>
    <cellStyle name="표준 44 4 2 2 2 2 4" xfId="6474"/>
    <cellStyle name="표준 44 4 2 2 2 3" xfId="4264"/>
    <cellStyle name="표준 44 4 2 2 2 3 2" xfId="4838"/>
    <cellStyle name="표준 44 4 2 2 2 3 2 2" xfId="5735"/>
    <cellStyle name="표준 44 4 2 2 2 3 3" xfId="5287"/>
    <cellStyle name="표준 44 4 2 2 2 3 4" xfId="6325"/>
    <cellStyle name="표준 44 4 2 2 2 4" xfId="4689"/>
    <cellStyle name="표준 44 4 2 2 2 4 2" xfId="5586"/>
    <cellStyle name="표준 44 4 2 2 2 5" xfId="5138"/>
    <cellStyle name="표준 44 4 2 2 2 6" xfId="6176"/>
    <cellStyle name="표준 44 4 2 2 3" xfId="4336"/>
    <cellStyle name="표준 44 4 2 2 3 2" xfId="4910"/>
    <cellStyle name="표준 44 4 2 2 3 2 2" xfId="5807"/>
    <cellStyle name="표준 44 4 2 2 3 3" xfId="5359"/>
    <cellStyle name="표준 44 4 2 2 3 4" xfId="6397"/>
    <cellStyle name="표준 44 4 2 2 4" xfId="4187"/>
    <cellStyle name="표준 44 4 2 2 4 2" xfId="4761"/>
    <cellStyle name="표준 44 4 2 2 4 2 2" xfId="5658"/>
    <cellStyle name="표준 44 4 2 2 4 3" xfId="5210"/>
    <cellStyle name="표준 44 4 2 2 4 4" xfId="6248"/>
    <cellStyle name="표준 44 4 2 2 5" xfId="4612"/>
    <cellStyle name="표준 44 4 2 2 5 2" xfId="5509"/>
    <cellStyle name="표준 44 4 2 2 6" xfId="5061"/>
    <cellStyle name="표준 44 4 2 2 7" xfId="6097"/>
    <cellStyle name="표준 44 4 2 3" xfId="3992"/>
    <cellStyle name="표준 44 4 2 3 2" xfId="4141"/>
    <cellStyle name="표준 44 4 2 3 2 2" xfId="4439"/>
    <cellStyle name="표준 44 4 2 3 2 2 2" xfId="5013"/>
    <cellStyle name="표준 44 4 2 3 2 2 2 2" xfId="5910"/>
    <cellStyle name="표준 44 4 2 3 2 2 3" xfId="5462"/>
    <cellStyle name="표준 44 4 2 3 2 2 4" xfId="6500"/>
    <cellStyle name="표준 44 4 2 3 2 3" xfId="4290"/>
    <cellStyle name="표준 44 4 2 3 2 3 2" xfId="4864"/>
    <cellStyle name="표준 44 4 2 3 2 3 2 2" xfId="5761"/>
    <cellStyle name="표준 44 4 2 3 2 3 3" xfId="5313"/>
    <cellStyle name="표준 44 4 2 3 2 3 4" xfId="6351"/>
    <cellStyle name="표준 44 4 2 3 2 4" xfId="4715"/>
    <cellStyle name="표준 44 4 2 3 2 4 2" xfId="5612"/>
    <cellStyle name="표준 44 4 2 3 2 5" xfId="5164"/>
    <cellStyle name="표준 44 4 2 3 2 6" xfId="6202"/>
    <cellStyle name="표준 44 4 2 3 3" xfId="4362"/>
    <cellStyle name="표준 44 4 2 3 3 2" xfId="4936"/>
    <cellStyle name="표준 44 4 2 3 3 2 2" xfId="5833"/>
    <cellStyle name="표준 44 4 2 3 3 3" xfId="5385"/>
    <cellStyle name="표준 44 4 2 3 3 4" xfId="6423"/>
    <cellStyle name="표준 44 4 2 3 4" xfId="4213"/>
    <cellStyle name="표준 44 4 2 3 4 2" xfId="4787"/>
    <cellStyle name="표준 44 4 2 3 4 2 2" xfId="5684"/>
    <cellStyle name="표준 44 4 2 3 4 3" xfId="5236"/>
    <cellStyle name="표준 44 4 2 3 4 4" xfId="6274"/>
    <cellStyle name="표준 44 4 2 3 5" xfId="4638"/>
    <cellStyle name="표준 44 4 2 3 5 2" xfId="5535"/>
    <cellStyle name="표준 44 4 2 3 6" xfId="5087"/>
    <cellStyle name="표준 44 4 2 3 7" xfId="6123"/>
    <cellStyle name="표준 44 4 2 4" xfId="4091"/>
    <cellStyle name="표준 44 4 2 4 2" xfId="4389"/>
    <cellStyle name="표준 44 4 2 4 2 2" xfId="4963"/>
    <cellStyle name="표준 44 4 2 4 2 2 2" xfId="5860"/>
    <cellStyle name="표준 44 4 2 4 2 3" xfId="5412"/>
    <cellStyle name="표준 44 4 2 4 2 4" xfId="6450"/>
    <cellStyle name="표준 44 4 2 4 3" xfId="4240"/>
    <cellStyle name="표준 44 4 2 4 3 2" xfId="4814"/>
    <cellStyle name="표준 44 4 2 4 3 2 2" xfId="5711"/>
    <cellStyle name="표준 44 4 2 4 3 3" xfId="5263"/>
    <cellStyle name="표준 44 4 2 4 3 4" xfId="6301"/>
    <cellStyle name="표준 44 4 2 4 4" xfId="4665"/>
    <cellStyle name="표준 44 4 2 4 4 2" xfId="5562"/>
    <cellStyle name="표준 44 4 2 4 5" xfId="5114"/>
    <cellStyle name="표준 44 4 2 4 6" xfId="6152"/>
    <cellStyle name="표준 44 4 2 5" xfId="4312"/>
    <cellStyle name="표준 44 4 2 5 2" xfId="4886"/>
    <cellStyle name="표준 44 4 2 5 2 2" xfId="5783"/>
    <cellStyle name="표준 44 4 2 5 3" xfId="5335"/>
    <cellStyle name="표준 44 4 2 5 4" xfId="6373"/>
    <cellStyle name="표준 44 4 2 6" xfId="4163"/>
    <cellStyle name="표준 44 4 2 6 2" xfId="4737"/>
    <cellStyle name="표준 44 4 2 6 2 2" xfId="5634"/>
    <cellStyle name="표준 44 4 2 6 3" xfId="5186"/>
    <cellStyle name="표준 44 4 2 6 4" xfId="6224"/>
    <cellStyle name="표준 44 4 2 7" xfId="4588"/>
    <cellStyle name="표준 44 4 2 7 2" xfId="5485"/>
    <cellStyle name="표준 44 4 2 8" xfId="5037"/>
    <cellStyle name="표준 44 4 2 9" xfId="6068"/>
    <cellStyle name="표준 44 4 3" xfId="3955"/>
    <cellStyle name="표준 44 4 3 2" xfId="4104"/>
    <cellStyle name="표준 44 4 3 2 2" xfId="4402"/>
    <cellStyle name="표준 44 4 3 2 2 2" xfId="4976"/>
    <cellStyle name="표준 44 4 3 2 2 2 2" xfId="5873"/>
    <cellStyle name="표준 44 4 3 2 2 3" xfId="5425"/>
    <cellStyle name="표준 44 4 3 2 2 4" xfId="6463"/>
    <cellStyle name="표준 44 4 3 2 3" xfId="4253"/>
    <cellStyle name="표준 44 4 3 2 3 2" xfId="4827"/>
    <cellStyle name="표준 44 4 3 2 3 2 2" xfId="5724"/>
    <cellStyle name="표준 44 4 3 2 3 3" xfId="5276"/>
    <cellStyle name="표준 44 4 3 2 3 4" xfId="6314"/>
    <cellStyle name="표준 44 4 3 2 4" xfId="4678"/>
    <cellStyle name="표준 44 4 3 2 4 2" xfId="5575"/>
    <cellStyle name="표준 44 4 3 2 5" xfId="5127"/>
    <cellStyle name="표준 44 4 3 2 6" xfId="6165"/>
    <cellStyle name="표준 44 4 3 3" xfId="4325"/>
    <cellStyle name="표준 44 4 3 3 2" xfId="4899"/>
    <cellStyle name="표준 44 4 3 3 2 2" xfId="5796"/>
    <cellStyle name="표준 44 4 3 3 3" xfId="5348"/>
    <cellStyle name="표준 44 4 3 3 4" xfId="6386"/>
    <cellStyle name="표준 44 4 3 4" xfId="4176"/>
    <cellStyle name="표준 44 4 3 4 2" xfId="4750"/>
    <cellStyle name="표준 44 4 3 4 2 2" xfId="5647"/>
    <cellStyle name="표준 44 4 3 4 3" xfId="5199"/>
    <cellStyle name="표준 44 4 3 4 4" xfId="6237"/>
    <cellStyle name="표준 44 4 3 5" xfId="4601"/>
    <cellStyle name="표준 44 4 3 5 2" xfId="5498"/>
    <cellStyle name="표준 44 4 3 6" xfId="5050"/>
    <cellStyle name="표준 44 4 3 7" xfId="6086"/>
    <cellStyle name="표준 44 4 4" xfId="3981"/>
    <cellStyle name="표준 44 4 4 2" xfId="4130"/>
    <cellStyle name="표준 44 4 4 2 2" xfId="4428"/>
    <cellStyle name="표준 44 4 4 2 2 2" xfId="5002"/>
    <cellStyle name="표준 44 4 4 2 2 2 2" xfId="5899"/>
    <cellStyle name="표준 44 4 4 2 2 3" xfId="5451"/>
    <cellStyle name="표준 44 4 4 2 2 4" xfId="6489"/>
    <cellStyle name="표준 44 4 4 2 3" xfId="4279"/>
    <cellStyle name="표준 44 4 4 2 3 2" xfId="4853"/>
    <cellStyle name="표준 44 4 4 2 3 2 2" xfId="5750"/>
    <cellStyle name="표준 44 4 4 2 3 3" xfId="5302"/>
    <cellStyle name="표준 44 4 4 2 3 4" xfId="6340"/>
    <cellStyle name="표준 44 4 4 2 4" xfId="4704"/>
    <cellStyle name="표준 44 4 4 2 4 2" xfId="5601"/>
    <cellStyle name="표준 44 4 4 2 5" xfId="5153"/>
    <cellStyle name="표준 44 4 4 2 6" xfId="6191"/>
    <cellStyle name="표준 44 4 4 3" xfId="4351"/>
    <cellStyle name="표준 44 4 4 3 2" xfId="4925"/>
    <cellStyle name="표준 44 4 4 3 2 2" xfId="5822"/>
    <cellStyle name="표준 44 4 4 3 3" xfId="5374"/>
    <cellStyle name="표준 44 4 4 3 4" xfId="6412"/>
    <cellStyle name="표준 44 4 4 4" xfId="4202"/>
    <cellStyle name="표준 44 4 4 4 2" xfId="4776"/>
    <cellStyle name="표준 44 4 4 4 2 2" xfId="5673"/>
    <cellStyle name="표준 44 4 4 4 3" xfId="5225"/>
    <cellStyle name="표준 44 4 4 4 4" xfId="6263"/>
    <cellStyle name="표준 44 4 4 5" xfId="4627"/>
    <cellStyle name="표준 44 4 4 5 2" xfId="5524"/>
    <cellStyle name="표준 44 4 4 6" xfId="5076"/>
    <cellStyle name="표준 44 4 4 7" xfId="6112"/>
    <cellStyle name="표준 44 4 5" xfId="4080"/>
    <cellStyle name="표준 44 4 5 2" xfId="4378"/>
    <cellStyle name="표준 44 4 5 2 2" xfId="4952"/>
    <cellStyle name="표준 44 4 5 2 2 2" xfId="5849"/>
    <cellStyle name="표준 44 4 5 2 3" xfId="5401"/>
    <cellStyle name="표준 44 4 5 2 4" xfId="6439"/>
    <cellStyle name="표준 44 4 5 3" xfId="4229"/>
    <cellStyle name="표준 44 4 5 3 2" xfId="4803"/>
    <cellStyle name="표준 44 4 5 3 2 2" xfId="5700"/>
    <cellStyle name="표준 44 4 5 3 3" xfId="5252"/>
    <cellStyle name="표준 44 4 5 3 4" xfId="6290"/>
    <cellStyle name="표준 44 4 5 4" xfId="4654"/>
    <cellStyle name="표준 44 4 5 4 2" xfId="5551"/>
    <cellStyle name="표준 44 4 5 5" xfId="5103"/>
    <cellStyle name="표준 44 4 5 6" xfId="6141"/>
    <cellStyle name="표준 44 4 6" xfId="4301"/>
    <cellStyle name="표준 44 4 6 2" xfId="4875"/>
    <cellStyle name="표준 44 4 6 2 2" xfId="5772"/>
    <cellStyle name="표준 44 4 6 3" xfId="5324"/>
    <cellStyle name="표준 44 4 6 4" xfId="6362"/>
    <cellStyle name="표준 44 4 7" xfId="4152"/>
    <cellStyle name="표준 44 4 7 2" xfId="4726"/>
    <cellStyle name="표준 44 4 7 2 2" xfId="5623"/>
    <cellStyle name="표준 44 4 7 3" xfId="5175"/>
    <cellStyle name="표준 44 4 7 4" xfId="6213"/>
    <cellStyle name="표준 44 4 8" xfId="4577"/>
    <cellStyle name="표준 44 4 8 2" xfId="5474"/>
    <cellStyle name="표준 44 4 9" xfId="5026"/>
    <cellStyle name="표준 44 5" xfId="3804"/>
    <cellStyle name="표준 44 5 2" xfId="3970"/>
    <cellStyle name="표준 44 5 2 2" xfId="4119"/>
    <cellStyle name="표준 44 5 2 2 2" xfId="4417"/>
    <cellStyle name="표준 44 5 2 2 2 2" xfId="4991"/>
    <cellStyle name="표준 44 5 2 2 2 2 2" xfId="5888"/>
    <cellStyle name="표준 44 5 2 2 2 3" xfId="5440"/>
    <cellStyle name="표준 44 5 2 2 2 4" xfId="6478"/>
    <cellStyle name="표준 44 5 2 2 3" xfId="4268"/>
    <cellStyle name="표준 44 5 2 2 3 2" xfId="4842"/>
    <cellStyle name="표준 44 5 2 2 3 2 2" xfId="5739"/>
    <cellStyle name="표준 44 5 2 2 3 3" xfId="5291"/>
    <cellStyle name="표준 44 5 2 2 3 4" xfId="6329"/>
    <cellStyle name="표준 44 5 2 2 4" xfId="4693"/>
    <cellStyle name="표준 44 5 2 2 4 2" xfId="5590"/>
    <cellStyle name="표준 44 5 2 2 5" xfId="5142"/>
    <cellStyle name="표준 44 5 2 2 6" xfId="6180"/>
    <cellStyle name="표준 44 5 2 3" xfId="4340"/>
    <cellStyle name="표준 44 5 2 3 2" xfId="4914"/>
    <cellStyle name="표준 44 5 2 3 2 2" xfId="5811"/>
    <cellStyle name="표준 44 5 2 3 3" xfId="5363"/>
    <cellStyle name="표준 44 5 2 3 4" xfId="6401"/>
    <cellStyle name="표준 44 5 2 4" xfId="4191"/>
    <cellStyle name="표준 44 5 2 4 2" xfId="4765"/>
    <cellStyle name="표준 44 5 2 4 2 2" xfId="5662"/>
    <cellStyle name="표준 44 5 2 4 3" xfId="5214"/>
    <cellStyle name="표준 44 5 2 4 4" xfId="6252"/>
    <cellStyle name="표준 44 5 2 5" xfId="4616"/>
    <cellStyle name="표준 44 5 2 5 2" xfId="5513"/>
    <cellStyle name="표준 44 5 2 6" xfId="5065"/>
    <cellStyle name="표준 44 5 2 7" xfId="6101"/>
    <cellStyle name="표준 44 5 3" xfId="4095"/>
    <cellStyle name="표준 44 5 3 2" xfId="4393"/>
    <cellStyle name="표준 44 5 3 2 2" xfId="4967"/>
    <cellStyle name="표준 44 5 3 2 2 2" xfId="5864"/>
    <cellStyle name="표준 44 5 3 2 3" xfId="5416"/>
    <cellStyle name="표준 44 5 3 2 4" xfId="6454"/>
    <cellStyle name="표준 44 5 3 3" xfId="4244"/>
    <cellStyle name="표준 44 5 3 3 2" xfId="4818"/>
    <cellStyle name="표준 44 5 3 3 2 2" xfId="5715"/>
    <cellStyle name="표준 44 5 3 3 3" xfId="5267"/>
    <cellStyle name="표준 44 5 3 3 4" xfId="6305"/>
    <cellStyle name="표준 44 5 3 4" xfId="4669"/>
    <cellStyle name="표준 44 5 3 4 2" xfId="5566"/>
    <cellStyle name="표준 44 5 3 5" xfId="5118"/>
    <cellStyle name="표준 44 5 3 6" xfId="6156"/>
    <cellStyle name="표준 44 5 4" xfId="4316"/>
    <cellStyle name="표준 44 5 4 2" xfId="4890"/>
    <cellStyle name="표준 44 5 4 2 2" xfId="5787"/>
    <cellStyle name="표준 44 5 4 3" xfId="5339"/>
    <cellStyle name="표준 44 5 4 4" xfId="6377"/>
    <cellStyle name="표준 44 5 5" xfId="4167"/>
    <cellStyle name="표준 44 5 5 2" xfId="4741"/>
    <cellStyle name="표준 44 5 5 2 2" xfId="5638"/>
    <cellStyle name="표준 44 5 5 3" xfId="5190"/>
    <cellStyle name="표준 44 5 5 4" xfId="6228"/>
    <cellStyle name="표준 44 5 6" xfId="4592"/>
    <cellStyle name="표준 44 5 6 2" xfId="5489"/>
    <cellStyle name="표준 44 5 7" xfId="5041"/>
    <cellStyle name="표준 44 5 8" xfId="6072"/>
    <cellStyle name="표준 45" xfId="3258"/>
    <cellStyle name="표준 45 2" xfId="3564"/>
    <cellStyle name="표준 46" xfId="3259"/>
    <cellStyle name="표준 46 2" xfId="3565"/>
    <cellStyle name="표준 47" xfId="3260"/>
    <cellStyle name="표준 47 2" xfId="3566"/>
    <cellStyle name="표준 48" xfId="3261"/>
    <cellStyle name="표준 48 2" xfId="3768"/>
    <cellStyle name="표준 48 2 2" xfId="3951"/>
    <cellStyle name="표준 48 2 3" xfId="3925"/>
    <cellStyle name="표준 49" xfId="3262"/>
    <cellStyle name="표준 49 2" xfId="3769"/>
    <cellStyle name="표준 5" xfId="3249"/>
    <cellStyle name="표준 5 2" xfId="3250"/>
    <cellStyle name="표준 5 3" xfId="3770"/>
    <cellStyle name="표준 50" xfId="3263"/>
    <cellStyle name="표준 50 2" xfId="3771"/>
    <cellStyle name="표준 51" xfId="9"/>
    <cellStyle name="표준 51 2" xfId="3772"/>
    <cellStyle name="표준 52" xfId="3264"/>
    <cellStyle name="표준 52 2" xfId="3773"/>
    <cellStyle name="표준 53" xfId="3265"/>
    <cellStyle name="표준 53 2" xfId="3774"/>
    <cellStyle name="표준 54" xfId="3266"/>
    <cellStyle name="표준 54 2" xfId="3775"/>
    <cellStyle name="표준 55" xfId="3267"/>
    <cellStyle name="표준 55 2" xfId="3776"/>
    <cellStyle name="표준 56" xfId="3575"/>
    <cellStyle name="표준 57" xfId="3576"/>
    <cellStyle name="표준 58" xfId="3277"/>
    <cellStyle name="표준 58 2" xfId="3567"/>
    <cellStyle name="표준 58 3" xfId="3777"/>
    <cellStyle name="표준 59" xfId="3568"/>
    <cellStyle name="표준 59 2" xfId="3569"/>
    <cellStyle name="표준 59 3" xfId="3778"/>
    <cellStyle name="표준 6" xfId="3251"/>
    <cellStyle name="표준 6 2" xfId="3779"/>
    <cellStyle name="표준 60" xfId="3577"/>
    <cellStyle name="표준 61" xfId="3578"/>
    <cellStyle name="표준 62" xfId="3570"/>
    <cellStyle name="표준 62 2" xfId="3579"/>
    <cellStyle name="표준 62 3" xfId="3795"/>
    <cellStyle name="표준 62 4" xfId="4570"/>
    <cellStyle name="표준 63" xfId="3571"/>
    <cellStyle name="표준 63 2" xfId="3582"/>
    <cellStyle name="표준 63 3" xfId="3796"/>
    <cellStyle name="표준 63 4" xfId="4571"/>
    <cellStyle name="표준 64" xfId="3583"/>
    <cellStyle name="표준 64 2" xfId="3950"/>
    <cellStyle name="표준 64 3" xfId="3926"/>
    <cellStyle name="표준 65" xfId="3580"/>
    <cellStyle name="표준 65 2" xfId="3949"/>
    <cellStyle name="표준 65 3" xfId="3927"/>
    <cellStyle name="표준 66" xfId="3581"/>
    <cellStyle name="표준 67" xfId="3594"/>
    <cellStyle name="표준 68" xfId="3595"/>
    <cellStyle name="표준 69" xfId="3584"/>
    <cellStyle name="표준 7" xfId="3252"/>
    <cellStyle name="표준 7 2" xfId="3780"/>
    <cellStyle name="표준 70" xfId="3586"/>
    <cellStyle name="표준 71" xfId="3697"/>
    <cellStyle name="표준 72" xfId="3585"/>
    <cellStyle name="표준 72 2" xfId="3698"/>
    <cellStyle name="표준 73" xfId="3587"/>
    <cellStyle name="표준 74" xfId="3588"/>
    <cellStyle name="표준 75" xfId="3589"/>
    <cellStyle name="표준 76" xfId="3590"/>
    <cellStyle name="표준 77" xfId="3591"/>
    <cellStyle name="표준 78" xfId="3592"/>
    <cellStyle name="표준 79" xfId="3593"/>
    <cellStyle name="표준 8" xfId="3253"/>
    <cellStyle name="표준 8 2" xfId="3781"/>
    <cellStyle name="표준 80" xfId="3596"/>
    <cellStyle name="표준 81" xfId="3597"/>
    <cellStyle name="표준 82" xfId="3598"/>
    <cellStyle name="표준 83" xfId="3600"/>
    <cellStyle name="표준 84" xfId="3599"/>
    <cellStyle name="표준 85" xfId="3601"/>
    <cellStyle name="표준 86" xfId="3603"/>
    <cellStyle name="표준 87" xfId="3602"/>
    <cellStyle name="표준 88" xfId="3604"/>
    <cellStyle name="표준 89" xfId="3605"/>
    <cellStyle name="표준 9" xfId="3254"/>
    <cellStyle name="표준 9 2" xfId="3782"/>
    <cellStyle name="표준 90" xfId="3606"/>
    <cellStyle name="표준 91" xfId="3607"/>
    <cellStyle name="표준 92" xfId="3608"/>
    <cellStyle name="표준 93" xfId="3609"/>
    <cellStyle name="표준 94" xfId="3610"/>
    <cellStyle name="표준 95" xfId="3611"/>
    <cellStyle name="표준 96" xfId="3613"/>
    <cellStyle name="표준 97" xfId="3612"/>
    <cellStyle name="표준 98" xfId="3614"/>
    <cellStyle name="표준 99" xfId="36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9"/>
  <sheetViews>
    <sheetView zoomScale="85" zoomScaleNormal="85" zoomScaleSheetLayoutView="85" workbookViewId="0">
      <pane xSplit="8" ySplit="6" topLeftCell="M19" activePane="bottomRight" state="frozen"/>
      <selection pane="topRight" activeCell="I1" sqref="I1"/>
      <selection pane="bottomLeft" activeCell="A7" sqref="A7"/>
      <selection pane="bottomRight" activeCell="B43" sqref="B43"/>
    </sheetView>
  </sheetViews>
  <sheetFormatPr defaultColWidth="8.69921875" defaultRowHeight="12.6"/>
  <cols>
    <col min="1" max="1" width="15.69921875" style="20" customWidth="1"/>
    <col min="2" max="2" width="20.69921875" style="21" customWidth="1"/>
    <col min="3" max="3" width="5.69921875" style="11" customWidth="1"/>
    <col min="4" max="4" width="8.69921875" style="1" customWidth="1"/>
    <col min="5" max="5" width="25.69921875" style="1" customWidth="1"/>
    <col min="6" max="6" width="8.69921875" style="1" customWidth="1"/>
    <col min="7" max="7" width="25.69921875" style="1" customWidth="1"/>
    <col min="8" max="8" width="40.69921875" style="1" customWidth="1"/>
    <col min="9" max="16384" width="8.69921875" style="1"/>
  </cols>
  <sheetData>
    <row r="1" spans="1:9" ht="75" customHeight="1">
      <c r="A1" s="290" t="s">
        <v>262</v>
      </c>
      <c r="B1" s="291"/>
      <c r="C1" s="291"/>
      <c r="D1" s="291"/>
      <c r="E1" s="291"/>
      <c r="F1" s="291"/>
      <c r="G1" s="291"/>
      <c r="H1" s="291"/>
    </row>
    <row r="2" spans="1:9" ht="7.2" customHeight="1">
      <c r="A2" s="2"/>
      <c r="B2" s="3"/>
      <c r="C2" s="2"/>
      <c r="D2" s="4"/>
      <c r="E2" s="4"/>
      <c r="F2" s="4"/>
      <c r="G2" s="4"/>
      <c r="H2" s="4"/>
    </row>
    <row r="3" spans="1:9" ht="25.2" customHeight="1">
      <c r="A3" s="34" t="s">
        <v>44</v>
      </c>
      <c r="B3" s="3"/>
      <c r="C3" s="5"/>
      <c r="D3" s="4"/>
      <c r="E3" s="4"/>
      <c r="F3" s="4"/>
      <c r="G3" s="4"/>
      <c r="H3" s="4"/>
    </row>
    <row r="4" spans="1:9" ht="7.2" customHeight="1">
      <c r="A4" s="7"/>
      <c r="B4" s="8"/>
      <c r="C4" s="6"/>
      <c r="D4" s="9"/>
      <c r="E4" s="9"/>
      <c r="F4" s="9"/>
      <c r="G4" s="9"/>
      <c r="H4" s="9"/>
    </row>
    <row r="5" spans="1:9" s="11" customFormat="1" ht="19.95" customHeight="1">
      <c r="A5" s="292" t="s">
        <v>0</v>
      </c>
      <c r="B5" s="294" t="s">
        <v>32</v>
      </c>
      <c r="C5" s="299" t="s">
        <v>31</v>
      </c>
      <c r="D5" s="296" t="s">
        <v>33</v>
      </c>
      <c r="E5" s="296"/>
      <c r="F5" s="297" t="s">
        <v>34</v>
      </c>
      <c r="G5" s="298"/>
      <c r="H5" s="294" t="s">
        <v>1</v>
      </c>
      <c r="I5" s="10"/>
    </row>
    <row r="6" spans="1:9" s="11" customFormat="1" ht="19.95" customHeight="1">
      <c r="A6" s="293"/>
      <c r="B6" s="295"/>
      <c r="C6" s="300"/>
      <c r="D6" s="258" t="s">
        <v>36</v>
      </c>
      <c r="E6" s="259" t="s">
        <v>37</v>
      </c>
      <c r="F6" s="260" t="s">
        <v>35</v>
      </c>
      <c r="G6" s="261" t="s">
        <v>37</v>
      </c>
      <c r="H6" s="295"/>
      <c r="I6" s="10"/>
    </row>
    <row r="7" spans="1:9" s="13" customFormat="1" ht="16.2" customHeight="1">
      <c r="A7" s="323" t="s">
        <v>205</v>
      </c>
      <c r="B7" s="268" t="s">
        <v>204</v>
      </c>
      <c r="C7" s="269">
        <v>1</v>
      </c>
      <c r="D7" s="270" t="s">
        <v>245</v>
      </c>
      <c r="E7" s="270" t="s">
        <v>245</v>
      </c>
      <c r="F7" s="271" t="s">
        <v>244</v>
      </c>
      <c r="G7" s="271" t="s">
        <v>247</v>
      </c>
      <c r="H7" s="272"/>
      <c r="I7" s="12"/>
    </row>
    <row r="8" spans="1:9" s="13" customFormat="1" ht="16.2" customHeight="1">
      <c r="A8" s="324"/>
      <c r="B8" s="19"/>
      <c r="C8" s="17">
        <v>2</v>
      </c>
      <c r="D8" s="31" t="s">
        <v>245</v>
      </c>
      <c r="E8" s="31" t="s">
        <v>245</v>
      </c>
      <c r="F8" s="30" t="s">
        <v>246</v>
      </c>
      <c r="G8" s="30" t="s">
        <v>247</v>
      </c>
      <c r="H8" s="273"/>
      <c r="I8" s="12"/>
    </row>
    <row r="9" spans="1:9" s="13" customFormat="1" ht="16.05" customHeight="1">
      <c r="A9" s="324"/>
      <c r="B9" s="19"/>
      <c r="C9" s="17">
        <v>3</v>
      </c>
      <c r="D9" s="31" t="s">
        <v>259</v>
      </c>
      <c r="E9" s="31" t="s">
        <v>260</v>
      </c>
      <c r="F9" s="30" t="s">
        <v>259</v>
      </c>
      <c r="G9" s="30" t="s">
        <v>261</v>
      </c>
      <c r="H9" s="273" t="s">
        <v>263</v>
      </c>
      <c r="I9" s="12"/>
    </row>
    <row r="10" spans="1:9" s="13" customFormat="1" ht="16.05" customHeight="1">
      <c r="A10" s="324"/>
      <c r="B10" s="19"/>
      <c r="C10" s="17">
        <v>4</v>
      </c>
      <c r="D10" s="31" t="s">
        <v>267</v>
      </c>
      <c r="E10" s="31" t="s">
        <v>268</v>
      </c>
      <c r="F10" s="30" t="s">
        <v>269</v>
      </c>
      <c r="G10" s="30" t="s">
        <v>269</v>
      </c>
      <c r="H10" s="273"/>
      <c r="I10" s="12"/>
    </row>
    <row r="11" spans="1:9" s="13" customFormat="1" ht="16.05" customHeight="1">
      <c r="A11" s="324"/>
      <c r="B11" s="19"/>
      <c r="C11" s="17">
        <v>5</v>
      </c>
      <c r="D11" s="31" t="s">
        <v>269</v>
      </c>
      <c r="E11" s="31" t="s">
        <v>269</v>
      </c>
      <c r="F11" s="30" t="s">
        <v>270</v>
      </c>
      <c r="G11" s="30" t="s">
        <v>272</v>
      </c>
      <c r="H11" s="273"/>
      <c r="I11" s="12"/>
    </row>
    <row r="12" spans="1:9" s="13" customFormat="1" ht="16.05" customHeight="1">
      <c r="A12" s="324"/>
      <c r="B12" s="19"/>
      <c r="C12" s="17">
        <v>6</v>
      </c>
      <c r="D12" s="31" t="s">
        <v>269</v>
      </c>
      <c r="E12" s="31" t="s">
        <v>269</v>
      </c>
      <c r="F12" s="30" t="s">
        <v>271</v>
      </c>
      <c r="G12" s="30" t="s">
        <v>273</v>
      </c>
      <c r="H12" s="273"/>
      <c r="I12" s="12"/>
    </row>
    <row r="13" spans="1:9" s="13" customFormat="1" ht="16.2" customHeight="1">
      <c r="A13" s="324"/>
      <c r="B13" s="19"/>
      <c r="C13" s="17">
        <v>7</v>
      </c>
      <c r="D13" s="31" t="s">
        <v>206</v>
      </c>
      <c r="E13" s="31" t="s">
        <v>208</v>
      </c>
      <c r="F13" s="30" t="s">
        <v>206</v>
      </c>
      <c r="G13" s="30" t="s">
        <v>210</v>
      </c>
      <c r="H13" s="273"/>
      <c r="I13" s="12"/>
    </row>
    <row r="14" spans="1:9" s="13" customFormat="1" ht="16.2" customHeight="1">
      <c r="A14" s="324"/>
      <c r="B14" s="19"/>
      <c r="C14" s="17">
        <v>8</v>
      </c>
      <c r="D14" s="31" t="s">
        <v>225</v>
      </c>
      <c r="E14" s="31" t="s">
        <v>207</v>
      </c>
      <c r="F14" s="30" t="s">
        <v>225</v>
      </c>
      <c r="G14" s="30" t="s">
        <v>209</v>
      </c>
      <c r="H14" s="273"/>
      <c r="I14" s="12"/>
    </row>
    <row r="15" spans="1:9" s="13" customFormat="1" ht="16.2" customHeight="1">
      <c r="A15" s="324"/>
      <c r="B15" s="19"/>
      <c r="C15" s="17">
        <v>9</v>
      </c>
      <c r="D15" s="31" t="s">
        <v>212</v>
      </c>
      <c r="E15" s="31" t="s">
        <v>226</v>
      </c>
      <c r="F15" s="30" t="s">
        <v>211</v>
      </c>
      <c r="G15" s="30" t="s">
        <v>228</v>
      </c>
      <c r="H15" s="273"/>
      <c r="I15" s="12"/>
    </row>
    <row r="16" spans="1:9" s="13" customFormat="1" ht="16.2" customHeight="1">
      <c r="A16" s="324"/>
      <c r="B16" s="19"/>
      <c r="C16" s="17">
        <v>10</v>
      </c>
      <c r="D16" s="31" t="s">
        <v>214</v>
      </c>
      <c r="E16" s="31" t="s">
        <v>226</v>
      </c>
      <c r="F16" s="30" t="s">
        <v>213</v>
      </c>
      <c r="G16" s="30" t="s">
        <v>228</v>
      </c>
      <c r="H16" s="273"/>
      <c r="I16" s="12"/>
    </row>
    <row r="17" spans="1:9" s="13" customFormat="1" ht="16.2" customHeight="1">
      <c r="A17" s="324"/>
      <c r="B17" s="19"/>
      <c r="C17" s="17">
        <v>11</v>
      </c>
      <c r="D17" s="31" t="s">
        <v>218</v>
      </c>
      <c r="E17" s="31" t="s">
        <v>227</v>
      </c>
      <c r="F17" s="30" t="s">
        <v>217</v>
      </c>
      <c r="G17" s="30" t="s">
        <v>229</v>
      </c>
      <c r="H17" s="273"/>
      <c r="I17" s="12"/>
    </row>
    <row r="18" spans="1:9" s="13" customFormat="1" ht="16.2" customHeight="1">
      <c r="A18" s="324"/>
      <c r="B18" s="19"/>
      <c r="C18" s="17">
        <v>12</v>
      </c>
      <c r="D18" s="31" t="s">
        <v>216</v>
      </c>
      <c r="E18" s="31" t="s">
        <v>226</v>
      </c>
      <c r="F18" s="30" t="s">
        <v>215</v>
      </c>
      <c r="G18" s="30" t="s">
        <v>228</v>
      </c>
      <c r="H18" s="273"/>
      <c r="I18" s="12"/>
    </row>
    <row r="19" spans="1:9" s="13" customFormat="1" ht="16.2" customHeight="1">
      <c r="A19" s="324"/>
      <c r="B19" s="19"/>
      <c r="C19" s="17">
        <v>13</v>
      </c>
      <c r="D19" s="31" t="s">
        <v>220</v>
      </c>
      <c r="E19" s="31" t="s">
        <v>226</v>
      </c>
      <c r="F19" s="30" t="s">
        <v>219</v>
      </c>
      <c r="G19" s="30" t="s">
        <v>230</v>
      </c>
      <c r="H19" s="273"/>
      <c r="I19" s="12"/>
    </row>
    <row r="20" spans="1:9" s="13" customFormat="1" ht="16.2" customHeight="1">
      <c r="A20" s="324"/>
      <c r="B20" s="19"/>
      <c r="C20" s="17">
        <v>14</v>
      </c>
      <c r="D20" s="31" t="s">
        <v>222</v>
      </c>
      <c r="E20" s="31" t="s">
        <v>228</v>
      </c>
      <c r="F20" s="30" t="s">
        <v>221</v>
      </c>
      <c r="G20" s="30" t="s">
        <v>230</v>
      </c>
      <c r="H20" s="273"/>
      <c r="I20" s="12"/>
    </row>
    <row r="21" spans="1:9" s="13" customFormat="1" ht="16.2" customHeight="1">
      <c r="A21" s="324"/>
      <c r="B21" s="19"/>
      <c r="C21" s="17">
        <v>15</v>
      </c>
      <c r="D21" s="31" t="s">
        <v>224</v>
      </c>
      <c r="E21" s="31" t="s">
        <v>227</v>
      </c>
      <c r="F21" s="30" t="s">
        <v>223</v>
      </c>
      <c r="G21" s="30" t="s">
        <v>229</v>
      </c>
      <c r="H21" s="273"/>
      <c r="I21" s="12"/>
    </row>
    <row r="22" spans="1:9" s="13" customFormat="1" ht="16.2" customHeight="1">
      <c r="A22" s="324"/>
      <c r="B22" s="19"/>
      <c r="C22" s="17">
        <v>16</v>
      </c>
      <c r="D22" s="31" t="s">
        <v>232</v>
      </c>
      <c r="E22" s="31" t="s">
        <v>242</v>
      </c>
      <c r="F22" s="30" t="s">
        <v>231</v>
      </c>
      <c r="G22" s="30" t="s">
        <v>243</v>
      </c>
      <c r="H22" s="273"/>
      <c r="I22" s="12"/>
    </row>
    <row r="23" spans="1:9" s="13" customFormat="1" ht="16.2" customHeight="1">
      <c r="A23" s="324"/>
      <c r="B23" s="19"/>
      <c r="C23" s="17">
        <v>17</v>
      </c>
      <c r="D23" s="31" t="s">
        <v>234</v>
      </c>
      <c r="E23" s="31" t="s">
        <v>242</v>
      </c>
      <c r="F23" s="30" t="s">
        <v>233</v>
      </c>
      <c r="G23" s="30" t="s">
        <v>243</v>
      </c>
      <c r="H23" s="273"/>
      <c r="I23" s="12"/>
    </row>
    <row r="24" spans="1:9" s="13" customFormat="1" ht="16.2" customHeight="1">
      <c r="A24" s="324"/>
      <c r="B24" s="19"/>
      <c r="C24" s="17">
        <v>18</v>
      </c>
      <c r="D24" s="31" t="s">
        <v>235</v>
      </c>
      <c r="E24" s="31" t="s">
        <v>242</v>
      </c>
      <c r="F24" s="30" t="s">
        <v>235</v>
      </c>
      <c r="G24" s="30" t="s">
        <v>243</v>
      </c>
      <c r="H24" s="273"/>
      <c r="I24" s="12"/>
    </row>
    <row r="25" spans="1:9" s="13" customFormat="1" ht="16.2" customHeight="1">
      <c r="A25" s="324"/>
      <c r="B25" s="19"/>
      <c r="C25" s="17">
        <v>19</v>
      </c>
      <c r="D25" s="31" t="s">
        <v>236</v>
      </c>
      <c r="E25" s="31" t="s">
        <v>242</v>
      </c>
      <c r="F25" s="30" t="s">
        <v>236</v>
      </c>
      <c r="G25" s="30" t="s">
        <v>243</v>
      </c>
      <c r="H25" s="273"/>
      <c r="I25" s="12"/>
    </row>
    <row r="26" spans="1:9" s="13" customFormat="1" ht="16.2" customHeight="1">
      <c r="A26" s="324"/>
      <c r="B26" s="19"/>
      <c r="C26" s="17">
        <v>20</v>
      </c>
      <c r="D26" s="31" t="s">
        <v>237</v>
      </c>
      <c r="E26" s="31" t="s">
        <v>242</v>
      </c>
      <c r="F26" s="30" t="s">
        <v>237</v>
      </c>
      <c r="G26" s="30" t="s">
        <v>243</v>
      </c>
      <c r="H26" s="273"/>
      <c r="I26" s="12"/>
    </row>
    <row r="27" spans="1:9" s="13" customFormat="1" ht="16.2" customHeight="1">
      <c r="A27" s="324"/>
      <c r="B27" s="19"/>
      <c r="C27" s="17">
        <v>21</v>
      </c>
      <c r="D27" s="31" t="s">
        <v>238</v>
      </c>
      <c r="E27" s="31" t="s">
        <v>242</v>
      </c>
      <c r="F27" s="30" t="s">
        <v>238</v>
      </c>
      <c r="G27" s="30" t="s">
        <v>243</v>
      </c>
      <c r="H27" s="273"/>
      <c r="I27" s="12"/>
    </row>
    <row r="28" spans="1:9" s="13" customFormat="1" ht="16.2" customHeight="1">
      <c r="A28" s="324"/>
      <c r="B28" s="19"/>
      <c r="C28" s="17">
        <v>22</v>
      </c>
      <c r="D28" s="31" t="s">
        <v>239</v>
      </c>
      <c r="E28" s="31" t="s">
        <v>242</v>
      </c>
      <c r="F28" s="30" t="s">
        <v>239</v>
      </c>
      <c r="G28" s="30" t="s">
        <v>243</v>
      </c>
      <c r="H28" s="273"/>
      <c r="I28" s="12"/>
    </row>
    <row r="29" spans="1:9" s="13" customFormat="1" ht="16.2" customHeight="1">
      <c r="A29" s="324"/>
      <c r="B29" s="19"/>
      <c r="C29" s="17">
        <v>23</v>
      </c>
      <c r="D29" s="31" t="s">
        <v>240</v>
      </c>
      <c r="E29" s="31" t="s">
        <v>242</v>
      </c>
      <c r="F29" s="30" t="s">
        <v>240</v>
      </c>
      <c r="G29" s="30" t="s">
        <v>243</v>
      </c>
      <c r="H29" s="273"/>
      <c r="I29" s="12"/>
    </row>
    <row r="30" spans="1:9" s="13" customFormat="1" ht="16.2" customHeight="1">
      <c r="A30" s="324"/>
      <c r="B30" s="19"/>
      <c r="C30" s="17">
        <v>24</v>
      </c>
      <c r="D30" s="31" t="s">
        <v>241</v>
      </c>
      <c r="E30" s="31" t="s">
        <v>242</v>
      </c>
      <c r="F30" s="30" t="s">
        <v>241</v>
      </c>
      <c r="G30" s="30" t="s">
        <v>243</v>
      </c>
      <c r="H30" s="273"/>
      <c r="I30" s="12"/>
    </row>
    <row r="31" spans="1:9" s="13" customFormat="1" ht="16.2" customHeight="1">
      <c r="A31" s="324"/>
      <c r="B31" s="19"/>
      <c r="C31" s="17">
        <v>25</v>
      </c>
      <c r="D31" s="31" t="s">
        <v>245</v>
      </c>
      <c r="E31" s="31" t="s">
        <v>245</v>
      </c>
      <c r="F31" s="30" t="s">
        <v>248</v>
      </c>
      <c r="G31" s="30" t="s">
        <v>250</v>
      </c>
      <c r="H31" s="273"/>
      <c r="I31" s="12"/>
    </row>
    <row r="32" spans="1:9" s="13" customFormat="1" ht="16.2" customHeight="1">
      <c r="A32" s="324"/>
      <c r="B32" s="19"/>
      <c r="C32" s="17">
        <v>26</v>
      </c>
      <c r="D32" s="31" t="s">
        <v>245</v>
      </c>
      <c r="E32" s="31" t="s">
        <v>245</v>
      </c>
      <c r="F32" s="30" t="s">
        <v>249</v>
      </c>
      <c r="G32" s="30" t="s">
        <v>251</v>
      </c>
      <c r="H32" s="273"/>
      <c r="I32" s="12"/>
    </row>
    <row r="33" spans="1:9" s="13" customFormat="1" ht="16.2" customHeight="1">
      <c r="A33" s="325"/>
      <c r="B33" s="274"/>
      <c r="C33" s="275">
        <v>27</v>
      </c>
      <c r="D33" s="276" t="s">
        <v>278</v>
      </c>
      <c r="E33" s="276" t="s">
        <v>279</v>
      </c>
      <c r="F33" s="277" t="s">
        <v>278</v>
      </c>
      <c r="G33" s="277" t="s">
        <v>280</v>
      </c>
      <c r="H33" s="278"/>
      <c r="I33" s="12"/>
    </row>
    <row r="34" spans="1:9" s="13" customFormat="1" ht="16.2" customHeight="1">
      <c r="A34" s="326" t="s">
        <v>282</v>
      </c>
      <c r="B34" s="279" t="s">
        <v>283</v>
      </c>
      <c r="C34" s="280">
        <v>1</v>
      </c>
      <c r="D34" s="281" t="s">
        <v>284</v>
      </c>
      <c r="E34" s="281" t="s">
        <v>285</v>
      </c>
      <c r="F34" s="282" t="s">
        <v>284</v>
      </c>
      <c r="G34" s="282" t="s">
        <v>286</v>
      </c>
      <c r="H34" s="283"/>
      <c r="I34" s="12"/>
    </row>
    <row r="35" spans="1:9" s="13" customFormat="1" ht="16.2" customHeight="1">
      <c r="A35" s="323" t="s">
        <v>287</v>
      </c>
      <c r="B35" s="268" t="s">
        <v>288</v>
      </c>
      <c r="C35" s="269">
        <v>1</v>
      </c>
      <c r="D35" s="270" t="s">
        <v>290</v>
      </c>
      <c r="E35" s="270" t="s">
        <v>297</v>
      </c>
      <c r="F35" s="271" t="s">
        <v>289</v>
      </c>
      <c r="G35" s="271" t="s">
        <v>298</v>
      </c>
      <c r="H35" s="272"/>
      <c r="I35" s="12"/>
    </row>
    <row r="36" spans="1:9" s="13" customFormat="1" ht="16.2" customHeight="1">
      <c r="A36" s="328"/>
      <c r="B36" s="19"/>
      <c r="C36" s="17">
        <v>2</v>
      </c>
      <c r="D36" s="31" t="s">
        <v>292</v>
      </c>
      <c r="E36" s="31" t="s">
        <v>297</v>
      </c>
      <c r="F36" s="30" t="s">
        <v>291</v>
      </c>
      <c r="G36" s="30" t="s">
        <v>298</v>
      </c>
      <c r="H36" s="273"/>
      <c r="I36" s="12"/>
    </row>
    <row r="37" spans="1:9" s="13" customFormat="1" ht="16.2" customHeight="1">
      <c r="A37" s="328"/>
      <c r="B37" s="19"/>
      <c r="C37" s="17">
        <v>3</v>
      </c>
      <c r="D37" s="31" t="s">
        <v>294</v>
      </c>
      <c r="E37" s="31" t="s">
        <v>297</v>
      </c>
      <c r="F37" s="30" t="s">
        <v>293</v>
      </c>
      <c r="G37" s="30" t="s">
        <v>298</v>
      </c>
      <c r="H37" s="273"/>
      <c r="I37" s="12"/>
    </row>
    <row r="38" spans="1:9" s="13" customFormat="1" ht="16.2" customHeight="1">
      <c r="A38" s="334"/>
      <c r="B38" s="335"/>
      <c r="C38" s="336">
        <v>4</v>
      </c>
      <c r="D38" s="337" t="s">
        <v>296</v>
      </c>
      <c r="E38" s="337" t="s">
        <v>297</v>
      </c>
      <c r="F38" s="338" t="s">
        <v>295</v>
      </c>
      <c r="G38" s="338" t="s">
        <v>298</v>
      </c>
      <c r="H38" s="339"/>
      <c r="I38" s="12"/>
    </row>
    <row r="39" spans="1:9" s="13" customFormat="1" ht="16.2" customHeight="1">
      <c r="A39" s="323" t="s">
        <v>301</v>
      </c>
      <c r="B39" s="268" t="s">
        <v>302</v>
      </c>
      <c r="C39" s="269">
        <v>1</v>
      </c>
      <c r="D39" s="270" t="s">
        <v>308</v>
      </c>
      <c r="E39" s="270" t="s">
        <v>309</v>
      </c>
      <c r="F39" s="271" t="s">
        <v>308</v>
      </c>
      <c r="G39" s="271" t="s">
        <v>305</v>
      </c>
      <c r="H39" s="272"/>
      <c r="I39" s="12"/>
    </row>
    <row r="40" spans="1:9" s="13" customFormat="1" ht="16.2" customHeight="1">
      <c r="A40" s="327"/>
      <c r="B40" s="285"/>
      <c r="C40" s="275">
        <v>2</v>
      </c>
      <c r="D40" s="286" t="s">
        <v>303</v>
      </c>
      <c r="E40" s="286" t="s">
        <v>304</v>
      </c>
      <c r="F40" s="287" t="s">
        <v>303</v>
      </c>
      <c r="G40" s="287" t="s">
        <v>305</v>
      </c>
      <c r="H40" s="288"/>
      <c r="I40" s="12"/>
    </row>
    <row r="41" spans="1:9" s="13" customFormat="1" ht="16.2" customHeight="1">
      <c r="A41" s="329"/>
      <c r="B41" s="15"/>
      <c r="C41" s="14"/>
      <c r="D41" s="32"/>
      <c r="E41" s="32"/>
      <c r="F41" s="33"/>
      <c r="G41" s="33"/>
      <c r="H41" s="16"/>
      <c r="I41" s="12"/>
    </row>
    <row r="42" spans="1:9" s="13" customFormat="1" ht="16.2" customHeight="1">
      <c r="A42" s="330"/>
      <c r="B42" s="19"/>
      <c r="C42" s="17"/>
      <c r="D42" s="31"/>
      <c r="E42" s="31"/>
      <c r="F42" s="30"/>
      <c r="G42" s="30"/>
      <c r="I42" s="12"/>
    </row>
    <row r="43" spans="1:9" s="13" customFormat="1" ht="16.2" customHeight="1">
      <c r="A43" s="330"/>
      <c r="B43" s="19"/>
      <c r="C43" s="17"/>
      <c r="D43" s="31"/>
      <c r="E43" s="31"/>
      <c r="F43" s="30"/>
      <c r="G43" s="30"/>
      <c r="I43" s="12"/>
    </row>
    <row r="44" spans="1:9" s="13" customFormat="1" ht="16.2" customHeight="1">
      <c r="A44" s="330"/>
      <c r="B44" s="19"/>
      <c r="C44" s="17"/>
      <c r="D44" s="31"/>
      <c r="E44" s="31"/>
      <c r="F44" s="30"/>
      <c r="G44" s="30"/>
      <c r="I44" s="12"/>
    </row>
    <row r="45" spans="1:9" s="13" customFormat="1" ht="16.2" customHeight="1">
      <c r="A45" s="330"/>
      <c r="B45" s="19"/>
      <c r="C45" s="17"/>
      <c r="D45" s="31"/>
      <c r="E45" s="31"/>
      <c r="F45" s="30"/>
      <c r="G45" s="30"/>
      <c r="I45" s="12"/>
    </row>
    <row r="46" spans="1:9" s="13" customFormat="1" ht="16.2" customHeight="1">
      <c r="A46" s="330"/>
      <c r="B46" s="19"/>
      <c r="C46" s="17"/>
      <c r="D46" s="31"/>
      <c r="E46" s="31"/>
      <c r="F46" s="30"/>
      <c r="G46" s="30"/>
      <c r="I46" s="12"/>
    </row>
    <row r="47" spans="1:9" s="13" customFormat="1" ht="16.2" customHeight="1">
      <c r="A47" s="330"/>
      <c r="B47" s="19"/>
      <c r="C47" s="17"/>
      <c r="D47" s="31"/>
      <c r="E47" s="31"/>
      <c r="F47" s="30"/>
      <c r="G47" s="30"/>
      <c r="I47" s="12"/>
    </row>
    <row r="48" spans="1:9" s="13" customFormat="1" ht="16.2" customHeight="1">
      <c r="A48" s="330"/>
      <c r="B48" s="19"/>
      <c r="C48" s="17"/>
      <c r="D48" s="31"/>
      <c r="E48" s="31"/>
      <c r="F48" s="30"/>
      <c r="G48" s="30"/>
      <c r="I48" s="12"/>
    </row>
    <row r="49" spans="1:9" s="13" customFormat="1" ht="16.2" customHeight="1">
      <c r="A49" s="330"/>
      <c r="B49" s="19"/>
      <c r="C49" s="17"/>
      <c r="D49" s="31"/>
      <c r="E49" s="31"/>
      <c r="F49" s="30"/>
      <c r="G49" s="30"/>
      <c r="I49" s="12"/>
    </row>
    <row r="50" spans="1:9" s="13" customFormat="1" ht="16.2" customHeight="1">
      <c r="A50" s="330"/>
      <c r="B50" s="19"/>
      <c r="C50" s="17"/>
      <c r="D50" s="31"/>
      <c r="E50" s="31"/>
      <c r="F50" s="30"/>
      <c r="G50" s="30"/>
      <c r="I50" s="12"/>
    </row>
    <row r="51" spans="1:9" s="13" customFormat="1" ht="16.2" customHeight="1">
      <c r="A51" s="330"/>
      <c r="B51" s="19"/>
      <c r="C51" s="17"/>
      <c r="D51" s="31"/>
      <c r="E51" s="31"/>
      <c r="F51" s="30"/>
      <c r="G51" s="30"/>
      <c r="I51" s="12"/>
    </row>
    <row r="52" spans="1:9" s="13" customFormat="1" ht="16.2" customHeight="1">
      <c r="A52" s="330"/>
      <c r="B52" s="19"/>
      <c r="C52" s="17"/>
      <c r="D52" s="31"/>
      <c r="E52" s="31"/>
      <c r="F52" s="30"/>
      <c r="G52" s="30"/>
      <c r="I52" s="12"/>
    </row>
    <row r="53" spans="1:9" s="13" customFormat="1" ht="16.2" customHeight="1">
      <c r="A53" s="330"/>
      <c r="B53" s="19"/>
      <c r="C53" s="17"/>
      <c r="D53" s="31"/>
      <c r="E53" s="31"/>
      <c r="F53" s="30"/>
      <c r="G53" s="30"/>
      <c r="I53" s="12"/>
    </row>
    <row r="54" spans="1:9" s="13" customFormat="1" ht="16.2" customHeight="1">
      <c r="A54" s="330"/>
      <c r="B54" s="19"/>
      <c r="C54" s="17"/>
      <c r="D54" s="31"/>
      <c r="E54" s="31"/>
      <c r="F54" s="30"/>
      <c r="G54" s="30"/>
      <c r="I54" s="12"/>
    </row>
    <row r="55" spans="1:9" s="13" customFormat="1" ht="16.2" customHeight="1">
      <c r="A55" s="330"/>
      <c r="B55" s="19"/>
      <c r="C55" s="17"/>
      <c r="D55" s="31"/>
      <c r="E55" s="31"/>
      <c r="F55" s="30"/>
      <c r="G55" s="30"/>
      <c r="I55" s="12"/>
    </row>
    <row r="56" spans="1:9" s="13" customFormat="1" ht="16.2" customHeight="1">
      <c r="A56" s="330"/>
      <c r="B56" s="19"/>
      <c r="C56" s="17"/>
      <c r="D56" s="31"/>
      <c r="E56" s="31"/>
      <c r="F56" s="30"/>
      <c r="G56" s="30"/>
      <c r="I56" s="12"/>
    </row>
    <row r="57" spans="1:9" s="13" customFormat="1" ht="16.2" customHeight="1">
      <c r="A57" s="330"/>
      <c r="B57" s="19"/>
      <c r="C57" s="17"/>
      <c r="D57" s="31"/>
      <c r="E57" s="31"/>
      <c r="F57" s="30"/>
      <c r="G57" s="30"/>
      <c r="I57" s="12"/>
    </row>
    <row r="58" spans="1:9" s="13" customFormat="1" ht="16.2" customHeight="1">
      <c r="A58" s="330"/>
      <c r="B58" s="19"/>
      <c r="C58" s="17"/>
      <c r="D58" s="31"/>
      <c r="E58" s="31"/>
      <c r="F58" s="30"/>
      <c r="G58" s="30"/>
      <c r="I58" s="12"/>
    </row>
    <row r="59" spans="1:9" s="13" customFormat="1" ht="18" customHeight="1">
      <c r="A59" s="331"/>
      <c r="B59" s="27"/>
      <c r="C59" s="17"/>
      <c r="D59" s="31"/>
      <c r="E59" s="31"/>
      <c r="F59" s="30"/>
      <c r="G59" s="30"/>
      <c r="H59" s="16"/>
    </row>
    <row r="60" spans="1:9" s="13" customFormat="1" ht="18" customHeight="1">
      <c r="A60" s="332"/>
      <c r="B60" s="23"/>
      <c r="C60" s="14"/>
      <c r="D60" s="28"/>
      <c r="E60" s="28"/>
      <c r="F60" s="29"/>
      <c r="G60" s="29"/>
    </row>
    <row r="61" spans="1:9" s="13" customFormat="1" ht="18" customHeight="1">
      <c r="A61" s="332"/>
      <c r="B61" s="23"/>
      <c r="C61" s="17"/>
      <c r="D61" s="24"/>
      <c r="E61" s="24"/>
      <c r="F61" s="25"/>
      <c r="G61" s="25"/>
    </row>
    <row r="62" spans="1:9" s="13" customFormat="1" ht="18" customHeight="1">
      <c r="A62" s="332"/>
      <c r="B62" s="23"/>
      <c r="C62" s="17"/>
      <c r="D62" s="24"/>
      <c r="E62" s="24"/>
      <c r="F62" s="25"/>
      <c r="G62" s="25"/>
    </row>
    <row r="63" spans="1:9" s="13" customFormat="1" ht="18" customHeight="1">
      <c r="A63" s="332"/>
      <c r="B63" s="23"/>
      <c r="C63" s="17"/>
      <c r="D63" s="24"/>
      <c r="E63" s="24"/>
      <c r="F63" s="25"/>
      <c r="G63" s="25"/>
    </row>
    <row r="64" spans="1:9" s="13" customFormat="1" ht="18" customHeight="1">
      <c r="A64" s="332"/>
      <c r="B64" s="23"/>
      <c r="C64" s="17"/>
      <c r="D64" s="24"/>
      <c r="E64" s="24"/>
      <c r="F64" s="25"/>
      <c r="G64" s="25"/>
      <c r="H64" s="26"/>
    </row>
    <row r="65" spans="1:8" s="13" customFormat="1" ht="18" customHeight="1">
      <c r="A65" s="332"/>
      <c r="B65" s="23"/>
      <c r="C65" s="17"/>
      <c r="D65" s="24"/>
      <c r="E65" s="24"/>
      <c r="F65" s="25"/>
      <c r="G65" s="25"/>
      <c r="H65" s="26"/>
    </row>
    <row r="66" spans="1:8" s="13" customFormat="1" ht="18" customHeight="1">
      <c r="A66" s="332"/>
      <c r="B66" s="23"/>
      <c r="C66" s="17"/>
      <c r="D66" s="24"/>
      <c r="E66" s="24"/>
      <c r="F66" s="25"/>
      <c r="G66" s="25"/>
      <c r="H66" s="26"/>
    </row>
    <row r="67" spans="1:8" s="13" customFormat="1" ht="18" customHeight="1">
      <c r="A67" s="332"/>
      <c r="B67" s="23"/>
      <c r="C67" s="17"/>
      <c r="D67" s="24"/>
      <c r="E67" s="24"/>
      <c r="F67" s="25"/>
      <c r="G67" s="25"/>
      <c r="H67" s="26"/>
    </row>
    <row r="68" spans="1:8" s="13" customFormat="1" ht="18" customHeight="1">
      <c r="A68" s="332"/>
      <c r="B68" s="23"/>
      <c r="C68" s="17"/>
      <c r="D68" s="24"/>
      <c r="E68" s="24"/>
      <c r="F68" s="25"/>
      <c r="G68" s="25"/>
      <c r="H68" s="26"/>
    </row>
    <row r="69" spans="1:8" s="13" customFormat="1" ht="18" customHeight="1">
      <c r="A69" s="332"/>
      <c r="B69" s="23"/>
      <c r="C69" s="17"/>
      <c r="D69" s="24"/>
      <c r="E69" s="24"/>
      <c r="F69" s="25"/>
      <c r="G69" s="25"/>
      <c r="H69" s="26"/>
    </row>
    <row r="70" spans="1:8" s="13" customFormat="1" ht="18" customHeight="1">
      <c r="A70" s="332"/>
      <c r="B70" s="23"/>
      <c r="C70" s="17"/>
      <c r="D70" s="24"/>
      <c r="E70" s="24"/>
      <c r="F70" s="25"/>
      <c r="G70" s="25"/>
      <c r="H70" s="26"/>
    </row>
    <row r="71" spans="1:8" s="13" customFormat="1" ht="18" customHeight="1">
      <c r="A71" s="332"/>
      <c r="B71" s="23"/>
      <c r="C71" s="17"/>
      <c r="D71" s="24"/>
      <c r="E71" s="24"/>
      <c r="F71" s="25"/>
      <c r="G71" s="25"/>
      <c r="H71" s="26"/>
    </row>
    <row r="72" spans="1:8" s="13" customFormat="1" ht="18" customHeight="1">
      <c r="A72" s="332"/>
      <c r="B72" s="23"/>
      <c r="C72" s="17"/>
      <c r="D72" s="24"/>
      <c r="E72" s="24"/>
      <c r="F72" s="25"/>
      <c r="G72" s="25"/>
      <c r="H72" s="26"/>
    </row>
    <row r="73" spans="1:8" s="13" customFormat="1" ht="18" customHeight="1">
      <c r="A73" s="332"/>
      <c r="B73" s="23"/>
      <c r="C73" s="17"/>
      <c r="D73" s="24"/>
      <c r="E73" s="24"/>
      <c r="F73" s="25"/>
      <c r="G73" s="25"/>
      <c r="H73" s="26"/>
    </row>
    <row r="74" spans="1:8" s="13" customFormat="1" ht="18" customHeight="1">
      <c r="A74" s="332"/>
      <c r="B74" s="23"/>
      <c r="C74" s="17"/>
      <c r="D74" s="24"/>
      <c r="E74" s="24"/>
      <c r="F74" s="25"/>
      <c r="G74" s="25"/>
      <c r="H74" s="26"/>
    </row>
    <row r="75" spans="1:8" s="13" customFormat="1" ht="18" customHeight="1">
      <c r="A75" s="332"/>
      <c r="B75" s="23"/>
      <c r="C75" s="17"/>
      <c r="D75" s="24"/>
      <c r="E75" s="24"/>
      <c r="F75" s="25"/>
      <c r="G75" s="25"/>
      <c r="H75" s="26"/>
    </row>
    <row r="76" spans="1:8" s="13" customFormat="1" ht="18" customHeight="1">
      <c r="A76" s="332"/>
      <c r="B76" s="23"/>
      <c r="C76" s="17"/>
      <c r="D76" s="24"/>
      <c r="E76" s="24"/>
      <c r="F76" s="25"/>
      <c r="G76" s="25"/>
      <c r="H76" s="26"/>
    </row>
    <row r="77" spans="1:8" s="13" customFormat="1" ht="18" customHeight="1">
      <c r="A77" s="332"/>
      <c r="B77" s="23"/>
      <c r="C77" s="17"/>
      <c r="D77" s="24"/>
      <c r="E77" s="24"/>
      <c r="F77" s="25"/>
      <c r="G77" s="25"/>
      <c r="H77" s="26"/>
    </row>
    <row r="78" spans="1:8" s="13" customFormat="1" ht="18" customHeight="1">
      <c r="A78" s="332"/>
      <c r="B78" s="23"/>
      <c r="C78" s="17"/>
      <c r="D78" s="24"/>
      <c r="E78" s="24"/>
      <c r="F78" s="25"/>
      <c r="G78" s="25"/>
      <c r="H78" s="26"/>
    </row>
    <row r="79" spans="1:8" s="13" customFormat="1" ht="18" customHeight="1">
      <c r="A79" s="332"/>
      <c r="B79" s="23"/>
      <c r="C79" s="17"/>
      <c r="D79" s="24"/>
      <c r="E79" s="24"/>
      <c r="F79" s="25"/>
      <c r="G79" s="25"/>
      <c r="H79" s="26"/>
    </row>
    <row r="80" spans="1:8" s="13" customFormat="1" ht="18" customHeight="1">
      <c r="A80" s="332"/>
      <c r="B80" s="23"/>
      <c r="C80" s="17"/>
      <c r="D80" s="24"/>
      <c r="E80" s="24"/>
      <c r="F80" s="25"/>
      <c r="G80" s="25"/>
      <c r="H80" s="26"/>
    </row>
    <row r="81" spans="1:8" s="13" customFormat="1" ht="18" customHeight="1">
      <c r="A81" s="332"/>
      <c r="B81" s="23"/>
      <c r="C81" s="17"/>
      <c r="D81" s="24"/>
      <c r="E81" s="24"/>
      <c r="F81" s="25"/>
      <c r="G81" s="25"/>
      <c r="H81" s="26"/>
    </row>
    <row r="82" spans="1:8" s="13" customFormat="1" ht="18" customHeight="1">
      <c r="A82" s="332"/>
      <c r="B82" s="23"/>
      <c r="C82" s="17"/>
      <c r="D82" s="24"/>
      <c r="E82" s="24"/>
      <c r="F82" s="25"/>
      <c r="G82" s="25"/>
      <c r="H82" s="26"/>
    </row>
    <row r="83" spans="1:8" s="13" customFormat="1" ht="18" customHeight="1">
      <c r="A83" s="332"/>
      <c r="B83" s="23"/>
      <c r="C83" s="17"/>
      <c r="D83" s="24"/>
      <c r="E83" s="24"/>
      <c r="F83" s="25"/>
      <c r="G83" s="25"/>
      <c r="H83" s="26"/>
    </row>
    <row r="84" spans="1:8" s="13" customFormat="1" ht="18" customHeight="1">
      <c r="A84" s="332"/>
      <c r="B84" s="23"/>
      <c r="C84" s="17"/>
      <c r="D84" s="24"/>
      <c r="E84" s="24"/>
      <c r="F84" s="25"/>
      <c r="G84" s="25"/>
      <c r="H84" s="26"/>
    </row>
    <row r="85" spans="1:8" s="13" customFormat="1" ht="18" customHeight="1">
      <c r="A85" s="332"/>
      <c r="B85" s="23"/>
      <c r="C85" s="17"/>
      <c r="D85" s="24"/>
      <c r="E85" s="24"/>
      <c r="F85" s="25"/>
      <c r="G85" s="25"/>
      <c r="H85" s="26"/>
    </row>
    <row r="86" spans="1:8" s="13" customFormat="1" ht="18" customHeight="1">
      <c r="A86" s="332"/>
      <c r="B86" s="23"/>
      <c r="C86" s="17"/>
      <c r="D86" s="24"/>
      <c r="E86" s="24"/>
      <c r="F86" s="25"/>
      <c r="G86" s="25"/>
      <c r="H86" s="26"/>
    </row>
    <row r="87" spans="1:8" s="13" customFormat="1" ht="18" customHeight="1">
      <c r="A87" s="332"/>
      <c r="B87" s="23"/>
      <c r="C87" s="17"/>
      <c r="D87" s="24"/>
      <c r="E87" s="24"/>
      <c r="F87" s="25"/>
      <c r="G87" s="25"/>
      <c r="H87" s="26"/>
    </row>
    <row r="88" spans="1:8" s="13" customFormat="1" ht="18" customHeight="1">
      <c r="A88" s="332"/>
      <c r="B88" s="23"/>
      <c r="C88" s="17"/>
      <c r="D88" s="24"/>
      <c r="E88" s="24"/>
      <c r="F88" s="25"/>
      <c r="G88" s="25"/>
      <c r="H88" s="26"/>
    </row>
    <row r="89" spans="1:8" s="13" customFormat="1" ht="18" customHeight="1">
      <c r="A89" s="332"/>
      <c r="B89" s="23"/>
      <c r="C89" s="17"/>
      <c r="D89" s="24"/>
      <c r="E89" s="24"/>
      <c r="F89" s="25"/>
      <c r="G89" s="25"/>
      <c r="H89" s="26"/>
    </row>
    <row r="90" spans="1:8" s="13" customFormat="1" ht="18" customHeight="1">
      <c r="A90" s="332"/>
      <c r="B90" s="23"/>
      <c r="C90" s="17"/>
      <c r="D90" s="24"/>
      <c r="E90" s="24"/>
      <c r="F90" s="25"/>
      <c r="G90" s="25"/>
      <c r="H90" s="26"/>
    </row>
    <row r="91" spans="1:8" s="13" customFormat="1" ht="18" customHeight="1">
      <c r="A91" s="332"/>
      <c r="B91" s="23"/>
      <c r="C91" s="17"/>
      <c r="D91" s="24"/>
      <c r="E91" s="24"/>
      <c r="F91" s="25"/>
      <c r="G91" s="25"/>
      <c r="H91" s="26"/>
    </row>
    <row r="92" spans="1:8" s="13" customFormat="1" ht="18" customHeight="1">
      <c r="A92" s="332"/>
      <c r="B92" s="23"/>
      <c r="C92" s="17"/>
      <c r="D92" s="24"/>
      <c r="E92" s="24"/>
      <c r="F92" s="25"/>
      <c r="G92" s="25"/>
      <c r="H92" s="26"/>
    </row>
    <row r="93" spans="1:8" s="13" customFormat="1" ht="18" customHeight="1">
      <c r="A93" s="332"/>
      <c r="B93" s="23"/>
      <c r="C93" s="17"/>
      <c r="D93" s="24"/>
      <c r="E93" s="24"/>
      <c r="F93" s="25"/>
      <c r="G93" s="25"/>
      <c r="H93" s="26"/>
    </row>
    <row r="94" spans="1:8" s="13" customFormat="1" ht="18" customHeight="1">
      <c r="A94" s="332"/>
      <c r="B94" s="23"/>
      <c r="C94" s="17"/>
      <c r="D94" s="24"/>
      <c r="E94" s="24"/>
      <c r="F94" s="25"/>
      <c r="G94" s="25"/>
      <c r="H94" s="26"/>
    </row>
    <row r="95" spans="1:8" s="13" customFormat="1" ht="18" customHeight="1">
      <c r="A95" s="332"/>
      <c r="B95" s="23"/>
      <c r="C95" s="17"/>
      <c r="D95" s="24"/>
      <c r="E95" s="24"/>
      <c r="F95" s="25"/>
      <c r="G95" s="25"/>
      <c r="H95" s="26"/>
    </row>
    <row r="96" spans="1:8" s="13" customFormat="1" ht="18" customHeight="1">
      <c r="A96" s="332"/>
      <c r="B96" s="23"/>
      <c r="C96" s="17"/>
      <c r="D96" s="24"/>
      <c r="E96" s="24"/>
      <c r="F96" s="25"/>
      <c r="G96" s="25"/>
      <c r="H96" s="26"/>
    </row>
    <row r="97" spans="1:8" s="13" customFormat="1" ht="18" customHeight="1">
      <c r="A97" s="332"/>
      <c r="B97" s="23"/>
      <c r="C97" s="17"/>
      <c r="D97" s="24"/>
      <c r="E97" s="24"/>
      <c r="F97" s="25"/>
      <c r="G97" s="25"/>
      <c r="H97" s="26"/>
    </row>
    <row r="98" spans="1:8" s="13" customFormat="1" ht="18" customHeight="1">
      <c r="A98" s="332"/>
      <c r="B98" s="23"/>
      <c r="C98" s="17"/>
      <c r="D98" s="24"/>
      <c r="E98" s="24"/>
      <c r="F98" s="25"/>
      <c r="G98" s="25"/>
      <c r="H98" s="26"/>
    </row>
    <row r="99" spans="1:8" s="13" customFormat="1" ht="18" customHeight="1">
      <c r="A99" s="332"/>
      <c r="B99" s="23"/>
      <c r="C99" s="17"/>
      <c r="D99" s="24"/>
      <c r="E99" s="24"/>
      <c r="F99" s="25"/>
      <c r="G99" s="25"/>
      <c r="H99" s="26"/>
    </row>
    <row r="100" spans="1:8" s="13" customFormat="1" ht="18" customHeight="1">
      <c r="A100" s="332"/>
      <c r="B100" s="23"/>
      <c r="C100" s="17"/>
      <c r="D100" s="24"/>
      <c r="E100" s="24"/>
      <c r="F100" s="25"/>
      <c r="G100" s="25"/>
      <c r="H100" s="26"/>
    </row>
    <row r="101" spans="1:8" s="13" customFormat="1" ht="18" customHeight="1">
      <c r="A101" s="332"/>
      <c r="B101" s="23"/>
      <c r="C101" s="17"/>
      <c r="D101" s="24"/>
      <c r="E101" s="24"/>
      <c r="F101" s="25"/>
      <c r="G101" s="25"/>
      <c r="H101" s="26"/>
    </row>
    <row r="102" spans="1:8" s="13" customFormat="1" ht="18" customHeight="1">
      <c r="A102" s="332"/>
      <c r="B102" s="23"/>
      <c r="C102" s="17"/>
      <c r="D102" s="24"/>
      <c r="E102" s="24"/>
      <c r="F102" s="25"/>
      <c r="G102" s="25"/>
      <c r="H102" s="26"/>
    </row>
    <row r="103" spans="1:8" s="13" customFormat="1" ht="18" customHeight="1">
      <c r="A103" s="332"/>
      <c r="B103" s="23"/>
      <c r="C103" s="17"/>
      <c r="D103" s="24"/>
      <c r="E103" s="24"/>
      <c r="F103" s="25"/>
      <c r="G103" s="25"/>
      <c r="H103" s="26"/>
    </row>
    <row r="104" spans="1:8" s="13" customFormat="1" ht="18" customHeight="1">
      <c r="A104" s="332"/>
      <c r="B104" s="23"/>
      <c r="C104" s="17"/>
      <c r="D104" s="24"/>
      <c r="E104" s="24"/>
      <c r="F104" s="25"/>
      <c r="G104" s="25"/>
      <c r="H104" s="26"/>
    </row>
    <row r="105" spans="1:8" s="13" customFormat="1" ht="18" customHeight="1">
      <c r="A105" s="332"/>
      <c r="B105" s="23"/>
      <c r="C105" s="17"/>
      <c r="D105" s="24"/>
      <c r="E105" s="24"/>
      <c r="F105" s="25"/>
      <c r="G105" s="25"/>
      <c r="H105" s="26"/>
    </row>
    <row r="106" spans="1:8" s="13" customFormat="1" ht="18" customHeight="1">
      <c r="A106" s="332"/>
      <c r="B106" s="23"/>
      <c r="C106" s="17"/>
      <c r="D106" s="24"/>
      <c r="E106" s="24"/>
      <c r="F106" s="25"/>
      <c r="G106" s="25"/>
      <c r="H106" s="26"/>
    </row>
    <row r="107" spans="1:8" s="13" customFormat="1" ht="18" customHeight="1">
      <c r="A107" s="332"/>
      <c r="B107" s="23"/>
      <c r="C107" s="17"/>
      <c r="D107" s="24"/>
      <c r="E107" s="24"/>
      <c r="F107" s="25"/>
      <c r="G107" s="25"/>
      <c r="H107" s="26"/>
    </row>
    <row r="108" spans="1:8" s="13" customFormat="1" ht="18" customHeight="1">
      <c r="A108" s="332"/>
      <c r="B108" s="23"/>
      <c r="C108" s="17"/>
      <c r="D108" s="24"/>
      <c r="E108" s="24"/>
      <c r="F108" s="25"/>
      <c r="G108" s="25"/>
      <c r="H108" s="26"/>
    </row>
    <row r="109" spans="1:8" s="13" customFormat="1" ht="18" customHeight="1">
      <c r="A109" s="332"/>
      <c r="B109" s="23"/>
      <c r="C109" s="17"/>
      <c r="D109" s="24"/>
      <c r="E109" s="24"/>
      <c r="F109" s="25"/>
      <c r="G109" s="25"/>
      <c r="H109" s="26"/>
    </row>
    <row r="110" spans="1:8" s="13" customFormat="1" ht="18" customHeight="1">
      <c r="A110" s="332"/>
      <c r="B110" s="23"/>
      <c r="C110" s="17"/>
      <c r="D110" s="24"/>
      <c r="E110" s="24"/>
      <c r="F110" s="25"/>
      <c r="G110" s="25"/>
      <c r="H110" s="26"/>
    </row>
    <row r="111" spans="1:8" s="13" customFormat="1" ht="18" customHeight="1">
      <c r="A111" s="332"/>
      <c r="B111" s="23"/>
      <c r="C111" s="17"/>
      <c r="D111" s="24"/>
      <c r="E111" s="24"/>
      <c r="F111" s="25"/>
      <c r="G111" s="25"/>
      <c r="H111" s="26"/>
    </row>
    <row r="112" spans="1:8" s="13" customFormat="1" ht="18" customHeight="1">
      <c r="A112" s="332"/>
      <c r="B112" s="23"/>
      <c r="C112" s="17"/>
      <c r="D112" s="24"/>
      <c r="E112" s="24"/>
      <c r="F112" s="25"/>
      <c r="G112" s="25"/>
      <c r="H112" s="26"/>
    </row>
    <row r="113" spans="1:8" s="13" customFormat="1" ht="18" customHeight="1">
      <c r="A113" s="332"/>
      <c r="B113" s="23"/>
      <c r="C113" s="17"/>
      <c r="D113" s="24"/>
      <c r="E113" s="24"/>
      <c r="F113" s="25"/>
      <c r="G113" s="25"/>
      <c r="H113" s="26"/>
    </row>
    <row r="114" spans="1:8" s="13" customFormat="1" ht="18" customHeight="1">
      <c r="A114" s="332"/>
      <c r="B114" s="23"/>
      <c r="C114" s="17"/>
      <c r="D114" s="24"/>
      <c r="E114" s="24"/>
      <c r="F114" s="25"/>
      <c r="G114" s="25"/>
      <c r="H114" s="26"/>
    </row>
    <row r="115" spans="1:8" s="13" customFormat="1" ht="18" customHeight="1">
      <c r="A115" s="332"/>
      <c r="B115" s="23"/>
      <c r="C115" s="17"/>
      <c r="D115" s="24"/>
      <c r="E115" s="24"/>
      <c r="F115" s="25"/>
      <c r="G115" s="25"/>
      <c r="H115" s="26"/>
    </row>
    <row r="116" spans="1:8" s="13" customFormat="1" ht="18" customHeight="1">
      <c r="A116" s="332"/>
      <c r="B116" s="23"/>
      <c r="C116" s="17"/>
      <c r="D116" s="24"/>
      <c r="E116" s="24"/>
      <c r="F116" s="25"/>
      <c r="G116" s="25"/>
      <c r="H116" s="26"/>
    </row>
    <row r="117" spans="1:8" s="13" customFormat="1" ht="18" customHeight="1">
      <c r="A117" s="332"/>
      <c r="B117" s="23"/>
      <c r="C117" s="17"/>
      <c r="D117" s="24"/>
      <c r="E117" s="24"/>
      <c r="F117" s="25"/>
      <c r="G117" s="25"/>
      <c r="H117" s="26"/>
    </row>
    <row r="118" spans="1:8" s="13" customFormat="1" ht="18" customHeight="1">
      <c r="A118" s="332"/>
      <c r="B118" s="23"/>
      <c r="C118" s="17"/>
      <c r="D118" s="24"/>
      <c r="E118" s="24"/>
      <c r="F118" s="25"/>
      <c r="G118" s="25"/>
      <c r="H118" s="26"/>
    </row>
    <row r="119" spans="1:8" s="13" customFormat="1" ht="18" customHeight="1">
      <c r="A119" s="332"/>
      <c r="B119" s="23"/>
      <c r="C119" s="17"/>
      <c r="D119" s="24"/>
      <c r="E119" s="24"/>
      <c r="F119" s="25"/>
      <c r="G119" s="25"/>
      <c r="H119" s="26"/>
    </row>
    <row r="120" spans="1:8" s="13" customFormat="1" ht="18" customHeight="1">
      <c r="A120" s="332"/>
      <c r="B120" s="23"/>
      <c r="C120" s="17"/>
      <c r="D120" s="24"/>
      <c r="E120" s="24"/>
      <c r="F120" s="25"/>
      <c r="G120" s="25"/>
      <c r="H120" s="26"/>
    </row>
    <row r="121" spans="1:8" s="13" customFormat="1" ht="18" customHeight="1">
      <c r="A121" s="332"/>
      <c r="B121" s="23"/>
      <c r="C121" s="17"/>
      <c r="D121" s="24"/>
      <c r="E121" s="24"/>
      <c r="F121" s="25"/>
      <c r="G121" s="25"/>
      <c r="H121" s="26"/>
    </row>
    <row r="122" spans="1:8" s="13" customFormat="1" ht="18" customHeight="1">
      <c r="A122" s="332"/>
      <c r="B122" s="23"/>
      <c r="C122" s="17"/>
      <c r="D122" s="24"/>
      <c r="E122" s="24"/>
      <c r="F122" s="25"/>
      <c r="G122" s="25"/>
      <c r="H122" s="26"/>
    </row>
    <row r="123" spans="1:8" s="13" customFormat="1" ht="18" customHeight="1">
      <c r="A123" s="332"/>
      <c r="B123" s="23"/>
      <c r="C123" s="17"/>
      <c r="D123" s="24"/>
      <c r="E123" s="24"/>
      <c r="F123" s="25"/>
      <c r="G123" s="25"/>
      <c r="H123" s="26"/>
    </row>
    <row r="124" spans="1:8" s="13" customFormat="1" ht="18" customHeight="1">
      <c r="A124" s="332"/>
      <c r="B124" s="23"/>
      <c r="C124" s="17"/>
      <c r="D124" s="24"/>
      <c r="E124" s="24"/>
      <c r="F124" s="25"/>
      <c r="G124" s="25"/>
      <c r="H124" s="26"/>
    </row>
    <row r="125" spans="1:8" s="13" customFormat="1" ht="18" customHeight="1">
      <c r="A125" s="332"/>
      <c r="B125" s="23"/>
      <c r="C125" s="17"/>
      <c r="D125" s="24"/>
      <c r="E125" s="24"/>
      <c r="F125" s="25"/>
      <c r="G125" s="25"/>
      <c r="H125" s="26"/>
    </row>
    <row r="126" spans="1:8" s="13" customFormat="1" ht="18" customHeight="1">
      <c r="A126" s="22"/>
      <c r="B126" s="23"/>
      <c r="C126" s="17"/>
      <c r="D126" s="24"/>
      <c r="E126" s="24"/>
      <c r="F126" s="25"/>
      <c r="G126" s="25"/>
      <c r="H126" s="26"/>
    </row>
    <row r="127" spans="1:8" s="13" customFormat="1" ht="18" customHeight="1">
      <c r="A127" s="22"/>
      <c r="B127" s="23"/>
      <c r="C127" s="17"/>
      <c r="D127" s="24"/>
      <c r="E127" s="24"/>
      <c r="F127" s="25"/>
      <c r="G127" s="25"/>
      <c r="H127" s="26"/>
    </row>
    <row r="128" spans="1:8" s="13" customFormat="1" ht="18" customHeight="1">
      <c r="A128" s="22"/>
      <c r="B128" s="23"/>
      <c r="C128" s="17"/>
      <c r="D128" s="24"/>
      <c r="E128" s="24"/>
      <c r="F128" s="25"/>
      <c r="G128" s="25"/>
      <c r="H128" s="26"/>
    </row>
    <row r="129" spans="1:8" s="13" customFormat="1" ht="18" customHeight="1">
      <c r="A129" s="22"/>
      <c r="B129" s="23"/>
      <c r="C129" s="17"/>
      <c r="D129" s="24"/>
      <c r="E129" s="24"/>
      <c r="F129" s="25"/>
      <c r="G129" s="25"/>
      <c r="H129" s="26"/>
    </row>
    <row r="130" spans="1:8" s="13" customFormat="1" ht="18" customHeight="1">
      <c r="A130" s="22"/>
      <c r="B130" s="23"/>
      <c r="C130" s="17"/>
      <c r="D130" s="24"/>
      <c r="E130" s="24"/>
      <c r="F130" s="25"/>
      <c r="G130" s="25"/>
      <c r="H130" s="26"/>
    </row>
    <row r="131" spans="1:8" s="13" customFormat="1" ht="18" customHeight="1">
      <c r="A131" s="22"/>
      <c r="B131" s="23"/>
      <c r="C131" s="17"/>
      <c r="D131" s="24"/>
      <c r="E131" s="24"/>
      <c r="F131" s="25"/>
      <c r="G131" s="25"/>
      <c r="H131" s="26"/>
    </row>
    <row r="132" spans="1:8" s="13" customFormat="1" ht="18" customHeight="1">
      <c r="A132" s="22"/>
      <c r="B132" s="23"/>
      <c r="C132" s="17"/>
      <c r="D132" s="24"/>
      <c r="E132" s="24"/>
      <c r="F132" s="25"/>
      <c r="G132" s="25"/>
      <c r="H132" s="26"/>
    </row>
    <row r="133" spans="1:8" s="13" customFormat="1" ht="18" customHeight="1">
      <c r="A133" s="22"/>
      <c r="B133" s="23"/>
      <c r="C133" s="17"/>
      <c r="D133" s="24"/>
      <c r="E133" s="24"/>
      <c r="F133" s="25"/>
      <c r="G133" s="25"/>
      <c r="H133" s="26"/>
    </row>
    <row r="134" spans="1:8" s="13" customFormat="1" ht="18" customHeight="1">
      <c r="A134" s="22"/>
      <c r="B134" s="23"/>
      <c r="C134" s="17"/>
      <c r="D134" s="24"/>
      <c r="E134" s="24"/>
      <c r="F134" s="25"/>
      <c r="G134" s="25"/>
      <c r="H134" s="26"/>
    </row>
    <row r="135" spans="1:8" s="13" customFormat="1" ht="18" customHeight="1">
      <c r="A135" s="22"/>
      <c r="B135" s="23"/>
      <c r="C135" s="17"/>
      <c r="D135" s="24"/>
      <c r="E135" s="24"/>
      <c r="F135" s="25"/>
      <c r="G135" s="25"/>
      <c r="H135" s="26"/>
    </row>
    <row r="136" spans="1:8" s="13" customFormat="1" ht="18" customHeight="1">
      <c r="A136" s="22"/>
      <c r="B136" s="23"/>
      <c r="C136" s="17"/>
      <c r="D136" s="24"/>
      <c r="E136" s="24"/>
      <c r="F136" s="25"/>
      <c r="G136" s="25"/>
      <c r="H136" s="26"/>
    </row>
    <row r="137" spans="1:8" s="13" customFormat="1" ht="18" customHeight="1">
      <c r="A137" s="22"/>
      <c r="B137" s="23"/>
      <c r="C137" s="17"/>
      <c r="D137" s="24"/>
      <c r="E137" s="24"/>
      <c r="F137" s="25"/>
      <c r="G137" s="25"/>
      <c r="H137" s="26"/>
    </row>
    <row r="138" spans="1:8" s="13" customFormat="1" ht="18" customHeight="1">
      <c r="A138" s="22"/>
      <c r="B138" s="23"/>
      <c r="C138" s="17"/>
      <c r="D138" s="24"/>
      <c r="E138" s="24"/>
      <c r="F138" s="25"/>
      <c r="G138" s="25"/>
      <c r="H138" s="26"/>
    </row>
    <row r="139" spans="1:8" s="13" customFormat="1" ht="18" customHeight="1">
      <c r="A139" s="22"/>
      <c r="B139" s="23"/>
      <c r="C139" s="17"/>
      <c r="D139" s="24"/>
      <c r="E139" s="24"/>
      <c r="F139" s="25"/>
      <c r="G139" s="25"/>
      <c r="H139" s="26"/>
    </row>
    <row r="140" spans="1:8" s="13" customFormat="1" ht="18" customHeight="1">
      <c r="A140" s="22"/>
      <c r="B140" s="23"/>
      <c r="C140" s="17"/>
      <c r="D140" s="24"/>
      <c r="E140" s="24"/>
      <c r="F140" s="25"/>
      <c r="G140" s="25"/>
      <c r="H140" s="26"/>
    </row>
    <row r="141" spans="1:8" s="13" customFormat="1" ht="18" customHeight="1">
      <c r="A141" s="22"/>
      <c r="B141" s="23"/>
      <c r="C141" s="17"/>
      <c r="D141" s="24"/>
      <c r="E141" s="24"/>
      <c r="F141" s="25"/>
      <c r="G141" s="25"/>
      <c r="H141" s="26"/>
    </row>
    <row r="142" spans="1:8" s="13" customFormat="1" ht="18" customHeight="1">
      <c r="A142" s="22"/>
      <c r="B142" s="23"/>
      <c r="C142" s="17"/>
      <c r="D142" s="24"/>
      <c r="E142" s="24"/>
      <c r="F142" s="25"/>
      <c r="G142" s="25"/>
      <c r="H142" s="26"/>
    </row>
    <row r="143" spans="1:8" s="13" customFormat="1" ht="18" customHeight="1">
      <c r="A143" s="22"/>
      <c r="B143" s="23"/>
      <c r="C143" s="17"/>
      <c r="D143" s="24"/>
      <c r="E143" s="24"/>
      <c r="F143" s="25"/>
      <c r="G143" s="25"/>
      <c r="H143" s="26"/>
    </row>
    <row r="144" spans="1:8" s="13" customFormat="1" ht="18" customHeight="1">
      <c r="A144" s="22"/>
      <c r="B144" s="23"/>
      <c r="C144" s="17"/>
      <c r="D144" s="24"/>
      <c r="E144" s="24"/>
      <c r="F144" s="25"/>
      <c r="G144" s="25"/>
      <c r="H144" s="26"/>
    </row>
    <row r="145" spans="1:8" s="13" customFormat="1" ht="18" customHeight="1">
      <c r="A145" s="22"/>
      <c r="B145" s="23"/>
      <c r="C145" s="17"/>
      <c r="D145" s="24"/>
      <c r="E145" s="24"/>
      <c r="F145" s="25"/>
      <c r="G145" s="25"/>
      <c r="H145" s="26"/>
    </row>
    <row r="146" spans="1:8" s="13" customFormat="1" ht="18" customHeight="1">
      <c r="A146" s="22"/>
      <c r="B146" s="23"/>
      <c r="C146" s="17"/>
      <c r="D146" s="24"/>
      <c r="E146" s="24"/>
      <c r="F146" s="25"/>
      <c r="G146" s="25"/>
      <c r="H146" s="26"/>
    </row>
    <row r="147" spans="1:8" s="13" customFormat="1" ht="18" customHeight="1">
      <c r="A147" s="22"/>
      <c r="B147" s="23"/>
      <c r="C147" s="17"/>
      <c r="D147" s="24"/>
      <c r="E147" s="24"/>
      <c r="F147" s="25"/>
      <c r="G147" s="25"/>
      <c r="H147" s="26"/>
    </row>
    <row r="148" spans="1:8" s="13" customFormat="1" ht="18" customHeight="1">
      <c r="A148" s="22"/>
      <c r="B148" s="23"/>
      <c r="C148" s="17"/>
      <c r="D148" s="24"/>
      <c r="E148" s="24"/>
      <c r="F148" s="25"/>
      <c r="G148" s="25"/>
      <c r="H148" s="26"/>
    </row>
    <row r="149" spans="1:8" s="13" customFormat="1" ht="18" customHeight="1">
      <c r="A149" s="22"/>
      <c r="B149" s="23"/>
      <c r="C149" s="17"/>
      <c r="D149" s="24"/>
      <c r="E149" s="24"/>
      <c r="F149" s="25"/>
      <c r="G149" s="25"/>
      <c r="H149" s="26"/>
    </row>
    <row r="150" spans="1:8" s="13" customFormat="1" ht="18" customHeight="1">
      <c r="A150" s="22"/>
      <c r="B150" s="23"/>
      <c r="C150" s="17"/>
      <c r="D150" s="24"/>
      <c r="E150" s="24"/>
      <c r="F150" s="25"/>
      <c r="G150" s="25"/>
      <c r="H150" s="26"/>
    </row>
    <row r="151" spans="1:8" s="13" customFormat="1" ht="18" customHeight="1">
      <c r="A151" s="22"/>
      <c r="B151" s="23"/>
      <c r="C151" s="17"/>
      <c r="D151" s="24"/>
      <c r="E151" s="24"/>
      <c r="F151" s="25"/>
      <c r="G151" s="25"/>
      <c r="H151" s="26"/>
    </row>
    <row r="152" spans="1:8" s="13" customFormat="1" ht="18" customHeight="1">
      <c r="A152" s="22"/>
      <c r="B152" s="23"/>
      <c r="C152" s="17"/>
      <c r="D152" s="24"/>
      <c r="E152" s="24"/>
      <c r="F152" s="25"/>
      <c r="G152" s="25"/>
      <c r="H152" s="26"/>
    </row>
    <row r="153" spans="1:8" s="13" customFormat="1" ht="18" customHeight="1">
      <c r="A153" s="22"/>
      <c r="B153" s="23"/>
      <c r="C153" s="17"/>
      <c r="D153" s="24"/>
      <c r="E153" s="24"/>
      <c r="F153" s="25"/>
      <c r="G153" s="25"/>
      <c r="H153" s="26"/>
    </row>
    <row r="154" spans="1:8" s="13" customFormat="1" ht="18" customHeight="1">
      <c r="A154" s="22"/>
      <c r="B154" s="23"/>
      <c r="C154" s="17"/>
      <c r="D154" s="24"/>
      <c r="E154" s="24"/>
      <c r="F154" s="26"/>
      <c r="G154" s="26"/>
      <c r="H154" s="26"/>
    </row>
    <row r="155" spans="1:8" s="13" customFormat="1" ht="18" customHeight="1">
      <c r="A155" s="22"/>
      <c r="B155" s="23"/>
      <c r="C155" s="17"/>
      <c r="D155" s="24"/>
      <c r="E155" s="24"/>
      <c r="F155" s="26"/>
      <c r="G155" s="26"/>
      <c r="H155" s="26"/>
    </row>
    <row r="156" spans="1:8" s="13" customFormat="1" ht="18" customHeight="1">
      <c r="A156" s="22"/>
      <c r="B156" s="23"/>
      <c r="C156" s="17"/>
      <c r="D156" s="24"/>
      <c r="E156" s="24"/>
      <c r="F156" s="26"/>
      <c r="G156" s="26"/>
      <c r="H156" s="26"/>
    </row>
    <row r="157" spans="1:8" s="13" customFormat="1" ht="18" customHeight="1">
      <c r="A157" s="22"/>
      <c r="B157" s="23"/>
      <c r="C157" s="17"/>
      <c r="D157" s="24"/>
      <c r="E157" s="24"/>
      <c r="F157" s="26"/>
      <c r="G157" s="26"/>
      <c r="H157" s="26"/>
    </row>
    <row r="158" spans="1:8" s="13" customFormat="1" ht="18" customHeight="1">
      <c r="A158" s="22"/>
      <c r="B158" s="23"/>
      <c r="C158" s="17"/>
      <c r="D158" s="24"/>
      <c r="E158" s="24"/>
      <c r="F158" s="26"/>
      <c r="G158" s="26"/>
      <c r="H158" s="26"/>
    </row>
    <row r="159" spans="1:8" s="13" customFormat="1" ht="18" customHeight="1">
      <c r="A159" s="22"/>
      <c r="B159" s="23"/>
      <c r="C159" s="17"/>
      <c r="D159" s="24"/>
      <c r="E159" s="24"/>
      <c r="F159" s="26"/>
      <c r="G159" s="26"/>
      <c r="H159" s="26"/>
    </row>
    <row r="160" spans="1:8" s="13" customFormat="1" ht="18" customHeight="1">
      <c r="A160" s="22"/>
      <c r="B160" s="23"/>
      <c r="C160" s="17"/>
      <c r="D160" s="24"/>
      <c r="E160" s="24"/>
      <c r="F160" s="26"/>
      <c r="G160" s="26"/>
      <c r="H160" s="26"/>
    </row>
    <row r="161" spans="1:8" s="13" customFormat="1" ht="18" customHeight="1">
      <c r="A161" s="22"/>
      <c r="B161" s="23"/>
      <c r="C161" s="17"/>
      <c r="D161" s="24"/>
      <c r="E161" s="24"/>
      <c r="F161" s="26"/>
      <c r="G161" s="26"/>
      <c r="H161" s="26"/>
    </row>
    <row r="162" spans="1:8" s="13" customFormat="1" ht="18" customHeight="1">
      <c r="A162" s="22"/>
      <c r="B162" s="23"/>
      <c r="C162" s="17"/>
      <c r="D162" s="24"/>
      <c r="E162" s="24"/>
      <c r="F162" s="26"/>
      <c r="G162" s="26"/>
      <c r="H162" s="26"/>
    </row>
    <row r="163" spans="1:8" s="13" customFormat="1" ht="18" customHeight="1">
      <c r="A163" s="22"/>
      <c r="B163" s="23"/>
      <c r="C163" s="17"/>
      <c r="D163" s="24"/>
      <c r="E163" s="24"/>
      <c r="F163" s="26"/>
      <c r="G163" s="26"/>
      <c r="H163" s="26"/>
    </row>
    <row r="164" spans="1:8" s="13" customFormat="1" ht="18" customHeight="1">
      <c r="A164" s="22"/>
      <c r="B164" s="23"/>
      <c r="C164" s="17"/>
      <c r="D164" s="24"/>
      <c r="E164" s="24"/>
      <c r="F164" s="26"/>
      <c r="G164" s="26"/>
      <c r="H164" s="26"/>
    </row>
    <row r="165" spans="1:8" s="13" customFormat="1" ht="18" customHeight="1">
      <c r="A165" s="22"/>
      <c r="B165" s="23"/>
      <c r="C165" s="17"/>
      <c r="D165" s="24"/>
      <c r="E165" s="24"/>
      <c r="F165" s="26"/>
      <c r="G165" s="26"/>
      <c r="H165" s="26"/>
    </row>
    <row r="166" spans="1:8" s="13" customFormat="1" ht="18" customHeight="1">
      <c r="A166" s="22"/>
      <c r="B166" s="23"/>
      <c r="C166" s="17"/>
      <c r="D166" s="24"/>
      <c r="E166" s="24"/>
      <c r="F166" s="26"/>
      <c r="G166" s="26"/>
      <c r="H166" s="26"/>
    </row>
    <row r="167" spans="1:8" s="13" customFormat="1" ht="18" customHeight="1">
      <c r="A167" s="22"/>
      <c r="B167" s="23"/>
      <c r="C167" s="17"/>
      <c r="D167" s="24"/>
      <c r="E167" s="24"/>
      <c r="F167" s="26"/>
      <c r="G167" s="26"/>
      <c r="H167" s="26"/>
    </row>
    <row r="168" spans="1:8" s="13" customFormat="1" ht="18" customHeight="1">
      <c r="A168" s="22"/>
      <c r="B168" s="23"/>
      <c r="C168" s="17"/>
      <c r="D168" s="24"/>
      <c r="E168" s="24"/>
      <c r="F168" s="26"/>
      <c r="G168" s="26"/>
      <c r="H168" s="26"/>
    </row>
    <row r="169" spans="1:8" s="13" customFormat="1" ht="18" customHeight="1">
      <c r="A169" s="22"/>
      <c r="B169" s="23"/>
      <c r="C169" s="17"/>
      <c r="D169" s="24"/>
      <c r="E169" s="24"/>
      <c r="F169" s="26"/>
      <c r="G169" s="26"/>
      <c r="H169" s="26"/>
    </row>
    <row r="170" spans="1:8" s="13" customFormat="1" ht="18" customHeight="1">
      <c r="A170" s="22"/>
      <c r="B170" s="23"/>
      <c r="C170" s="17"/>
      <c r="D170" s="24"/>
      <c r="E170" s="24"/>
      <c r="F170" s="26"/>
      <c r="G170" s="26"/>
      <c r="H170" s="26"/>
    </row>
    <row r="171" spans="1:8" s="13" customFormat="1" ht="18" customHeight="1">
      <c r="A171" s="22"/>
      <c r="B171" s="23"/>
      <c r="C171" s="17"/>
      <c r="D171" s="24"/>
      <c r="E171" s="24"/>
      <c r="F171" s="26"/>
      <c r="G171" s="26"/>
      <c r="H171" s="26"/>
    </row>
    <row r="172" spans="1:8" s="13" customFormat="1" ht="18" customHeight="1">
      <c r="A172" s="22"/>
      <c r="B172" s="23"/>
      <c r="C172" s="17"/>
      <c r="D172" s="24"/>
      <c r="E172" s="24"/>
      <c r="F172" s="26"/>
      <c r="G172" s="26"/>
      <c r="H172" s="26"/>
    </row>
    <row r="173" spans="1:8" s="13" customFormat="1" ht="18" customHeight="1">
      <c r="A173" s="22"/>
      <c r="B173" s="23"/>
      <c r="C173" s="17"/>
      <c r="D173" s="24"/>
      <c r="E173" s="24"/>
      <c r="F173" s="26"/>
      <c r="G173" s="26"/>
      <c r="H173" s="26"/>
    </row>
    <row r="174" spans="1:8" s="13" customFormat="1" ht="18" customHeight="1">
      <c r="A174" s="22"/>
      <c r="B174" s="23"/>
      <c r="C174" s="17"/>
      <c r="D174" s="24"/>
      <c r="E174" s="24"/>
      <c r="F174" s="26"/>
      <c r="G174" s="26"/>
      <c r="H174" s="26"/>
    </row>
    <row r="175" spans="1:8" s="13" customFormat="1" ht="18" customHeight="1">
      <c r="A175" s="22"/>
      <c r="B175" s="23"/>
      <c r="C175" s="17"/>
      <c r="D175" s="24"/>
      <c r="E175" s="24"/>
      <c r="F175" s="26"/>
      <c r="G175" s="26"/>
      <c r="H175" s="26"/>
    </row>
    <row r="176" spans="1:8" s="13" customFormat="1" ht="18" customHeight="1">
      <c r="A176" s="22"/>
      <c r="B176" s="23"/>
      <c r="C176" s="17"/>
      <c r="D176" s="24"/>
      <c r="E176" s="24"/>
      <c r="F176" s="26"/>
      <c r="G176" s="26"/>
      <c r="H176" s="26"/>
    </row>
    <row r="177" spans="1:8" s="13" customFormat="1" ht="18" customHeight="1">
      <c r="A177" s="22"/>
      <c r="B177" s="23"/>
      <c r="C177" s="17"/>
      <c r="D177" s="24"/>
      <c r="E177" s="24"/>
      <c r="F177" s="26"/>
      <c r="G177" s="26"/>
      <c r="H177" s="26"/>
    </row>
    <row r="178" spans="1:8" s="13" customFormat="1" ht="18" customHeight="1">
      <c r="A178" s="22"/>
      <c r="B178" s="23"/>
      <c r="C178" s="17"/>
      <c r="D178" s="24"/>
      <c r="E178" s="24"/>
      <c r="F178" s="26"/>
      <c r="G178" s="26"/>
      <c r="H178" s="26"/>
    </row>
    <row r="179" spans="1:8" s="13" customFormat="1" ht="18" customHeight="1">
      <c r="A179" s="22"/>
      <c r="B179" s="23"/>
      <c r="C179" s="17"/>
      <c r="D179" s="24"/>
      <c r="E179" s="24"/>
      <c r="F179" s="26"/>
      <c r="G179" s="26"/>
      <c r="H179" s="26"/>
    </row>
    <row r="180" spans="1:8" s="13" customFormat="1" ht="18" customHeight="1">
      <c r="A180" s="22"/>
      <c r="B180" s="23"/>
      <c r="C180" s="17"/>
      <c r="D180" s="24"/>
      <c r="E180" s="24"/>
      <c r="F180" s="26"/>
      <c r="G180" s="26"/>
      <c r="H180" s="26"/>
    </row>
    <row r="181" spans="1:8" s="13" customFormat="1" ht="18" customHeight="1">
      <c r="A181" s="22"/>
      <c r="B181" s="23"/>
      <c r="C181" s="17"/>
      <c r="D181" s="24"/>
      <c r="E181" s="24"/>
      <c r="F181" s="26"/>
      <c r="G181" s="26"/>
      <c r="H181" s="26"/>
    </row>
    <row r="182" spans="1:8" s="13" customFormat="1" ht="18" customHeight="1">
      <c r="A182" s="22"/>
      <c r="B182" s="23"/>
      <c r="C182" s="17"/>
      <c r="D182" s="24"/>
      <c r="E182" s="24"/>
      <c r="F182" s="26"/>
      <c r="G182" s="26"/>
      <c r="H182" s="26"/>
    </row>
    <row r="183" spans="1:8" s="13" customFormat="1" ht="18" customHeight="1">
      <c r="A183" s="22"/>
      <c r="B183" s="23"/>
      <c r="C183" s="17"/>
      <c r="D183" s="24"/>
      <c r="E183" s="24"/>
      <c r="F183" s="26"/>
      <c r="G183" s="26"/>
      <c r="H183" s="26"/>
    </row>
    <row r="184" spans="1:8" s="13" customFormat="1" ht="18" customHeight="1">
      <c r="A184" s="22"/>
      <c r="B184" s="23"/>
      <c r="C184" s="17"/>
      <c r="D184" s="24"/>
      <c r="E184" s="24"/>
      <c r="F184" s="26"/>
      <c r="G184" s="26"/>
      <c r="H184" s="26"/>
    </row>
    <row r="185" spans="1:8" s="13" customFormat="1" ht="18" customHeight="1">
      <c r="A185" s="22"/>
      <c r="B185" s="23"/>
      <c r="C185" s="17"/>
      <c r="D185" s="24"/>
      <c r="E185" s="24"/>
      <c r="F185" s="26"/>
      <c r="G185" s="26"/>
      <c r="H185" s="26"/>
    </row>
    <row r="186" spans="1:8" s="13" customFormat="1" ht="18" customHeight="1">
      <c r="A186" s="22"/>
      <c r="B186" s="23"/>
      <c r="C186" s="17"/>
      <c r="D186" s="24"/>
      <c r="E186" s="24"/>
      <c r="F186" s="26"/>
      <c r="G186" s="26"/>
      <c r="H186" s="26"/>
    </row>
    <row r="187" spans="1:8" s="13" customFormat="1" ht="18" customHeight="1">
      <c r="A187" s="22"/>
      <c r="B187" s="23"/>
      <c r="C187" s="17"/>
      <c r="D187" s="24"/>
      <c r="E187" s="24"/>
      <c r="F187" s="26"/>
      <c r="G187" s="26"/>
      <c r="H187" s="26"/>
    </row>
    <row r="188" spans="1:8" s="13" customFormat="1" ht="18" customHeight="1">
      <c r="A188" s="22"/>
      <c r="B188" s="23"/>
      <c r="C188" s="17"/>
      <c r="D188" s="24"/>
      <c r="E188" s="24"/>
      <c r="F188" s="26"/>
      <c r="G188" s="26"/>
      <c r="H188" s="26"/>
    </row>
    <row r="189" spans="1:8" s="13" customFormat="1" ht="18" customHeight="1">
      <c r="A189" s="22"/>
      <c r="B189" s="23"/>
      <c r="C189" s="17"/>
      <c r="D189" s="24"/>
      <c r="E189" s="24"/>
      <c r="F189" s="26"/>
      <c r="G189" s="26"/>
      <c r="H189" s="26"/>
    </row>
    <row r="190" spans="1:8" s="13" customFormat="1" ht="18" customHeight="1">
      <c r="A190" s="22"/>
      <c r="B190" s="23"/>
      <c r="C190" s="17"/>
      <c r="D190" s="24"/>
      <c r="E190" s="24"/>
      <c r="F190" s="26"/>
      <c r="G190" s="26"/>
      <c r="H190" s="26"/>
    </row>
    <row r="191" spans="1:8" s="13" customFormat="1" ht="18" customHeight="1">
      <c r="A191" s="22"/>
      <c r="B191" s="23"/>
      <c r="C191" s="17"/>
      <c r="D191" s="24"/>
      <c r="E191" s="24"/>
      <c r="F191" s="26"/>
      <c r="G191" s="26"/>
      <c r="H191" s="26"/>
    </row>
    <row r="192" spans="1:8" s="13" customFormat="1" ht="18" customHeight="1">
      <c r="A192" s="22"/>
      <c r="B192" s="23"/>
      <c r="C192" s="17"/>
      <c r="D192" s="24"/>
      <c r="E192" s="24"/>
      <c r="F192" s="26"/>
      <c r="G192" s="26"/>
      <c r="H192" s="26"/>
    </row>
    <row r="193" spans="1:8" s="13" customFormat="1" ht="18" customHeight="1">
      <c r="A193" s="22"/>
      <c r="B193" s="23"/>
      <c r="C193" s="17"/>
      <c r="D193" s="24"/>
      <c r="E193" s="24"/>
      <c r="F193" s="26"/>
      <c r="G193" s="26"/>
      <c r="H193" s="26"/>
    </row>
    <row r="194" spans="1:8" s="13" customFormat="1" ht="18" customHeight="1">
      <c r="A194" s="22"/>
      <c r="B194" s="23"/>
      <c r="C194" s="17"/>
      <c r="D194" s="24"/>
      <c r="E194" s="24"/>
      <c r="F194" s="26"/>
      <c r="G194" s="26"/>
      <c r="H194" s="26"/>
    </row>
    <row r="195" spans="1:8" s="13" customFormat="1" ht="18" customHeight="1">
      <c r="A195" s="22"/>
      <c r="B195" s="23"/>
      <c r="C195" s="17"/>
      <c r="D195" s="24"/>
      <c r="E195" s="24"/>
      <c r="F195" s="26"/>
      <c r="G195" s="26"/>
      <c r="H195" s="26"/>
    </row>
    <row r="196" spans="1:8" s="13" customFormat="1" ht="18" customHeight="1">
      <c r="A196" s="22"/>
      <c r="B196" s="23"/>
      <c r="C196" s="17"/>
      <c r="D196" s="24"/>
      <c r="E196" s="24"/>
      <c r="F196" s="26"/>
      <c r="G196" s="26"/>
      <c r="H196" s="26"/>
    </row>
    <row r="197" spans="1:8" s="13" customFormat="1" ht="18" customHeight="1">
      <c r="A197" s="22"/>
      <c r="B197" s="23"/>
      <c r="C197" s="17"/>
      <c r="D197" s="24"/>
      <c r="E197" s="24"/>
      <c r="F197" s="26"/>
      <c r="G197" s="26"/>
      <c r="H197" s="26"/>
    </row>
    <row r="198" spans="1:8" s="13" customFormat="1" ht="18" customHeight="1">
      <c r="A198" s="22"/>
      <c r="B198" s="23"/>
      <c r="C198" s="17"/>
      <c r="D198" s="24"/>
      <c r="E198" s="24"/>
      <c r="F198" s="26"/>
      <c r="G198" s="26"/>
      <c r="H198" s="26"/>
    </row>
    <row r="199" spans="1:8" s="13" customFormat="1" ht="18" customHeight="1">
      <c r="A199" s="22"/>
      <c r="B199" s="23"/>
      <c r="C199" s="17"/>
      <c r="D199" s="24"/>
      <c r="E199" s="24"/>
      <c r="F199" s="26"/>
      <c r="G199" s="26"/>
      <c r="H199" s="26"/>
    </row>
    <row r="200" spans="1:8" s="13" customFormat="1" ht="18" customHeight="1">
      <c r="A200" s="22"/>
      <c r="B200" s="23"/>
      <c r="C200" s="17"/>
      <c r="D200" s="24"/>
      <c r="E200" s="24"/>
      <c r="F200" s="26"/>
      <c r="G200" s="26"/>
      <c r="H200" s="26"/>
    </row>
    <row r="201" spans="1:8" s="13" customFormat="1" ht="18" customHeight="1">
      <c r="A201" s="22"/>
      <c r="B201" s="23"/>
      <c r="C201" s="17"/>
      <c r="D201" s="24"/>
      <c r="E201" s="24"/>
      <c r="F201" s="26"/>
      <c r="G201" s="26"/>
      <c r="H201" s="26"/>
    </row>
    <row r="202" spans="1:8" s="13" customFormat="1" ht="18" customHeight="1">
      <c r="A202" s="22"/>
      <c r="B202" s="23"/>
      <c r="C202" s="17"/>
      <c r="D202" s="24"/>
      <c r="E202" s="24"/>
      <c r="F202" s="26"/>
      <c r="G202" s="26"/>
      <c r="H202" s="26"/>
    </row>
    <row r="203" spans="1:8" s="13" customFormat="1" ht="18" customHeight="1">
      <c r="A203" s="22"/>
      <c r="B203" s="23"/>
      <c r="C203" s="17"/>
      <c r="D203" s="24"/>
      <c r="E203" s="24"/>
      <c r="F203" s="26"/>
      <c r="G203" s="26"/>
      <c r="H203" s="26"/>
    </row>
    <row r="204" spans="1:8" s="13" customFormat="1" ht="18" customHeight="1">
      <c r="A204" s="22"/>
      <c r="B204" s="23"/>
      <c r="C204" s="17"/>
      <c r="D204" s="24"/>
      <c r="E204" s="24"/>
      <c r="F204" s="26"/>
      <c r="G204" s="26"/>
      <c r="H204" s="26"/>
    </row>
    <row r="205" spans="1:8" s="13" customFormat="1" ht="18" customHeight="1">
      <c r="A205" s="22"/>
      <c r="B205" s="23"/>
      <c r="C205" s="17"/>
      <c r="D205" s="24"/>
      <c r="E205" s="24"/>
      <c r="F205" s="26"/>
      <c r="G205" s="26"/>
      <c r="H205" s="26"/>
    </row>
    <row r="206" spans="1:8" s="13" customFormat="1" ht="18" customHeight="1">
      <c r="A206" s="22"/>
      <c r="B206" s="23"/>
      <c r="C206" s="17"/>
      <c r="D206" s="24"/>
      <c r="E206" s="24"/>
      <c r="F206" s="26"/>
      <c r="G206" s="26"/>
      <c r="H206" s="26"/>
    </row>
    <row r="207" spans="1:8" s="13" customFormat="1" ht="18" customHeight="1">
      <c r="A207" s="22"/>
      <c r="B207" s="23"/>
      <c r="C207" s="17"/>
      <c r="D207" s="24"/>
      <c r="E207" s="24"/>
      <c r="F207" s="26"/>
      <c r="G207" s="26"/>
      <c r="H207" s="26"/>
    </row>
    <row r="208" spans="1:8" s="13" customFormat="1" ht="18" customHeight="1">
      <c r="A208" s="22"/>
      <c r="B208" s="23"/>
      <c r="C208" s="17"/>
      <c r="D208" s="24"/>
      <c r="E208" s="24"/>
      <c r="F208" s="26"/>
      <c r="G208" s="26"/>
      <c r="H208" s="26"/>
    </row>
    <row r="209" spans="1:8" s="13" customFormat="1" ht="18" customHeight="1">
      <c r="A209" s="22"/>
      <c r="B209" s="23"/>
      <c r="C209" s="17"/>
      <c r="D209" s="24"/>
      <c r="E209" s="24"/>
      <c r="F209" s="26"/>
      <c r="G209" s="26"/>
      <c r="H209" s="26"/>
    </row>
    <row r="210" spans="1:8" s="13" customFormat="1" ht="18" customHeight="1">
      <c r="A210" s="22"/>
      <c r="B210" s="23"/>
      <c r="C210" s="17"/>
      <c r="D210" s="24"/>
      <c r="E210" s="24"/>
      <c r="F210" s="26"/>
      <c r="G210" s="26"/>
      <c r="H210" s="26"/>
    </row>
    <row r="211" spans="1:8" s="13" customFormat="1" ht="18" customHeight="1">
      <c r="A211" s="22"/>
      <c r="B211" s="23"/>
      <c r="C211" s="17"/>
      <c r="D211" s="24"/>
      <c r="E211" s="24"/>
      <c r="F211" s="26"/>
      <c r="G211" s="26"/>
      <c r="H211" s="26"/>
    </row>
    <row r="212" spans="1:8" s="13" customFormat="1" ht="18" customHeight="1">
      <c r="A212" s="22"/>
      <c r="B212" s="23"/>
      <c r="C212" s="17"/>
      <c r="D212" s="24"/>
      <c r="E212" s="24"/>
      <c r="F212" s="26"/>
      <c r="G212" s="26"/>
      <c r="H212" s="26"/>
    </row>
    <row r="213" spans="1:8" s="13" customFormat="1" ht="18" customHeight="1">
      <c r="A213" s="22"/>
      <c r="B213" s="23"/>
      <c r="C213" s="17"/>
      <c r="D213" s="24"/>
      <c r="E213" s="24"/>
      <c r="F213" s="26"/>
      <c r="G213" s="26"/>
      <c r="H213" s="26"/>
    </row>
    <row r="214" spans="1:8" s="13" customFormat="1" ht="18" customHeight="1">
      <c r="A214" s="22"/>
      <c r="B214" s="23"/>
      <c r="C214" s="17"/>
      <c r="D214" s="24"/>
      <c r="E214" s="24"/>
      <c r="F214" s="26"/>
      <c r="G214" s="26"/>
      <c r="H214" s="26"/>
    </row>
    <row r="215" spans="1:8" s="13" customFormat="1" ht="18" customHeight="1">
      <c r="A215" s="22"/>
      <c r="B215" s="23"/>
      <c r="C215" s="17"/>
      <c r="D215" s="24"/>
      <c r="E215" s="24"/>
      <c r="F215" s="26"/>
      <c r="G215" s="26"/>
      <c r="H215" s="26"/>
    </row>
    <row r="216" spans="1:8" s="13" customFormat="1" ht="18" customHeight="1">
      <c r="A216" s="22"/>
      <c r="B216" s="23"/>
      <c r="C216" s="17"/>
      <c r="D216" s="24"/>
      <c r="E216" s="24"/>
      <c r="F216" s="26"/>
      <c r="G216" s="26"/>
      <c r="H216" s="26"/>
    </row>
    <row r="217" spans="1:8" s="13" customFormat="1" ht="18" customHeight="1">
      <c r="A217" s="22"/>
      <c r="B217" s="23"/>
      <c r="C217" s="17"/>
      <c r="D217" s="24"/>
      <c r="E217" s="24"/>
      <c r="F217" s="26"/>
      <c r="G217" s="26"/>
      <c r="H217" s="26"/>
    </row>
    <row r="218" spans="1:8" s="13" customFormat="1" ht="18" customHeight="1">
      <c r="A218" s="22"/>
      <c r="B218" s="23"/>
      <c r="C218" s="17"/>
      <c r="D218" s="24"/>
      <c r="E218" s="24"/>
      <c r="F218" s="26"/>
      <c r="G218" s="26"/>
      <c r="H218" s="26"/>
    </row>
    <row r="219" spans="1:8" s="13" customFormat="1" ht="18" customHeight="1">
      <c r="A219" s="22"/>
      <c r="B219" s="23"/>
      <c r="C219" s="17"/>
      <c r="D219" s="24"/>
      <c r="E219" s="24"/>
      <c r="F219" s="26"/>
      <c r="G219" s="26"/>
      <c r="H219" s="26"/>
    </row>
    <row r="220" spans="1:8" s="13" customFormat="1" ht="18" customHeight="1">
      <c r="A220" s="22"/>
      <c r="B220" s="23"/>
      <c r="C220" s="17"/>
      <c r="D220" s="24"/>
      <c r="E220" s="24"/>
      <c r="F220" s="26"/>
      <c r="G220" s="26"/>
      <c r="H220" s="26"/>
    </row>
    <row r="221" spans="1:8" s="13" customFormat="1" ht="18" customHeight="1">
      <c r="A221" s="22"/>
      <c r="B221" s="23"/>
      <c r="C221" s="17"/>
      <c r="D221" s="24"/>
      <c r="E221" s="24"/>
      <c r="F221" s="26"/>
      <c r="G221" s="26"/>
      <c r="H221" s="26"/>
    </row>
    <row r="222" spans="1:8" s="13" customFormat="1" ht="18" customHeight="1">
      <c r="A222" s="22"/>
      <c r="B222" s="23"/>
      <c r="C222" s="17"/>
      <c r="D222" s="24"/>
      <c r="E222" s="24"/>
      <c r="F222" s="26"/>
      <c r="G222" s="26"/>
      <c r="H222" s="26"/>
    </row>
    <row r="223" spans="1:8" s="13" customFormat="1" ht="18" customHeight="1">
      <c r="A223" s="22"/>
      <c r="B223" s="23"/>
      <c r="C223" s="17"/>
      <c r="D223" s="24"/>
      <c r="E223" s="24"/>
      <c r="F223" s="26"/>
      <c r="G223" s="26"/>
      <c r="H223" s="26"/>
    </row>
    <row r="224" spans="1:8" s="13" customFormat="1" ht="18" customHeight="1">
      <c r="A224" s="22"/>
      <c r="B224" s="23"/>
      <c r="C224" s="17"/>
      <c r="D224" s="24"/>
      <c r="E224" s="24"/>
      <c r="F224" s="26"/>
      <c r="G224" s="26"/>
      <c r="H224" s="26"/>
    </row>
    <row r="225" spans="1:8" s="13" customFormat="1" ht="18" customHeight="1">
      <c r="A225" s="22"/>
      <c r="B225" s="23"/>
      <c r="C225" s="17"/>
      <c r="D225" s="24"/>
      <c r="E225" s="24"/>
      <c r="F225" s="26"/>
      <c r="G225" s="26"/>
      <c r="H225" s="26"/>
    </row>
    <row r="226" spans="1:8" s="13" customFormat="1" ht="18" customHeight="1">
      <c r="A226" s="22"/>
      <c r="B226" s="23"/>
      <c r="C226" s="17"/>
      <c r="D226" s="24"/>
      <c r="E226" s="24"/>
      <c r="F226" s="26"/>
      <c r="G226" s="26"/>
      <c r="H226" s="26"/>
    </row>
    <row r="227" spans="1:8" s="13" customFormat="1" ht="18" customHeight="1">
      <c r="A227" s="22"/>
      <c r="B227" s="23"/>
      <c r="C227" s="17"/>
      <c r="D227" s="24"/>
      <c r="E227" s="24"/>
      <c r="F227" s="26"/>
      <c r="G227" s="26"/>
      <c r="H227" s="26"/>
    </row>
    <row r="228" spans="1:8" s="13" customFormat="1" ht="18" customHeight="1">
      <c r="A228" s="22"/>
      <c r="B228" s="23"/>
      <c r="C228" s="17"/>
      <c r="D228" s="24"/>
      <c r="E228" s="24"/>
      <c r="F228" s="26"/>
      <c r="G228" s="26"/>
      <c r="H228" s="26"/>
    </row>
    <row r="229" spans="1:8" s="13" customFormat="1" ht="18" customHeight="1">
      <c r="A229" s="22"/>
      <c r="B229" s="23"/>
      <c r="C229" s="17"/>
      <c r="D229" s="24"/>
      <c r="E229" s="24"/>
      <c r="F229" s="26"/>
      <c r="G229" s="26"/>
      <c r="H229" s="26"/>
    </row>
    <row r="230" spans="1:8" s="13" customFormat="1" ht="18" customHeight="1">
      <c r="A230" s="18"/>
      <c r="B230" s="19"/>
      <c r="C230" s="17"/>
      <c r="D230" s="26"/>
      <c r="E230" s="26"/>
      <c r="F230" s="26"/>
      <c r="G230" s="26"/>
    </row>
    <row r="231" spans="1:8" s="13" customFormat="1" ht="18" customHeight="1">
      <c r="A231" s="18"/>
      <c r="B231" s="19"/>
      <c r="C231" s="17"/>
    </row>
    <row r="232" spans="1:8" s="13" customFormat="1" ht="18" customHeight="1">
      <c r="A232" s="18"/>
      <c r="B232" s="19"/>
      <c r="C232" s="17"/>
    </row>
    <row r="233" spans="1:8" s="13" customFormat="1" ht="18" customHeight="1">
      <c r="A233" s="18"/>
      <c r="B233" s="19"/>
      <c r="C233" s="17"/>
    </row>
    <row r="234" spans="1:8" s="13" customFormat="1" ht="18" customHeight="1">
      <c r="A234" s="18"/>
      <c r="B234" s="19"/>
      <c r="C234" s="17"/>
    </row>
    <row r="235" spans="1:8" s="13" customFormat="1" ht="18" customHeight="1">
      <c r="A235" s="18"/>
      <c r="B235" s="19"/>
      <c r="C235" s="17"/>
    </row>
    <row r="236" spans="1:8" s="13" customFormat="1" ht="18" customHeight="1">
      <c r="A236" s="18"/>
      <c r="B236" s="19"/>
      <c r="C236" s="17"/>
    </row>
    <row r="237" spans="1:8" s="13" customFormat="1" ht="18" customHeight="1">
      <c r="A237" s="18"/>
      <c r="B237" s="19"/>
      <c r="C237" s="17"/>
    </row>
    <row r="238" spans="1:8" s="13" customFormat="1" ht="18" customHeight="1">
      <c r="A238" s="18"/>
      <c r="B238" s="19"/>
      <c r="C238" s="17"/>
    </row>
    <row r="239" spans="1:8" s="13" customFormat="1" ht="18" customHeight="1">
      <c r="A239" s="18"/>
      <c r="B239" s="19"/>
      <c r="C239" s="17"/>
    </row>
    <row r="240" spans="1:8" s="13" customFormat="1" ht="18" customHeight="1">
      <c r="A240" s="18"/>
      <c r="B240" s="19"/>
      <c r="C240" s="17"/>
    </row>
    <row r="241" spans="1:3" s="13" customFormat="1" ht="18" customHeight="1">
      <c r="A241" s="18"/>
      <c r="B241" s="19"/>
      <c r="C241" s="17"/>
    </row>
    <row r="242" spans="1:3" s="13" customFormat="1" ht="18" customHeight="1">
      <c r="A242" s="18"/>
      <c r="B242" s="19"/>
      <c r="C242" s="17"/>
    </row>
    <row r="243" spans="1:3" s="13" customFormat="1" ht="18" customHeight="1">
      <c r="A243" s="18"/>
      <c r="B243" s="19"/>
      <c r="C243" s="17"/>
    </row>
    <row r="244" spans="1:3" s="13" customFormat="1" ht="18" customHeight="1">
      <c r="A244" s="18"/>
      <c r="B244" s="19"/>
      <c r="C244" s="17"/>
    </row>
    <row r="245" spans="1:3" s="13" customFormat="1" ht="18" customHeight="1">
      <c r="A245" s="18"/>
      <c r="B245" s="19"/>
      <c r="C245" s="17"/>
    </row>
    <row r="246" spans="1:3" s="13" customFormat="1" ht="18" customHeight="1">
      <c r="A246" s="18"/>
      <c r="B246" s="19"/>
      <c r="C246" s="17"/>
    </row>
    <row r="247" spans="1:3" s="13" customFormat="1" ht="18" customHeight="1">
      <c r="A247" s="18"/>
      <c r="B247" s="19"/>
      <c r="C247" s="17"/>
    </row>
    <row r="248" spans="1:3" s="13" customFormat="1" ht="18" customHeight="1">
      <c r="A248" s="18"/>
      <c r="B248" s="19"/>
      <c r="C248" s="17"/>
    </row>
    <row r="249" spans="1:3" s="13" customFormat="1" ht="18" customHeight="1">
      <c r="A249" s="18"/>
      <c r="B249" s="19"/>
      <c r="C249" s="17"/>
    </row>
    <row r="250" spans="1:3" s="13" customFormat="1" ht="18" customHeight="1">
      <c r="A250" s="18"/>
      <c r="B250" s="19"/>
      <c r="C250" s="17"/>
    </row>
    <row r="251" spans="1:3" s="13" customFormat="1" ht="18" customHeight="1">
      <c r="A251" s="18"/>
      <c r="B251" s="19"/>
      <c r="C251" s="17"/>
    </row>
    <row r="252" spans="1:3" s="13" customFormat="1" ht="18" customHeight="1">
      <c r="A252" s="18"/>
      <c r="B252" s="19"/>
      <c r="C252" s="17"/>
    </row>
    <row r="253" spans="1:3" s="13" customFormat="1" ht="18" customHeight="1">
      <c r="A253" s="18"/>
      <c r="B253" s="19"/>
      <c r="C253" s="17"/>
    </row>
    <row r="254" spans="1:3" s="13" customFormat="1" ht="18" customHeight="1">
      <c r="A254" s="18"/>
      <c r="B254" s="19"/>
      <c r="C254" s="17"/>
    </row>
    <row r="255" spans="1:3" s="13" customFormat="1" ht="18" customHeight="1">
      <c r="A255" s="18"/>
      <c r="B255" s="19"/>
      <c r="C255" s="17"/>
    </row>
    <row r="256" spans="1:3" s="13" customFormat="1" ht="18" customHeight="1">
      <c r="A256" s="18"/>
      <c r="B256" s="19"/>
      <c r="C256" s="17"/>
    </row>
    <row r="257" spans="1:3" s="13" customFormat="1" ht="18" customHeight="1">
      <c r="A257" s="18"/>
      <c r="B257" s="19"/>
      <c r="C257" s="17"/>
    </row>
    <row r="258" spans="1:3" s="13" customFormat="1" ht="18" customHeight="1">
      <c r="A258" s="18"/>
      <c r="B258" s="19"/>
      <c r="C258" s="17"/>
    </row>
    <row r="259" spans="1:3" s="13" customFormat="1" ht="18" customHeight="1">
      <c r="A259" s="18"/>
      <c r="B259" s="19"/>
      <c r="C259" s="17"/>
    </row>
    <row r="260" spans="1:3" s="13" customFormat="1" ht="18" customHeight="1">
      <c r="A260" s="18"/>
      <c r="B260" s="19"/>
      <c r="C260" s="17"/>
    </row>
    <row r="261" spans="1:3" s="13" customFormat="1" ht="18" customHeight="1">
      <c r="A261" s="18"/>
      <c r="B261" s="19"/>
      <c r="C261" s="17"/>
    </row>
    <row r="262" spans="1:3" s="13" customFormat="1" ht="18" customHeight="1">
      <c r="A262" s="18"/>
      <c r="B262" s="19"/>
      <c r="C262" s="17"/>
    </row>
    <row r="263" spans="1:3" s="13" customFormat="1" ht="18" customHeight="1">
      <c r="A263" s="18"/>
      <c r="B263" s="19"/>
      <c r="C263" s="17"/>
    </row>
    <row r="264" spans="1:3" s="13" customFormat="1" ht="18" customHeight="1">
      <c r="A264" s="18"/>
      <c r="B264" s="19"/>
      <c r="C264" s="17"/>
    </row>
    <row r="265" spans="1:3" s="13" customFormat="1" ht="18" customHeight="1">
      <c r="A265" s="18"/>
      <c r="B265" s="19"/>
      <c r="C265" s="17"/>
    </row>
    <row r="266" spans="1:3" s="13" customFormat="1" ht="18" customHeight="1">
      <c r="A266" s="18"/>
      <c r="B266" s="19"/>
      <c r="C266" s="17"/>
    </row>
    <row r="267" spans="1:3" s="13" customFormat="1" ht="18" customHeight="1">
      <c r="A267" s="18"/>
      <c r="B267" s="19"/>
      <c r="C267" s="17"/>
    </row>
    <row r="268" spans="1:3" s="13" customFormat="1" ht="18" customHeight="1">
      <c r="A268" s="18"/>
      <c r="B268" s="19"/>
      <c r="C268" s="17"/>
    </row>
    <row r="269" spans="1:3" s="13" customFormat="1" ht="18" customHeight="1">
      <c r="A269" s="18"/>
      <c r="B269" s="19"/>
      <c r="C269" s="17"/>
    </row>
    <row r="270" spans="1:3" s="13" customFormat="1" ht="18" customHeight="1">
      <c r="A270" s="18"/>
      <c r="B270" s="19"/>
      <c r="C270" s="17"/>
    </row>
    <row r="271" spans="1:3" s="13" customFormat="1" ht="18" customHeight="1">
      <c r="A271" s="18"/>
      <c r="B271" s="19"/>
      <c r="C271" s="17"/>
    </row>
    <row r="272" spans="1:3" s="13" customFormat="1" ht="18" customHeight="1">
      <c r="A272" s="18"/>
      <c r="B272" s="19"/>
      <c r="C272" s="17"/>
    </row>
    <row r="273" spans="1:3" s="13" customFormat="1" ht="18" customHeight="1">
      <c r="A273" s="18"/>
      <c r="B273" s="19"/>
      <c r="C273" s="17"/>
    </row>
    <row r="274" spans="1:3" s="13" customFormat="1" ht="18" customHeight="1">
      <c r="A274" s="18"/>
      <c r="B274" s="19"/>
      <c r="C274" s="17"/>
    </row>
    <row r="275" spans="1:3" s="13" customFormat="1" ht="18" customHeight="1">
      <c r="A275" s="18"/>
      <c r="B275" s="19"/>
      <c r="C275" s="17"/>
    </row>
    <row r="276" spans="1:3" s="13" customFormat="1" ht="18" customHeight="1">
      <c r="A276" s="18"/>
      <c r="B276" s="19"/>
      <c r="C276" s="17"/>
    </row>
    <row r="277" spans="1:3" s="13" customFormat="1" ht="18" customHeight="1">
      <c r="A277" s="18"/>
      <c r="B277" s="19"/>
      <c r="C277" s="17"/>
    </row>
    <row r="278" spans="1:3" s="13" customFormat="1" ht="18" customHeight="1">
      <c r="A278" s="18"/>
      <c r="B278" s="19"/>
      <c r="C278" s="17"/>
    </row>
    <row r="279" spans="1:3" s="13" customFormat="1" ht="18" customHeight="1">
      <c r="A279" s="18"/>
      <c r="B279" s="19"/>
      <c r="C279" s="17"/>
    </row>
    <row r="280" spans="1:3" s="13" customFormat="1" ht="18" customHeight="1">
      <c r="A280" s="18"/>
      <c r="B280" s="19"/>
      <c r="C280" s="17"/>
    </row>
    <row r="281" spans="1:3" s="13" customFormat="1" ht="18" customHeight="1">
      <c r="A281" s="18"/>
      <c r="B281" s="19"/>
      <c r="C281" s="17"/>
    </row>
    <row r="282" spans="1:3" s="13" customFormat="1" ht="18" customHeight="1">
      <c r="A282" s="18"/>
      <c r="B282" s="19"/>
      <c r="C282" s="17"/>
    </row>
    <row r="283" spans="1:3" s="13" customFormat="1" ht="18" customHeight="1">
      <c r="A283" s="18"/>
      <c r="B283" s="19"/>
      <c r="C283" s="17"/>
    </row>
    <row r="284" spans="1:3" s="13" customFormat="1" ht="18" customHeight="1">
      <c r="A284" s="18"/>
      <c r="B284" s="19"/>
      <c r="C284" s="17"/>
    </row>
    <row r="285" spans="1:3" s="13" customFormat="1" ht="18" customHeight="1">
      <c r="A285" s="18"/>
      <c r="B285" s="19"/>
      <c r="C285" s="17"/>
    </row>
    <row r="286" spans="1:3" s="13" customFormat="1" ht="18" customHeight="1">
      <c r="A286" s="18"/>
      <c r="B286" s="19"/>
      <c r="C286" s="17"/>
    </row>
    <row r="287" spans="1:3" s="13" customFormat="1" ht="18" customHeight="1">
      <c r="A287" s="18"/>
      <c r="B287" s="19"/>
      <c r="C287" s="17"/>
    </row>
    <row r="288" spans="1:3" s="13" customFormat="1" ht="18" customHeight="1">
      <c r="A288" s="18"/>
      <c r="B288" s="19"/>
      <c r="C288" s="17"/>
    </row>
    <row r="289" spans="1:3" s="13" customFormat="1" ht="18" customHeight="1">
      <c r="A289" s="18"/>
      <c r="B289" s="19"/>
      <c r="C289" s="17"/>
    </row>
    <row r="290" spans="1:3" s="13" customFormat="1" ht="18" customHeight="1">
      <c r="A290" s="18"/>
      <c r="B290" s="19"/>
      <c r="C290" s="17"/>
    </row>
    <row r="291" spans="1:3" s="13" customFormat="1" ht="18" customHeight="1">
      <c r="A291" s="18"/>
      <c r="B291" s="19"/>
      <c r="C291" s="17"/>
    </row>
    <row r="292" spans="1:3" s="13" customFormat="1" ht="18" customHeight="1">
      <c r="A292" s="18"/>
      <c r="B292" s="19"/>
      <c r="C292" s="17"/>
    </row>
    <row r="293" spans="1:3" s="13" customFormat="1" ht="18" customHeight="1">
      <c r="A293" s="18"/>
      <c r="B293" s="19"/>
      <c r="C293" s="17"/>
    </row>
    <row r="294" spans="1:3" s="13" customFormat="1" ht="18" customHeight="1">
      <c r="A294" s="18"/>
      <c r="B294" s="19"/>
      <c r="C294" s="17"/>
    </row>
    <row r="295" spans="1:3" s="13" customFormat="1" ht="18" customHeight="1">
      <c r="A295" s="18"/>
      <c r="B295" s="19"/>
      <c r="C295" s="17"/>
    </row>
    <row r="296" spans="1:3" s="13" customFormat="1" ht="18" customHeight="1">
      <c r="A296" s="18"/>
      <c r="B296" s="19"/>
      <c r="C296" s="17"/>
    </row>
    <row r="297" spans="1:3" s="13" customFormat="1" ht="18" customHeight="1">
      <c r="A297" s="18"/>
      <c r="B297" s="19"/>
      <c r="C297" s="17"/>
    </row>
    <row r="298" spans="1:3" s="13" customFormat="1" ht="18" customHeight="1">
      <c r="A298" s="18"/>
      <c r="B298" s="19"/>
      <c r="C298" s="17"/>
    </row>
    <row r="299" spans="1:3" s="13" customFormat="1" ht="18" customHeight="1">
      <c r="A299" s="18"/>
      <c r="B299" s="19"/>
      <c r="C299" s="17"/>
    </row>
    <row r="300" spans="1:3" s="13" customFormat="1" ht="18" customHeight="1">
      <c r="A300" s="18"/>
      <c r="B300" s="19"/>
      <c r="C300" s="17"/>
    </row>
    <row r="301" spans="1:3" s="13" customFormat="1" ht="18" customHeight="1">
      <c r="A301" s="18"/>
      <c r="B301" s="19"/>
      <c r="C301" s="17"/>
    </row>
    <row r="302" spans="1:3" s="13" customFormat="1" ht="18" customHeight="1">
      <c r="A302" s="18"/>
      <c r="B302" s="19"/>
      <c r="C302" s="17"/>
    </row>
    <row r="303" spans="1:3" s="13" customFormat="1" ht="18" customHeight="1">
      <c r="A303" s="18"/>
      <c r="B303" s="19"/>
      <c r="C303" s="17"/>
    </row>
    <row r="304" spans="1:3" s="13" customFormat="1" ht="18" customHeight="1">
      <c r="A304" s="18"/>
      <c r="B304" s="19"/>
      <c r="C304" s="17"/>
    </row>
    <row r="305" spans="1:3" s="13" customFormat="1" ht="18" customHeight="1">
      <c r="A305" s="18"/>
      <c r="B305" s="19"/>
      <c r="C305" s="17"/>
    </row>
    <row r="306" spans="1:3" s="13" customFormat="1" ht="18" customHeight="1">
      <c r="A306" s="18"/>
      <c r="B306" s="19"/>
      <c r="C306" s="17"/>
    </row>
    <row r="307" spans="1:3" s="13" customFormat="1" ht="18" customHeight="1">
      <c r="A307" s="18"/>
      <c r="B307" s="19"/>
      <c r="C307" s="17"/>
    </row>
    <row r="308" spans="1:3" s="13" customFormat="1" ht="18" customHeight="1">
      <c r="A308" s="18"/>
      <c r="B308" s="19"/>
      <c r="C308" s="17"/>
    </row>
    <row r="309" spans="1:3" s="13" customFormat="1" ht="18" customHeight="1">
      <c r="A309" s="18"/>
      <c r="B309" s="19"/>
      <c r="C309" s="17"/>
    </row>
    <row r="310" spans="1:3" s="13" customFormat="1" ht="18" customHeight="1">
      <c r="A310" s="18"/>
      <c r="B310" s="19"/>
      <c r="C310" s="17"/>
    </row>
    <row r="311" spans="1:3" s="13" customFormat="1" ht="18" customHeight="1">
      <c r="A311" s="18"/>
      <c r="B311" s="19"/>
      <c r="C311" s="17"/>
    </row>
    <row r="312" spans="1:3" s="13" customFormat="1" ht="18" customHeight="1">
      <c r="A312" s="18"/>
      <c r="B312" s="19"/>
      <c r="C312" s="17"/>
    </row>
    <row r="313" spans="1:3" s="13" customFormat="1" ht="18" customHeight="1">
      <c r="A313" s="18"/>
      <c r="B313" s="19"/>
      <c r="C313" s="17"/>
    </row>
    <row r="314" spans="1:3" s="13" customFormat="1" ht="18" customHeight="1">
      <c r="A314" s="18"/>
      <c r="B314" s="19"/>
      <c r="C314" s="17"/>
    </row>
    <row r="315" spans="1:3" s="13" customFormat="1" ht="18" customHeight="1">
      <c r="A315" s="18"/>
      <c r="B315" s="19"/>
      <c r="C315" s="17"/>
    </row>
    <row r="316" spans="1:3" s="13" customFormat="1" ht="18" customHeight="1">
      <c r="A316" s="18"/>
      <c r="B316" s="19"/>
      <c r="C316" s="17"/>
    </row>
    <row r="317" spans="1:3" s="13" customFormat="1" ht="18" customHeight="1">
      <c r="A317" s="18"/>
      <c r="B317" s="19"/>
      <c r="C317" s="17"/>
    </row>
    <row r="318" spans="1:3" s="13" customFormat="1" ht="18" customHeight="1">
      <c r="A318" s="18"/>
      <c r="B318" s="19"/>
      <c r="C318" s="17"/>
    </row>
    <row r="319" spans="1:3" s="13" customFormat="1" ht="18" customHeight="1">
      <c r="A319" s="18"/>
      <c r="B319" s="19"/>
      <c r="C319" s="17"/>
    </row>
    <row r="320" spans="1:3" s="13" customFormat="1" ht="18" customHeight="1">
      <c r="A320" s="18"/>
      <c r="B320" s="19"/>
      <c r="C320" s="17"/>
    </row>
    <row r="321" spans="1:3" s="13" customFormat="1" ht="18" customHeight="1">
      <c r="A321" s="18"/>
      <c r="B321" s="19"/>
      <c r="C321" s="17"/>
    </row>
    <row r="322" spans="1:3" s="13" customFormat="1" ht="18" customHeight="1">
      <c r="A322" s="18"/>
      <c r="B322" s="19"/>
      <c r="C322" s="17"/>
    </row>
    <row r="323" spans="1:3" s="13" customFormat="1" ht="18" customHeight="1">
      <c r="A323" s="18"/>
      <c r="B323" s="19"/>
      <c r="C323" s="17"/>
    </row>
    <row r="324" spans="1:3" s="13" customFormat="1" ht="18" customHeight="1">
      <c r="A324" s="18"/>
      <c r="B324" s="19"/>
      <c r="C324" s="17"/>
    </row>
    <row r="325" spans="1:3" s="13" customFormat="1" ht="18" customHeight="1">
      <c r="A325" s="18"/>
      <c r="B325" s="19"/>
      <c r="C325" s="17"/>
    </row>
    <row r="326" spans="1:3" s="13" customFormat="1" ht="18" customHeight="1">
      <c r="A326" s="18"/>
      <c r="B326" s="19"/>
      <c r="C326" s="17"/>
    </row>
    <row r="327" spans="1:3" s="13" customFormat="1" ht="18" customHeight="1">
      <c r="A327" s="18"/>
      <c r="B327" s="19"/>
      <c r="C327" s="17"/>
    </row>
    <row r="328" spans="1:3" s="13" customFormat="1" ht="18" customHeight="1">
      <c r="A328" s="18"/>
      <c r="B328" s="19"/>
      <c r="C328" s="17"/>
    </row>
    <row r="329" spans="1:3" s="13" customFormat="1" ht="18" customHeight="1">
      <c r="A329" s="18"/>
      <c r="B329" s="19"/>
      <c r="C329" s="17"/>
    </row>
    <row r="330" spans="1:3" s="13" customFormat="1" ht="18" customHeight="1">
      <c r="A330" s="18"/>
      <c r="B330" s="19"/>
      <c r="C330" s="17"/>
    </row>
    <row r="331" spans="1:3" s="13" customFormat="1" ht="18" customHeight="1">
      <c r="A331" s="18"/>
      <c r="B331" s="19"/>
      <c r="C331" s="17"/>
    </row>
    <row r="332" spans="1:3" s="13" customFormat="1" ht="18" customHeight="1">
      <c r="A332" s="18"/>
      <c r="B332" s="19"/>
      <c r="C332" s="17"/>
    </row>
    <row r="333" spans="1:3" s="13" customFormat="1" ht="18" customHeight="1">
      <c r="A333" s="18"/>
      <c r="B333" s="19"/>
      <c r="C333" s="17"/>
    </row>
    <row r="334" spans="1:3" s="13" customFormat="1" ht="18" customHeight="1">
      <c r="A334" s="18"/>
      <c r="B334" s="19"/>
      <c r="C334" s="17"/>
    </row>
    <row r="335" spans="1:3" s="13" customFormat="1" ht="18" customHeight="1">
      <c r="A335" s="18"/>
      <c r="B335" s="19"/>
      <c r="C335" s="17"/>
    </row>
    <row r="336" spans="1:3" s="13" customFormat="1" ht="18" customHeight="1">
      <c r="A336" s="18"/>
      <c r="B336" s="19"/>
      <c r="C336" s="17"/>
    </row>
    <row r="337" spans="1:3" s="13" customFormat="1" ht="18" customHeight="1">
      <c r="A337" s="18"/>
      <c r="B337" s="19"/>
      <c r="C337" s="17"/>
    </row>
    <row r="338" spans="1:3" s="13" customFormat="1" ht="18" customHeight="1">
      <c r="A338" s="18"/>
      <c r="B338" s="19"/>
      <c r="C338" s="17"/>
    </row>
    <row r="339" spans="1:3" s="13" customFormat="1" ht="18" customHeight="1">
      <c r="A339" s="18"/>
      <c r="B339" s="19"/>
      <c r="C339" s="17"/>
    </row>
    <row r="340" spans="1:3" s="13" customFormat="1" ht="18" customHeight="1">
      <c r="A340" s="18"/>
      <c r="B340" s="19"/>
      <c r="C340" s="17"/>
    </row>
    <row r="341" spans="1:3" s="13" customFormat="1" ht="18" customHeight="1">
      <c r="A341" s="18"/>
      <c r="B341" s="19"/>
      <c r="C341" s="17"/>
    </row>
    <row r="342" spans="1:3" s="13" customFormat="1" ht="18" customHeight="1">
      <c r="A342" s="18"/>
      <c r="B342" s="19"/>
      <c r="C342" s="17"/>
    </row>
    <row r="343" spans="1:3" s="13" customFormat="1" ht="18" customHeight="1">
      <c r="A343" s="18"/>
      <c r="B343" s="19"/>
      <c r="C343" s="17"/>
    </row>
    <row r="344" spans="1:3" s="13" customFormat="1" ht="18" customHeight="1">
      <c r="A344" s="18"/>
      <c r="B344" s="19"/>
      <c r="C344" s="17"/>
    </row>
    <row r="345" spans="1:3" s="13" customFormat="1" ht="18" customHeight="1">
      <c r="A345" s="18"/>
      <c r="B345" s="19"/>
      <c r="C345" s="17"/>
    </row>
    <row r="346" spans="1:3" s="13" customFormat="1" ht="18" customHeight="1">
      <c r="A346" s="18"/>
      <c r="B346" s="19"/>
      <c r="C346" s="17"/>
    </row>
    <row r="347" spans="1:3" s="13" customFormat="1" ht="18" customHeight="1">
      <c r="A347" s="18"/>
      <c r="B347" s="19"/>
      <c r="C347" s="17"/>
    </row>
    <row r="348" spans="1:3" s="13" customFormat="1" ht="18" customHeight="1">
      <c r="A348" s="18"/>
      <c r="B348" s="19"/>
      <c r="C348" s="17"/>
    </row>
    <row r="349" spans="1:3" s="13" customFormat="1" ht="18" customHeight="1">
      <c r="A349" s="18"/>
      <c r="B349" s="19"/>
      <c r="C349" s="17"/>
    </row>
    <row r="350" spans="1:3" s="13" customFormat="1" ht="18" customHeight="1">
      <c r="A350" s="18"/>
      <c r="B350" s="19"/>
      <c r="C350" s="17"/>
    </row>
    <row r="351" spans="1:3" s="13" customFormat="1" ht="18" customHeight="1">
      <c r="A351" s="18"/>
      <c r="B351" s="19"/>
      <c r="C351" s="17"/>
    </row>
    <row r="352" spans="1:3" s="13" customFormat="1" ht="18" customHeight="1">
      <c r="A352" s="18"/>
      <c r="B352" s="19"/>
      <c r="C352" s="17"/>
    </row>
    <row r="353" spans="1:3" s="13" customFormat="1" ht="18" customHeight="1">
      <c r="A353" s="18"/>
      <c r="B353" s="19"/>
      <c r="C353" s="17"/>
    </row>
    <row r="354" spans="1:3" s="13" customFormat="1" ht="18" customHeight="1">
      <c r="A354" s="18"/>
      <c r="B354" s="19"/>
      <c r="C354" s="17"/>
    </row>
    <row r="355" spans="1:3" s="13" customFormat="1" ht="18" customHeight="1">
      <c r="A355" s="18"/>
      <c r="B355" s="19"/>
      <c r="C355" s="17"/>
    </row>
    <row r="356" spans="1:3" s="13" customFormat="1" ht="18" customHeight="1">
      <c r="A356" s="18"/>
      <c r="B356" s="19"/>
      <c r="C356" s="17"/>
    </row>
    <row r="357" spans="1:3" s="13" customFormat="1" ht="18" customHeight="1">
      <c r="A357" s="18"/>
      <c r="B357" s="19"/>
      <c r="C357" s="17"/>
    </row>
    <row r="358" spans="1:3" s="13" customFormat="1" ht="18" customHeight="1">
      <c r="A358" s="18"/>
      <c r="B358" s="19"/>
      <c r="C358" s="17"/>
    </row>
    <row r="359" spans="1:3" s="13" customFormat="1" ht="18" customHeight="1">
      <c r="A359" s="18"/>
      <c r="B359" s="19"/>
      <c r="C359" s="17"/>
    </row>
    <row r="360" spans="1:3" s="13" customFormat="1" ht="18" customHeight="1">
      <c r="A360" s="18"/>
      <c r="B360" s="19"/>
      <c r="C360" s="17"/>
    </row>
    <row r="361" spans="1:3" s="13" customFormat="1" ht="18" customHeight="1">
      <c r="A361" s="18"/>
      <c r="B361" s="19"/>
      <c r="C361" s="17"/>
    </row>
    <row r="362" spans="1:3" s="13" customFormat="1" ht="18" customHeight="1">
      <c r="A362" s="18"/>
      <c r="B362" s="19"/>
      <c r="C362" s="17"/>
    </row>
    <row r="363" spans="1:3" s="13" customFormat="1" ht="18" customHeight="1">
      <c r="A363" s="18"/>
      <c r="B363" s="19"/>
      <c r="C363" s="17"/>
    </row>
    <row r="364" spans="1:3" s="13" customFormat="1" ht="18" customHeight="1">
      <c r="A364" s="18"/>
      <c r="B364" s="19"/>
      <c r="C364" s="17"/>
    </row>
    <row r="365" spans="1:3" s="13" customFormat="1" ht="18" customHeight="1">
      <c r="A365" s="18"/>
      <c r="B365" s="19"/>
      <c r="C365" s="17"/>
    </row>
    <row r="366" spans="1:3" s="13" customFormat="1" ht="18" customHeight="1">
      <c r="A366" s="18"/>
      <c r="B366" s="19"/>
      <c r="C366" s="17"/>
    </row>
    <row r="367" spans="1:3" s="13" customFormat="1" ht="18" customHeight="1">
      <c r="A367" s="18"/>
      <c r="B367" s="19"/>
      <c r="C367" s="17"/>
    </row>
    <row r="368" spans="1:3" s="13" customFormat="1" ht="18" customHeight="1">
      <c r="A368" s="18"/>
      <c r="B368" s="19"/>
      <c r="C368" s="17"/>
    </row>
    <row r="369" spans="1:3" s="13" customFormat="1" ht="18" customHeight="1">
      <c r="A369" s="18"/>
      <c r="B369" s="19"/>
      <c r="C369" s="17"/>
    </row>
    <row r="370" spans="1:3" s="13" customFormat="1" ht="18" customHeight="1">
      <c r="A370" s="18"/>
      <c r="B370" s="19"/>
      <c r="C370" s="17"/>
    </row>
    <row r="371" spans="1:3" s="13" customFormat="1" ht="18" customHeight="1">
      <c r="A371" s="18"/>
      <c r="B371" s="19"/>
      <c r="C371" s="17"/>
    </row>
    <row r="372" spans="1:3" s="13" customFormat="1" ht="18" customHeight="1">
      <c r="A372" s="18"/>
      <c r="B372" s="19"/>
      <c r="C372" s="17"/>
    </row>
    <row r="373" spans="1:3" s="13" customFormat="1" ht="18" customHeight="1">
      <c r="A373" s="18"/>
      <c r="B373" s="19"/>
      <c r="C373" s="17"/>
    </row>
    <row r="374" spans="1:3" s="13" customFormat="1" ht="18" customHeight="1">
      <c r="A374" s="18"/>
      <c r="B374" s="19"/>
      <c r="C374" s="17"/>
    </row>
    <row r="375" spans="1:3" s="13" customFormat="1" ht="18" customHeight="1">
      <c r="A375" s="18"/>
      <c r="B375" s="19"/>
      <c r="C375" s="17"/>
    </row>
    <row r="376" spans="1:3" s="13" customFormat="1" ht="18" customHeight="1">
      <c r="A376" s="18"/>
      <c r="B376" s="19"/>
      <c r="C376" s="17"/>
    </row>
    <row r="377" spans="1:3" s="13" customFormat="1" ht="18" customHeight="1">
      <c r="A377" s="18"/>
      <c r="B377" s="19"/>
      <c r="C377" s="17"/>
    </row>
    <row r="378" spans="1:3" s="13" customFormat="1" ht="18" customHeight="1">
      <c r="A378" s="18"/>
      <c r="B378" s="19"/>
      <c r="C378" s="17"/>
    </row>
    <row r="379" spans="1:3" s="13" customFormat="1" ht="18" customHeight="1">
      <c r="A379" s="18"/>
      <c r="B379" s="19"/>
      <c r="C379" s="17"/>
    </row>
    <row r="380" spans="1:3" s="13" customFormat="1" ht="18" customHeight="1">
      <c r="A380" s="18"/>
      <c r="B380" s="19"/>
      <c r="C380" s="17"/>
    </row>
    <row r="381" spans="1:3" s="13" customFormat="1" ht="18" customHeight="1">
      <c r="A381" s="18"/>
      <c r="B381" s="19"/>
      <c r="C381" s="17"/>
    </row>
    <row r="382" spans="1:3" s="13" customFormat="1" ht="18" customHeight="1">
      <c r="A382" s="18"/>
      <c r="B382" s="19"/>
      <c r="C382" s="17"/>
    </row>
    <row r="383" spans="1:3" s="13" customFormat="1" ht="18" customHeight="1">
      <c r="A383" s="18"/>
      <c r="B383" s="19"/>
      <c r="C383" s="17"/>
    </row>
    <row r="384" spans="1:3" s="13" customFormat="1" ht="18" customHeight="1">
      <c r="A384" s="18"/>
      <c r="B384" s="19"/>
      <c r="C384" s="17"/>
    </row>
    <row r="385" spans="1:3" s="13" customFormat="1" ht="18" customHeight="1">
      <c r="A385" s="18"/>
      <c r="B385" s="19"/>
      <c r="C385" s="17"/>
    </row>
    <row r="386" spans="1:3" s="13" customFormat="1" ht="18" customHeight="1">
      <c r="A386" s="18"/>
      <c r="B386" s="19"/>
      <c r="C386" s="17"/>
    </row>
    <row r="387" spans="1:3" s="13" customFormat="1" ht="18" customHeight="1">
      <c r="A387" s="18"/>
      <c r="B387" s="19"/>
      <c r="C387" s="17"/>
    </row>
    <row r="388" spans="1:3" s="13" customFormat="1" ht="18" customHeight="1">
      <c r="A388" s="18"/>
      <c r="B388" s="19"/>
      <c r="C388" s="17"/>
    </row>
    <row r="389" spans="1:3" s="13" customFormat="1" ht="18" customHeight="1">
      <c r="A389" s="18"/>
      <c r="B389" s="19"/>
      <c r="C389" s="17"/>
    </row>
    <row r="390" spans="1:3" s="13" customFormat="1" ht="18" customHeight="1">
      <c r="A390" s="18"/>
      <c r="B390" s="19"/>
      <c r="C390" s="17"/>
    </row>
    <row r="391" spans="1:3" s="13" customFormat="1" ht="18" customHeight="1">
      <c r="A391" s="18"/>
      <c r="B391" s="19"/>
      <c r="C391" s="17"/>
    </row>
    <row r="392" spans="1:3" s="13" customFormat="1" ht="18" customHeight="1">
      <c r="A392" s="18"/>
      <c r="B392" s="19"/>
      <c r="C392" s="17"/>
    </row>
    <row r="393" spans="1:3" s="13" customFormat="1" ht="18" customHeight="1">
      <c r="A393" s="18"/>
      <c r="B393" s="19"/>
      <c r="C393" s="17"/>
    </row>
    <row r="394" spans="1:3" s="13" customFormat="1" ht="18" customHeight="1">
      <c r="A394" s="18"/>
      <c r="B394" s="19"/>
      <c r="C394" s="17"/>
    </row>
    <row r="395" spans="1:3" s="13" customFormat="1" ht="18" customHeight="1">
      <c r="A395" s="18"/>
      <c r="B395" s="19"/>
      <c r="C395" s="17"/>
    </row>
    <row r="396" spans="1:3" s="13" customFormat="1" ht="18" customHeight="1">
      <c r="A396" s="18"/>
      <c r="B396" s="19"/>
      <c r="C396" s="17"/>
    </row>
    <row r="397" spans="1:3" s="13" customFormat="1" ht="18" customHeight="1">
      <c r="A397" s="18"/>
      <c r="B397" s="19"/>
      <c r="C397" s="17"/>
    </row>
    <row r="398" spans="1:3" s="13" customFormat="1" ht="18" customHeight="1">
      <c r="A398" s="18"/>
      <c r="B398" s="19"/>
      <c r="C398" s="17"/>
    </row>
    <row r="399" spans="1:3" s="13" customFormat="1" ht="18" customHeight="1">
      <c r="A399" s="18"/>
      <c r="B399" s="19"/>
      <c r="C399" s="17"/>
    </row>
    <row r="400" spans="1:3" s="13" customFormat="1" ht="18" customHeight="1">
      <c r="A400" s="18"/>
      <c r="B400" s="19"/>
      <c r="C400" s="17"/>
    </row>
    <row r="401" spans="1:3" s="13" customFormat="1" ht="18" customHeight="1">
      <c r="A401" s="18"/>
      <c r="B401" s="19"/>
      <c r="C401" s="17"/>
    </row>
    <row r="402" spans="1:3" s="13" customFormat="1" ht="18" customHeight="1">
      <c r="A402" s="18"/>
      <c r="B402" s="19"/>
      <c r="C402" s="17"/>
    </row>
    <row r="403" spans="1:3" s="13" customFormat="1" ht="18" customHeight="1">
      <c r="A403" s="18"/>
      <c r="B403" s="19"/>
      <c r="C403" s="17"/>
    </row>
    <row r="404" spans="1:3" s="13" customFormat="1" ht="18" customHeight="1">
      <c r="A404" s="18"/>
      <c r="B404" s="19"/>
      <c r="C404" s="17"/>
    </row>
    <row r="405" spans="1:3" s="13" customFormat="1" ht="18" customHeight="1">
      <c r="A405" s="18"/>
      <c r="B405" s="19"/>
      <c r="C405" s="17"/>
    </row>
    <row r="406" spans="1:3" s="13" customFormat="1" ht="18" customHeight="1">
      <c r="A406" s="18"/>
      <c r="B406" s="19"/>
      <c r="C406" s="17"/>
    </row>
    <row r="407" spans="1:3" s="13" customFormat="1" ht="18" customHeight="1">
      <c r="A407" s="18"/>
      <c r="B407" s="19"/>
      <c r="C407" s="17"/>
    </row>
    <row r="408" spans="1:3" s="13" customFormat="1" ht="18" customHeight="1">
      <c r="A408" s="18"/>
      <c r="B408" s="19"/>
      <c r="C408" s="17"/>
    </row>
    <row r="409" spans="1:3" s="13" customFormat="1" ht="18" customHeight="1">
      <c r="A409" s="18"/>
      <c r="B409" s="19"/>
      <c r="C409" s="17"/>
    </row>
    <row r="410" spans="1:3" s="13" customFormat="1" ht="18" customHeight="1">
      <c r="A410" s="18"/>
      <c r="B410" s="19"/>
      <c r="C410" s="17"/>
    </row>
    <row r="411" spans="1:3" s="13" customFormat="1" ht="18" customHeight="1">
      <c r="A411" s="18"/>
      <c r="B411" s="19"/>
      <c r="C411" s="17"/>
    </row>
    <row r="412" spans="1:3" s="13" customFormat="1" ht="18" customHeight="1">
      <c r="A412" s="18"/>
      <c r="B412" s="19"/>
      <c r="C412" s="17"/>
    </row>
    <row r="413" spans="1:3" s="13" customFormat="1" ht="18" customHeight="1">
      <c r="A413" s="18"/>
      <c r="B413" s="19"/>
      <c r="C413" s="17"/>
    </row>
    <row r="414" spans="1:3" s="13" customFormat="1" ht="18" customHeight="1">
      <c r="A414" s="18"/>
      <c r="B414" s="19"/>
      <c r="C414" s="17"/>
    </row>
    <row r="415" spans="1:3" s="13" customFormat="1" ht="18" customHeight="1">
      <c r="A415" s="18"/>
      <c r="B415" s="19"/>
      <c r="C415" s="17"/>
    </row>
    <row r="416" spans="1:3" s="13" customFormat="1" ht="18" customHeight="1">
      <c r="A416" s="18"/>
      <c r="B416" s="19"/>
      <c r="C416" s="17"/>
    </row>
    <row r="417" spans="1:3" s="13" customFormat="1" ht="18" customHeight="1">
      <c r="A417" s="18"/>
      <c r="B417" s="19"/>
      <c r="C417" s="17"/>
    </row>
    <row r="418" spans="1:3" s="13" customFormat="1" ht="18" customHeight="1">
      <c r="A418" s="18"/>
      <c r="B418" s="19"/>
      <c r="C418" s="17"/>
    </row>
    <row r="419" spans="1:3" s="13" customFormat="1" ht="18" customHeight="1">
      <c r="A419" s="18"/>
      <c r="B419" s="19"/>
      <c r="C419" s="17"/>
    </row>
    <row r="420" spans="1:3" s="13" customFormat="1" ht="18" customHeight="1">
      <c r="A420" s="18"/>
      <c r="B420" s="19"/>
      <c r="C420" s="17"/>
    </row>
    <row r="421" spans="1:3" s="13" customFormat="1" ht="18" customHeight="1">
      <c r="A421" s="18"/>
      <c r="B421" s="19"/>
      <c r="C421" s="17"/>
    </row>
    <row r="422" spans="1:3" s="13" customFormat="1" ht="18" customHeight="1">
      <c r="A422" s="18"/>
      <c r="B422" s="19"/>
      <c r="C422" s="17"/>
    </row>
    <row r="423" spans="1:3" s="13" customFormat="1" ht="18" customHeight="1">
      <c r="A423" s="18"/>
      <c r="B423" s="19"/>
      <c r="C423" s="17"/>
    </row>
    <row r="424" spans="1:3" s="13" customFormat="1" ht="18" customHeight="1">
      <c r="A424" s="18"/>
      <c r="B424" s="19"/>
      <c r="C424" s="17"/>
    </row>
    <row r="425" spans="1:3" s="13" customFormat="1" ht="18" customHeight="1">
      <c r="A425" s="18"/>
      <c r="B425" s="19"/>
      <c r="C425" s="17"/>
    </row>
    <row r="426" spans="1:3" s="13" customFormat="1" ht="18" customHeight="1">
      <c r="A426" s="18"/>
      <c r="B426" s="19"/>
      <c r="C426" s="17"/>
    </row>
    <row r="427" spans="1:3" s="13" customFormat="1" ht="18" customHeight="1">
      <c r="A427" s="18"/>
      <c r="B427" s="19"/>
      <c r="C427" s="17"/>
    </row>
    <row r="428" spans="1:3" s="13" customFormat="1" ht="18" customHeight="1">
      <c r="A428" s="18"/>
      <c r="B428" s="19"/>
      <c r="C428" s="17"/>
    </row>
    <row r="429" spans="1:3" s="13" customFormat="1" ht="18" customHeight="1">
      <c r="A429" s="18"/>
      <c r="B429" s="19"/>
      <c r="C429" s="17"/>
    </row>
    <row r="430" spans="1:3" s="13" customFormat="1" ht="18" customHeight="1">
      <c r="A430" s="18"/>
      <c r="B430" s="19"/>
      <c r="C430" s="17"/>
    </row>
    <row r="431" spans="1:3" s="13" customFormat="1" ht="18" customHeight="1">
      <c r="A431" s="18"/>
      <c r="B431" s="19"/>
      <c r="C431" s="17"/>
    </row>
    <row r="432" spans="1:3" s="13" customFormat="1" ht="18" customHeight="1">
      <c r="A432" s="18"/>
      <c r="B432" s="19"/>
      <c r="C432" s="17"/>
    </row>
    <row r="433" spans="1:3" s="13" customFormat="1" ht="18" customHeight="1">
      <c r="A433" s="18"/>
      <c r="B433" s="19"/>
      <c r="C433" s="17"/>
    </row>
    <row r="434" spans="1:3" s="13" customFormat="1" ht="18" customHeight="1">
      <c r="A434" s="18"/>
      <c r="B434" s="19"/>
      <c r="C434" s="17"/>
    </row>
    <row r="435" spans="1:3" s="13" customFormat="1" ht="18" customHeight="1">
      <c r="A435" s="18"/>
      <c r="B435" s="19"/>
      <c r="C435" s="17"/>
    </row>
    <row r="436" spans="1:3" s="13" customFormat="1" ht="18" customHeight="1">
      <c r="A436" s="18"/>
      <c r="B436" s="19"/>
      <c r="C436" s="17"/>
    </row>
    <row r="437" spans="1:3" s="13" customFormat="1" ht="18" customHeight="1">
      <c r="A437" s="18"/>
      <c r="B437" s="19"/>
      <c r="C437" s="17"/>
    </row>
    <row r="438" spans="1:3" s="13" customFormat="1" ht="18" customHeight="1">
      <c r="A438" s="18"/>
      <c r="B438" s="19"/>
      <c r="C438" s="17"/>
    </row>
    <row r="439" spans="1:3" s="13" customFormat="1" ht="18" customHeight="1">
      <c r="A439" s="18"/>
      <c r="B439" s="19"/>
      <c r="C439" s="17"/>
    </row>
    <row r="440" spans="1:3" s="13" customFormat="1" ht="18" customHeight="1">
      <c r="A440" s="18"/>
      <c r="B440" s="19"/>
      <c r="C440" s="17"/>
    </row>
    <row r="441" spans="1:3" s="13" customFormat="1" ht="18" customHeight="1">
      <c r="A441" s="18"/>
      <c r="B441" s="19"/>
      <c r="C441" s="17"/>
    </row>
    <row r="442" spans="1:3" s="13" customFormat="1" ht="18" customHeight="1">
      <c r="A442" s="18"/>
      <c r="B442" s="19"/>
      <c r="C442" s="17"/>
    </row>
    <row r="443" spans="1:3" s="13" customFormat="1" ht="18" customHeight="1">
      <c r="A443" s="18"/>
      <c r="B443" s="19"/>
      <c r="C443" s="17"/>
    </row>
    <row r="444" spans="1:3" s="13" customFormat="1" ht="18" customHeight="1">
      <c r="A444" s="18"/>
      <c r="B444" s="19"/>
      <c r="C444" s="17"/>
    </row>
    <row r="445" spans="1:3" s="13" customFormat="1" ht="18" customHeight="1">
      <c r="A445" s="18"/>
      <c r="B445" s="19"/>
      <c r="C445" s="17"/>
    </row>
    <row r="446" spans="1:3" s="13" customFormat="1" ht="18" customHeight="1">
      <c r="A446" s="18"/>
      <c r="B446" s="19"/>
      <c r="C446" s="17"/>
    </row>
    <row r="447" spans="1:3" s="13" customFormat="1" ht="18" customHeight="1">
      <c r="A447" s="18"/>
      <c r="B447" s="19"/>
      <c r="C447" s="17"/>
    </row>
    <row r="448" spans="1:3" s="13" customFormat="1" ht="18" customHeight="1">
      <c r="A448" s="18"/>
      <c r="B448" s="19"/>
      <c r="C448" s="17"/>
    </row>
    <row r="449" spans="1:3" s="13" customFormat="1" ht="18" customHeight="1">
      <c r="A449" s="18"/>
      <c r="B449" s="19"/>
      <c r="C449" s="17"/>
    </row>
    <row r="450" spans="1:3" s="13" customFormat="1" ht="18" customHeight="1">
      <c r="A450" s="18"/>
      <c r="B450" s="19"/>
      <c r="C450" s="17"/>
    </row>
    <row r="451" spans="1:3" s="13" customFormat="1" ht="18" customHeight="1">
      <c r="A451" s="18"/>
      <c r="B451" s="19"/>
      <c r="C451" s="17"/>
    </row>
    <row r="452" spans="1:3" s="13" customFormat="1" ht="18" customHeight="1">
      <c r="A452" s="18"/>
      <c r="B452" s="19"/>
      <c r="C452" s="17"/>
    </row>
    <row r="453" spans="1:3" s="13" customFormat="1" ht="18" customHeight="1">
      <c r="A453" s="18"/>
      <c r="B453" s="19"/>
      <c r="C453" s="17"/>
    </row>
    <row r="454" spans="1:3" s="13" customFormat="1" ht="18" customHeight="1">
      <c r="A454" s="18"/>
      <c r="B454" s="19"/>
      <c r="C454" s="17"/>
    </row>
    <row r="455" spans="1:3" s="13" customFormat="1" ht="18" customHeight="1">
      <c r="A455" s="18"/>
      <c r="B455" s="19"/>
      <c r="C455" s="17"/>
    </row>
    <row r="456" spans="1:3" s="13" customFormat="1" ht="18" customHeight="1">
      <c r="A456" s="18"/>
      <c r="B456" s="19"/>
      <c r="C456" s="17"/>
    </row>
    <row r="457" spans="1:3" s="13" customFormat="1" ht="18" customHeight="1">
      <c r="A457" s="18"/>
      <c r="B457" s="19"/>
      <c r="C457" s="17"/>
    </row>
    <row r="458" spans="1:3" s="13" customFormat="1" ht="18" customHeight="1">
      <c r="A458" s="18"/>
      <c r="B458" s="19"/>
      <c r="C458" s="17"/>
    </row>
    <row r="459" spans="1:3" s="13" customFormat="1" ht="18" customHeight="1">
      <c r="A459" s="18"/>
      <c r="B459" s="19"/>
      <c r="C459" s="17"/>
    </row>
    <row r="460" spans="1:3" s="13" customFormat="1" ht="18" customHeight="1">
      <c r="A460" s="18"/>
      <c r="B460" s="19"/>
      <c r="C460" s="17"/>
    </row>
    <row r="461" spans="1:3" s="13" customFormat="1" ht="18" customHeight="1">
      <c r="A461" s="18"/>
      <c r="B461" s="19"/>
      <c r="C461" s="17"/>
    </row>
    <row r="462" spans="1:3" s="13" customFormat="1" ht="18" customHeight="1">
      <c r="A462" s="18"/>
      <c r="B462" s="19"/>
      <c r="C462" s="17"/>
    </row>
    <row r="463" spans="1:3" s="13" customFormat="1" ht="18" customHeight="1">
      <c r="A463" s="18"/>
      <c r="B463" s="19"/>
      <c r="C463" s="17"/>
    </row>
    <row r="464" spans="1:3" s="13" customFormat="1" ht="18" customHeight="1">
      <c r="A464" s="18"/>
      <c r="B464" s="19"/>
      <c r="C464" s="17"/>
    </row>
    <row r="465" spans="1:3" s="13" customFormat="1" ht="18" customHeight="1">
      <c r="A465" s="18"/>
      <c r="B465" s="19"/>
      <c r="C465" s="17"/>
    </row>
    <row r="466" spans="1:3" s="13" customFormat="1" ht="18" customHeight="1">
      <c r="A466" s="18"/>
      <c r="B466" s="19"/>
      <c r="C466" s="17"/>
    </row>
    <row r="467" spans="1:3" s="13" customFormat="1" ht="18" customHeight="1">
      <c r="A467" s="18"/>
      <c r="B467" s="19"/>
      <c r="C467" s="17"/>
    </row>
    <row r="468" spans="1:3" s="13" customFormat="1" ht="18" customHeight="1">
      <c r="A468" s="18"/>
      <c r="B468" s="19"/>
      <c r="C468" s="17"/>
    </row>
    <row r="469" spans="1:3" s="13" customFormat="1" ht="18" customHeight="1">
      <c r="A469" s="18"/>
      <c r="B469" s="19"/>
      <c r="C469" s="17"/>
    </row>
    <row r="470" spans="1:3" s="13" customFormat="1" ht="18" customHeight="1">
      <c r="A470" s="18"/>
      <c r="B470" s="19"/>
      <c r="C470" s="17"/>
    </row>
    <row r="471" spans="1:3" s="13" customFormat="1" ht="18" customHeight="1">
      <c r="A471" s="18"/>
      <c r="B471" s="19"/>
      <c r="C471" s="17"/>
    </row>
    <row r="472" spans="1:3" s="13" customFormat="1" ht="18" customHeight="1">
      <c r="A472" s="18"/>
      <c r="B472" s="19"/>
      <c r="C472" s="17"/>
    </row>
    <row r="473" spans="1:3" s="13" customFormat="1" ht="18" customHeight="1">
      <c r="A473" s="18"/>
      <c r="B473" s="19"/>
      <c r="C473" s="17"/>
    </row>
    <row r="474" spans="1:3" s="13" customFormat="1" ht="18" customHeight="1">
      <c r="A474" s="18"/>
      <c r="B474" s="19"/>
      <c r="C474" s="17"/>
    </row>
    <row r="475" spans="1:3" s="13" customFormat="1" ht="18" customHeight="1">
      <c r="A475" s="18"/>
      <c r="B475" s="19"/>
      <c r="C475" s="17"/>
    </row>
    <row r="476" spans="1:3" s="13" customFormat="1" ht="18" customHeight="1">
      <c r="A476" s="18"/>
      <c r="B476" s="19"/>
      <c r="C476" s="17"/>
    </row>
    <row r="477" spans="1:3" s="13" customFormat="1" ht="18" customHeight="1">
      <c r="A477" s="18"/>
      <c r="B477" s="19"/>
      <c r="C477" s="17"/>
    </row>
    <row r="478" spans="1:3" s="13" customFormat="1" ht="18" customHeight="1">
      <c r="A478" s="18"/>
      <c r="B478" s="19"/>
      <c r="C478" s="17"/>
    </row>
    <row r="479" spans="1:3" s="13" customFormat="1" ht="18" customHeight="1">
      <c r="A479" s="18"/>
      <c r="B479" s="19"/>
      <c r="C479" s="17"/>
    </row>
    <row r="480" spans="1:3" s="13" customFormat="1" ht="18" customHeight="1">
      <c r="A480" s="18"/>
      <c r="B480" s="19"/>
      <c r="C480" s="17"/>
    </row>
    <row r="481" spans="1:3" s="13" customFormat="1" ht="18" customHeight="1">
      <c r="A481" s="18"/>
      <c r="B481" s="19"/>
      <c r="C481" s="17"/>
    </row>
    <row r="482" spans="1:3" s="13" customFormat="1" ht="18" customHeight="1">
      <c r="A482" s="18"/>
      <c r="B482" s="19"/>
      <c r="C482" s="17"/>
    </row>
    <row r="483" spans="1:3" s="13" customFormat="1" ht="18" customHeight="1">
      <c r="A483" s="18"/>
      <c r="B483" s="19"/>
      <c r="C483" s="17"/>
    </row>
    <row r="484" spans="1:3" s="13" customFormat="1" ht="18" customHeight="1">
      <c r="A484" s="18"/>
      <c r="B484" s="19"/>
      <c r="C484" s="17"/>
    </row>
    <row r="485" spans="1:3" s="13" customFormat="1" ht="18" customHeight="1">
      <c r="A485" s="18"/>
      <c r="B485" s="19"/>
      <c r="C485" s="17"/>
    </row>
    <row r="486" spans="1:3" s="13" customFormat="1" ht="18" customHeight="1">
      <c r="A486" s="18"/>
      <c r="B486" s="19"/>
      <c r="C486" s="17"/>
    </row>
    <row r="487" spans="1:3" s="13" customFormat="1" ht="18" customHeight="1">
      <c r="A487" s="18"/>
      <c r="B487" s="19"/>
      <c r="C487" s="17"/>
    </row>
    <row r="488" spans="1:3" s="13" customFormat="1" ht="18" customHeight="1">
      <c r="A488" s="18"/>
      <c r="B488" s="19"/>
      <c r="C488" s="17"/>
    </row>
    <row r="489" spans="1:3" s="13" customFormat="1" ht="18" customHeight="1">
      <c r="A489" s="18"/>
      <c r="B489" s="19"/>
      <c r="C489" s="17"/>
    </row>
    <row r="490" spans="1:3" s="13" customFormat="1" ht="18" customHeight="1">
      <c r="A490" s="18"/>
      <c r="B490" s="19"/>
      <c r="C490" s="17"/>
    </row>
    <row r="491" spans="1:3" s="13" customFormat="1" ht="18" customHeight="1">
      <c r="A491" s="18"/>
      <c r="B491" s="19"/>
      <c r="C491" s="17"/>
    </row>
    <row r="492" spans="1:3" s="13" customFormat="1" ht="18" customHeight="1">
      <c r="A492" s="18"/>
      <c r="B492" s="19"/>
      <c r="C492" s="17"/>
    </row>
    <row r="493" spans="1:3" s="13" customFormat="1" ht="18" customHeight="1">
      <c r="A493" s="18"/>
      <c r="B493" s="19"/>
      <c r="C493" s="17"/>
    </row>
    <row r="494" spans="1:3" s="13" customFormat="1" ht="18" customHeight="1">
      <c r="A494" s="18"/>
      <c r="B494" s="19"/>
      <c r="C494" s="17"/>
    </row>
    <row r="495" spans="1:3" s="13" customFormat="1" ht="18" customHeight="1">
      <c r="A495" s="18"/>
      <c r="B495" s="19"/>
      <c r="C495" s="17"/>
    </row>
    <row r="496" spans="1:3" s="13" customFormat="1" ht="18" customHeight="1">
      <c r="A496" s="18"/>
      <c r="B496" s="19"/>
      <c r="C496" s="17"/>
    </row>
    <row r="497" spans="1:3" s="13" customFormat="1" ht="18" customHeight="1">
      <c r="A497" s="18"/>
      <c r="B497" s="19"/>
      <c r="C497" s="17"/>
    </row>
    <row r="498" spans="1:3" s="13" customFormat="1" ht="18" customHeight="1">
      <c r="A498" s="18"/>
      <c r="B498" s="19"/>
      <c r="C498" s="17"/>
    </row>
    <row r="499" spans="1:3" s="13" customFormat="1" ht="18" customHeight="1">
      <c r="A499" s="18"/>
      <c r="B499" s="19"/>
      <c r="C499" s="17"/>
    </row>
    <row r="500" spans="1:3" s="13" customFormat="1" ht="18" customHeight="1">
      <c r="A500" s="18"/>
      <c r="B500" s="19"/>
      <c r="C500" s="17"/>
    </row>
    <row r="501" spans="1:3" s="13" customFormat="1" ht="18" customHeight="1">
      <c r="A501" s="18"/>
      <c r="B501" s="19"/>
      <c r="C501" s="17"/>
    </row>
    <row r="502" spans="1:3" s="13" customFormat="1" ht="18" customHeight="1">
      <c r="A502" s="18"/>
      <c r="B502" s="19"/>
      <c r="C502" s="17"/>
    </row>
    <row r="503" spans="1:3" s="13" customFormat="1" ht="18" customHeight="1">
      <c r="A503" s="18"/>
      <c r="B503" s="19"/>
      <c r="C503" s="17"/>
    </row>
    <row r="504" spans="1:3" s="13" customFormat="1" ht="18" customHeight="1">
      <c r="A504" s="18"/>
      <c r="B504" s="19"/>
      <c r="C504" s="17"/>
    </row>
    <row r="505" spans="1:3" s="13" customFormat="1" ht="18" customHeight="1">
      <c r="A505" s="18"/>
      <c r="B505" s="19"/>
      <c r="C505" s="17"/>
    </row>
    <row r="506" spans="1:3" s="13" customFormat="1" ht="18" customHeight="1">
      <c r="A506" s="18"/>
      <c r="B506" s="19"/>
      <c r="C506" s="17"/>
    </row>
    <row r="507" spans="1:3" s="13" customFormat="1" ht="18" customHeight="1">
      <c r="A507" s="18"/>
      <c r="B507" s="19"/>
      <c r="C507" s="17"/>
    </row>
    <row r="508" spans="1:3" s="13" customFormat="1" ht="18" customHeight="1">
      <c r="A508" s="18"/>
      <c r="B508" s="19"/>
      <c r="C508" s="17"/>
    </row>
    <row r="509" spans="1:3" s="13" customFormat="1" ht="18" customHeight="1">
      <c r="A509" s="18"/>
      <c r="B509" s="19"/>
      <c r="C509" s="17"/>
    </row>
    <row r="510" spans="1:3" s="13" customFormat="1" ht="18" customHeight="1">
      <c r="A510" s="18"/>
      <c r="B510" s="19"/>
      <c r="C510" s="17"/>
    </row>
    <row r="511" spans="1:3" s="13" customFormat="1" ht="18" customHeight="1">
      <c r="A511" s="18"/>
      <c r="B511" s="19"/>
      <c r="C511" s="17"/>
    </row>
    <row r="512" spans="1:3" s="13" customFormat="1" ht="18" customHeight="1">
      <c r="A512" s="18"/>
      <c r="B512" s="19"/>
      <c r="C512" s="17"/>
    </row>
    <row r="513" spans="1:3" s="13" customFormat="1" ht="18" customHeight="1">
      <c r="A513" s="18"/>
      <c r="B513" s="19"/>
      <c r="C513" s="17"/>
    </row>
    <row r="514" spans="1:3" s="13" customFormat="1" ht="18" customHeight="1">
      <c r="A514" s="18"/>
      <c r="B514" s="19"/>
      <c r="C514" s="17"/>
    </row>
    <row r="515" spans="1:3" s="13" customFormat="1" ht="18" customHeight="1">
      <c r="A515" s="18"/>
      <c r="B515" s="19"/>
      <c r="C515" s="17"/>
    </row>
    <row r="516" spans="1:3" s="13" customFormat="1" ht="18" customHeight="1">
      <c r="A516" s="18"/>
      <c r="B516" s="19"/>
      <c r="C516" s="17"/>
    </row>
    <row r="517" spans="1:3" s="13" customFormat="1" ht="18" customHeight="1">
      <c r="A517" s="18"/>
      <c r="B517" s="19"/>
      <c r="C517" s="17"/>
    </row>
    <row r="518" spans="1:3" s="13" customFormat="1" ht="18" customHeight="1">
      <c r="A518" s="18"/>
      <c r="B518" s="19"/>
      <c r="C518" s="17"/>
    </row>
    <row r="519" spans="1:3" s="13" customFormat="1" ht="18" customHeight="1">
      <c r="A519" s="18"/>
      <c r="B519" s="19"/>
      <c r="C519" s="17"/>
    </row>
    <row r="520" spans="1:3" s="13" customFormat="1" ht="18" customHeight="1">
      <c r="A520" s="18"/>
      <c r="B520" s="19"/>
      <c r="C520" s="17"/>
    </row>
    <row r="521" spans="1:3" s="13" customFormat="1" ht="18" customHeight="1">
      <c r="A521" s="18"/>
      <c r="B521" s="19"/>
      <c r="C521" s="17"/>
    </row>
    <row r="522" spans="1:3" s="13" customFormat="1" ht="18" customHeight="1">
      <c r="A522" s="18"/>
      <c r="B522" s="19"/>
      <c r="C522" s="17"/>
    </row>
    <row r="523" spans="1:3" s="13" customFormat="1" ht="18" customHeight="1">
      <c r="A523" s="18"/>
      <c r="B523" s="19"/>
      <c r="C523" s="17"/>
    </row>
    <row r="524" spans="1:3" s="13" customFormat="1" ht="18" customHeight="1">
      <c r="A524" s="18"/>
      <c r="B524" s="19"/>
      <c r="C524" s="17"/>
    </row>
    <row r="525" spans="1:3" s="13" customFormat="1" ht="18" customHeight="1">
      <c r="A525" s="18"/>
      <c r="B525" s="19"/>
      <c r="C525" s="17"/>
    </row>
    <row r="526" spans="1:3" s="13" customFormat="1" ht="18" customHeight="1">
      <c r="A526" s="18"/>
      <c r="B526" s="19"/>
      <c r="C526" s="17"/>
    </row>
    <row r="527" spans="1:3" s="13" customFormat="1" ht="18" customHeight="1">
      <c r="A527" s="18"/>
      <c r="B527" s="19"/>
      <c r="C527" s="17"/>
    </row>
    <row r="528" spans="1:3" s="13" customFormat="1" ht="18" customHeight="1">
      <c r="A528" s="18"/>
      <c r="B528" s="19"/>
      <c r="C528" s="17"/>
    </row>
    <row r="529" spans="1:3" s="13" customFormat="1" ht="18" customHeight="1">
      <c r="A529" s="18"/>
      <c r="B529" s="19"/>
      <c r="C529" s="17"/>
    </row>
    <row r="530" spans="1:3" s="13" customFormat="1" ht="18" customHeight="1">
      <c r="A530" s="18"/>
      <c r="B530" s="19"/>
      <c r="C530" s="17"/>
    </row>
    <row r="531" spans="1:3" s="13" customFormat="1" ht="18" customHeight="1">
      <c r="A531" s="18"/>
      <c r="B531" s="19"/>
      <c r="C531" s="17"/>
    </row>
    <row r="532" spans="1:3" s="13" customFormat="1" ht="25.2" customHeight="1">
      <c r="A532" s="18"/>
      <c r="B532" s="19"/>
      <c r="C532" s="17"/>
    </row>
    <row r="533" spans="1:3" s="13" customFormat="1" ht="25.2" customHeight="1">
      <c r="A533" s="18"/>
      <c r="B533" s="19"/>
      <c r="C533" s="17"/>
    </row>
    <row r="534" spans="1:3" s="13" customFormat="1" ht="25.2" customHeight="1">
      <c r="A534" s="18"/>
      <c r="B534" s="19"/>
      <c r="C534" s="17"/>
    </row>
    <row r="535" spans="1:3" s="13" customFormat="1" ht="25.2" customHeight="1">
      <c r="A535" s="18"/>
      <c r="B535" s="19"/>
      <c r="C535" s="17"/>
    </row>
    <row r="536" spans="1:3" s="13" customFormat="1" ht="25.2" customHeight="1">
      <c r="A536" s="18"/>
      <c r="B536" s="19"/>
      <c r="C536" s="17"/>
    </row>
    <row r="537" spans="1:3" s="13" customFormat="1" ht="25.2" customHeight="1">
      <c r="A537" s="18"/>
      <c r="B537" s="19"/>
      <c r="C537" s="17"/>
    </row>
    <row r="538" spans="1:3" s="13" customFormat="1" ht="25.2" customHeight="1">
      <c r="A538" s="18"/>
      <c r="B538" s="19"/>
      <c r="C538" s="17"/>
    </row>
    <row r="539" spans="1:3" s="13" customFormat="1" ht="25.2" customHeight="1">
      <c r="A539" s="18"/>
      <c r="B539" s="19"/>
      <c r="C539" s="17"/>
    </row>
    <row r="540" spans="1:3" s="13" customFormat="1" ht="25.2" customHeight="1">
      <c r="A540" s="18"/>
      <c r="B540" s="19"/>
      <c r="C540" s="17"/>
    </row>
    <row r="541" spans="1:3" s="13" customFormat="1" ht="25.2" customHeight="1">
      <c r="A541" s="18"/>
      <c r="B541" s="19"/>
      <c r="C541" s="17"/>
    </row>
    <row r="542" spans="1:3" s="13" customFormat="1" ht="25.2" customHeight="1">
      <c r="A542" s="18"/>
      <c r="B542" s="19"/>
      <c r="C542" s="17"/>
    </row>
    <row r="543" spans="1:3" s="13" customFormat="1" ht="25.2" customHeight="1">
      <c r="A543" s="18"/>
      <c r="B543" s="19"/>
      <c r="C543" s="17"/>
    </row>
    <row r="544" spans="1:3" s="13" customFormat="1" ht="25.2" customHeight="1">
      <c r="A544" s="18"/>
      <c r="B544" s="19"/>
      <c r="C544" s="17"/>
    </row>
    <row r="545" spans="1:3" s="13" customFormat="1" ht="25.2" customHeight="1">
      <c r="A545" s="18"/>
      <c r="B545" s="19"/>
      <c r="C545" s="17"/>
    </row>
    <row r="546" spans="1:3" s="13" customFormat="1" ht="25.2" customHeight="1">
      <c r="A546" s="18"/>
      <c r="B546" s="19"/>
      <c r="C546" s="17"/>
    </row>
    <row r="547" spans="1:3" s="13" customFormat="1" ht="25.2" customHeight="1">
      <c r="A547" s="18"/>
      <c r="B547" s="19"/>
      <c r="C547" s="17"/>
    </row>
    <row r="548" spans="1:3" s="13" customFormat="1" ht="25.2" customHeight="1">
      <c r="A548" s="18"/>
      <c r="B548" s="19"/>
      <c r="C548" s="17"/>
    </row>
    <row r="549" spans="1:3" s="13" customFormat="1" ht="25.2" customHeight="1">
      <c r="A549" s="18"/>
      <c r="B549" s="19"/>
      <c r="C549" s="17"/>
    </row>
    <row r="550" spans="1:3" s="13" customFormat="1" ht="25.2" customHeight="1">
      <c r="A550" s="18"/>
      <c r="B550" s="19"/>
      <c r="C550" s="17"/>
    </row>
    <row r="551" spans="1:3" s="13" customFormat="1" ht="25.2" customHeight="1">
      <c r="A551" s="18"/>
      <c r="B551" s="19"/>
      <c r="C551" s="17"/>
    </row>
    <row r="552" spans="1:3" s="13" customFormat="1" ht="25.2" customHeight="1">
      <c r="A552" s="18"/>
      <c r="B552" s="19"/>
      <c r="C552" s="17"/>
    </row>
    <row r="553" spans="1:3" s="13" customFormat="1" ht="25.2" customHeight="1">
      <c r="A553" s="18"/>
      <c r="B553" s="19"/>
      <c r="C553" s="17"/>
    </row>
    <row r="554" spans="1:3" s="13" customFormat="1" ht="25.2" customHeight="1">
      <c r="A554" s="18"/>
      <c r="B554" s="19"/>
      <c r="C554" s="17"/>
    </row>
    <row r="555" spans="1:3" s="13" customFormat="1" ht="25.2" customHeight="1">
      <c r="A555" s="18"/>
      <c r="B555" s="19"/>
      <c r="C555" s="17"/>
    </row>
    <row r="556" spans="1:3" s="13" customFormat="1" ht="25.2" customHeight="1">
      <c r="A556" s="18"/>
      <c r="B556" s="19"/>
      <c r="C556" s="17"/>
    </row>
    <row r="557" spans="1:3" s="13" customFormat="1" ht="25.2" customHeight="1">
      <c r="A557" s="18"/>
      <c r="B557" s="19"/>
      <c r="C557" s="17"/>
    </row>
    <row r="558" spans="1:3" s="13" customFormat="1" ht="25.2" customHeight="1">
      <c r="A558" s="18"/>
      <c r="B558" s="19"/>
      <c r="C558" s="17"/>
    </row>
    <row r="559" spans="1:3" s="13" customFormat="1" ht="25.2" customHeight="1">
      <c r="A559" s="18"/>
      <c r="B559" s="19"/>
      <c r="C559" s="17"/>
    </row>
    <row r="560" spans="1:3" s="13" customFormat="1" ht="25.2" customHeight="1">
      <c r="A560" s="18"/>
      <c r="B560" s="19"/>
      <c r="C560" s="17"/>
    </row>
    <row r="561" spans="1:3" s="13" customFormat="1" ht="25.2" customHeight="1">
      <c r="A561" s="18"/>
      <c r="B561" s="19"/>
      <c r="C561" s="17"/>
    </row>
    <row r="562" spans="1:3" s="13" customFormat="1" ht="25.2" customHeight="1">
      <c r="A562" s="18"/>
      <c r="B562" s="19"/>
      <c r="C562" s="17"/>
    </row>
    <row r="563" spans="1:3" s="13" customFormat="1" ht="25.2" customHeight="1">
      <c r="A563" s="18"/>
      <c r="B563" s="19"/>
      <c r="C563" s="17"/>
    </row>
    <row r="564" spans="1:3" s="13" customFormat="1" ht="25.2" customHeight="1">
      <c r="A564" s="18"/>
      <c r="B564" s="19"/>
      <c r="C564" s="17"/>
    </row>
    <row r="565" spans="1:3" s="13" customFormat="1" ht="25.2" customHeight="1">
      <c r="A565" s="18"/>
      <c r="B565" s="19"/>
      <c r="C565" s="17"/>
    </row>
    <row r="566" spans="1:3" s="13" customFormat="1" ht="25.2" customHeight="1">
      <c r="A566" s="18"/>
      <c r="B566" s="19"/>
      <c r="C566" s="17"/>
    </row>
    <row r="567" spans="1:3" s="13" customFormat="1" ht="25.2" customHeight="1">
      <c r="A567" s="18"/>
      <c r="B567" s="19"/>
      <c r="C567" s="17"/>
    </row>
    <row r="568" spans="1:3" s="13" customFormat="1" ht="25.2" customHeight="1">
      <c r="A568" s="18"/>
      <c r="B568" s="19"/>
      <c r="C568" s="17"/>
    </row>
    <row r="569" spans="1:3" s="13" customFormat="1" ht="25.2" customHeight="1">
      <c r="A569" s="18"/>
      <c r="B569" s="19"/>
      <c r="C569" s="17"/>
    </row>
    <row r="570" spans="1:3" s="13" customFormat="1" ht="25.2" customHeight="1">
      <c r="A570" s="18"/>
      <c r="B570" s="19"/>
      <c r="C570" s="17"/>
    </row>
    <row r="571" spans="1:3" s="13" customFormat="1" ht="25.2" customHeight="1">
      <c r="A571" s="18"/>
      <c r="B571" s="19"/>
      <c r="C571" s="17"/>
    </row>
    <row r="572" spans="1:3" s="13" customFormat="1" ht="25.2" customHeight="1">
      <c r="A572" s="18"/>
      <c r="B572" s="19"/>
      <c r="C572" s="17"/>
    </row>
    <row r="573" spans="1:3" s="13" customFormat="1" ht="25.2" customHeight="1">
      <c r="A573" s="18"/>
      <c r="B573" s="19"/>
      <c r="C573" s="17"/>
    </row>
    <row r="574" spans="1:3" s="13" customFormat="1" ht="25.2" customHeight="1">
      <c r="A574" s="18"/>
      <c r="B574" s="19"/>
      <c r="C574" s="17"/>
    </row>
    <row r="575" spans="1:3" s="13" customFormat="1" ht="25.2" customHeight="1">
      <c r="A575" s="18"/>
      <c r="B575" s="19"/>
      <c r="C575" s="17"/>
    </row>
    <row r="576" spans="1:3" s="13" customFormat="1" ht="25.2" customHeight="1">
      <c r="A576" s="18"/>
      <c r="B576" s="19"/>
      <c r="C576" s="17"/>
    </row>
    <row r="577" spans="1:3" s="13" customFormat="1" ht="25.2" customHeight="1">
      <c r="A577" s="18"/>
      <c r="B577" s="19"/>
      <c r="C577" s="17"/>
    </row>
    <row r="578" spans="1:3" s="13" customFormat="1" ht="25.2" customHeight="1">
      <c r="A578" s="18"/>
      <c r="B578" s="19"/>
      <c r="C578" s="17"/>
    </row>
    <row r="579" spans="1:3" s="13" customFormat="1" ht="25.2" customHeight="1">
      <c r="A579" s="18"/>
      <c r="B579" s="19"/>
      <c r="C579" s="17"/>
    </row>
    <row r="580" spans="1:3" s="13" customFormat="1" ht="25.2" customHeight="1">
      <c r="A580" s="18"/>
      <c r="B580" s="19"/>
      <c r="C580" s="17"/>
    </row>
    <row r="581" spans="1:3" s="13" customFormat="1" ht="25.2" customHeight="1">
      <c r="A581" s="18"/>
      <c r="B581" s="19"/>
      <c r="C581" s="17"/>
    </row>
    <row r="582" spans="1:3" s="13" customFormat="1" ht="25.2" customHeight="1">
      <c r="A582" s="18"/>
      <c r="B582" s="19"/>
      <c r="C582" s="17"/>
    </row>
    <row r="583" spans="1:3" s="13" customFormat="1" ht="25.2" customHeight="1">
      <c r="A583" s="18"/>
      <c r="B583" s="19"/>
      <c r="C583" s="17"/>
    </row>
    <row r="584" spans="1:3" s="13" customFormat="1" ht="25.2" customHeight="1">
      <c r="A584" s="18"/>
      <c r="B584" s="19"/>
      <c r="C584" s="17"/>
    </row>
    <row r="585" spans="1:3" s="13" customFormat="1" ht="25.2" customHeight="1">
      <c r="A585" s="18"/>
      <c r="B585" s="19"/>
      <c r="C585" s="17"/>
    </row>
    <row r="586" spans="1:3" s="13" customFormat="1" ht="25.2" customHeight="1">
      <c r="A586" s="18"/>
      <c r="B586" s="19"/>
      <c r="C586" s="17"/>
    </row>
    <row r="587" spans="1:3" s="13" customFormat="1" ht="25.2" customHeight="1">
      <c r="A587" s="18"/>
      <c r="B587" s="19"/>
      <c r="C587" s="17"/>
    </row>
    <row r="588" spans="1:3" s="13" customFormat="1" ht="25.2" customHeight="1">
      <c r="A588" s="18"/>
      <c r="B588" s="19"/>
      <c r="C588" s="17"/>
    </row>
    <row r="589" spans="1:3" s="13" customFormat="1" ht="25.2" customHeight="1">
      <c r="A589" s="18"/>
      <c r="B589" s="19"/>
      <c r="C589" s="17"/>
    </row>
    <row r="590" spans="1:3" s="13" customFormat="1" ht="25.2" customHeight="1">
      <c r="A590" s="18"/>
      <c r="B590" s="19"/>
      <c r="C590" s="17"/>
    </row>
    <row r="591" spans="1:3" s="13" customFormat="1" ht="25.2" customHeight="1">
      <c r="A591" s="18"/>
      <c r="B591" s="19"/>
      <c r="C591" s="17"/>
    </row>
    <row r="592" spans="1:3" s="13" customFormat="1" ht="25.2" customHeight="1">
      <c r="A592" s="18"/>
      <c r="B592" s="19"/>
      <c r="C592" s="17"/>
    </row>
    <row r="593" spans="1:3" s="13" customFormat="1" ht="25.2" customHeight="1">
      <c r="A593" s="18"/>
      <c r="B593" s="19"/>
      <c r="C593" s="17"/>
    </row>
    <row r="594" spans="1:3" s="13" customFormat="1" ht="25.2" customHeight="1">
      <c r="A594" s="18"/>
      <c r="B594" s="19"/>
      <c r="C594" s="17"/>
    </row>
    <row r="595" spans="1:3" s="13" customFormat="1" ht="25.2" customHeight="1">
      <c r="A595" s="18"/>
      <c r="B595" s="19"/>
      <c r="C595" s="17"/>
    </row>
    <row r="596" spans="1:3" s="13" customFormat="1" ht="25.2" customHeight="1">
      <c r="A596" s="18"/>
      <c r="B596" s="19"/>
      <c r="C596" s="17"/>
    </row>
    <row r="597" spans="1:3" s="13" customFormat="1" ht="25.2" customHeight="1">
      <c r="A597" s="18"/>
      <c r="B597" s="19"/>
      <c r="C597" s="17"/>
    </row>
    <row r="598" spans="1:3" s="13" customFormat="1" ht="25.2" customHeight="1">
      <c r="A598" s="18"/>
      <c r="B598" s="19"/>
      <c r="C598" s="17"/>
    </row>
    <row r="599" spans="1:3" s="13" customFormat="1" ht="25.2" customHeight="1">
      <c r="A599" s="18"/>
      <c r="B599" s="19"/>
      <c r="C599" s="17"/>
    </row>
    <row r="600" spans="1:3" s="13" customFormat="1" ht="25.2" customHeight="1">
      <c r="A600" s="18"/>
      <c r="B600" s="19"/>
      <c r="C600" s="17"/>
    </row>
    <row r="601" spans="1:3" s="13" customFormat="1" ht="25.2" customHeight="1">
      <c r="A601" s="18"/>
      <c r="B601" s="19"/>
      <c r="C601" s="17"/>
    </row>
    <row r="602" spans="1:3" s="13" customFormat="1" ht="25.2" customHeight="1">
      <c r="A602" s="18"/>
      <c r="B602" s="19"/>
      <c r="C602" s="17"/>
    </row>
    <row r="603" spans="1:3" s="13" customFormat="1" ht="25.2" customHeight="1">
      <c r="A603" s="18"/>
      <c r="B603" s="19"/>
      <c r="C603" s="17"/>
    </row>
    <row r="604" spans="1:3" s="13" customFormat="1" ht="25.2" customHeight="1">
      <c r="A604" s="18"/>
      <c r="B604" s="19"/>
      <c r="C604" s="17"/>
    </row>
    <row r="605" spans="1:3" s="13" customFormat="1" ht="25.2" customHeight="1">
      <c r="A605" s="18"/>
      <c r="B605" s="19"/>
      <c r="C605" s="17"/>
    </row>
    <row r="606" spans="1:3" s="13" customFormat="1" ht="25.2" customHeight="1">
      <c r="A606" s="18"/>
      <c r="B606" s="19"/>
      <c r="C606" s="17"/>
    </row>
    <row r="607" spans="1:3" s="13" customFormat="1" ht="25.2" customHeight="1">
      <c r="A607" s="18"/>
      <c r="B607" s="19"/>
      <c r="C607" s="17"/>
    </row>
    <row r="608" spans="1:3" s="13" customFormat="1" ht="25.2" customHeight="1">
      <c r="A608" s="18"/>
      <c r="B608" s="19"/>
      <c r="C608" s="17"/>
    </row>
    <row r="609" spans="1:7" s="13" customFormat="1" ht="25.2" customHeight="1">
      <c r="A609" s="18"/>
      <c r="B609" s="19"/>
      <c r="C609" s="17"/>
    </row>
    <row r="610" spans="1:7" s="13" customFormat="1" ht="25.2" customHeight="1">
      <c r="A610" s="18"/>
      <c r="B610" s="19"/>
      <c r="C610" s="17"/>
    </row>
    <row r="611" spans="1:7" s="13" customFormat="1" ht="25.2" customHeight="1">
      <c r="A611" s="18"/>
      <c r="B611" s="19"/>
      <c r="C611" s="17"/>
    </row>
    <row r="612" spans="1:7" s="13" customFormat="1" ht="25.2" customHeight="1">
      <c r="A612" s="18"/>
      <c r="B612" s="19"/>
      <c r="C612" s="17"/>
    </row>
    <row r="613" spans="1:7" s="13" customFormat="1" ht="25.2" customHeight="1">
      <c r="A613" s="18"/>
      <c r="B613" s="19"/>
      <c r="C613" s="17"/>
    </row>
    <row r="614" spans="1:7" s="13" customFormat="1" ht="25.2" customHeight="1">
      <c r="A614" s="18"/>
      <c r="B614" s="19"/>
      <c r="C614" s="17"/>
    </row>
    <row r="615" spans="1:7" s="13" customFormat="1" ht="25.2" customHeight="1">
      <c r="A615" s="18"/>
      <c r="B615" s="19"/>
      <c r="C615" s="17"/>
    </row>
    <row r="616" spans="1:7" s="13" customFormat="1" ht="25.2" customHeight="1">
      <c r="A616" s="18"/>
      <c r="B616" s="19"/>
      <c r="C616" s="17"/>
    </row>
    <row r="617" spans="1:7" s="13" customFormat="1" ht="25.2" customHeight="1">
      <c r="A617" s="18"/>
      <c r="B617" s="19"/>
      <c r="C617" s="17"/>
    </row>
    <row r="618" spans="1:7" s="13" customFormat="1" ht="25.2" customHeight="1">
      <c r="A618" s="18"/>
      <c r="B618" s="19"/>
      <c r="C618" s="17"/>
    </row>
    <row r="619" spans="1:7">
      <c r="C619" s="17"/>
      <c r="D619" s="13"/>
      <c r="E619" s="13"/>
      <c r="F619" s="13"/>
      <c r="G619" s="13"/>
    </row>
  </sheetData>
  <mergeCells count="7">
    <mergeCell ref="A1:H1"/>
    <mergeCell ref="A5:A6"/>
    <mergeCell ref="B5:B6"/>
    <mergeCell ref="D5:E5"/>
    <mergeCell ref="F5:G5"/>
    <mergeCell ref="H5:H6"/>
    <mergeCell ref="C5:C6"/>
  </mergeCells>
  <phoneticPr fontId="9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7"/>
  <sheetViews>
    <sheetView tabSelected="1" zoomScale="115" zoomScaleNormal="115" workbookViewId="0">
      <pane xSplit="6" ySplit="8" topLeftCell="G45" activePane="bottomRight" state="frozen"/>
      <selection pane="topRight" activeCell="G1" sqref="G1"/>
      <selection pane="bottomLeft" activeCell="A9" sqref="A9"/>
      <selection pane="bottomRight" activeCell="F50" sqref="F50"/>
    </sheetView>
  </sheetViews>
  <sheetFormatPr defaultRowHeight="11.4"/>
  <cols>
    <col min="1" max="2" width="8.69921875" style="84" customWidth="1"/>
    <col min="3" max="3" width="4.69921875" style="77" customWidth="1"/>
    <col min="4" max="4" width="18.69921875" style="86" customWidth="1"/>
    <col min="5" max="5" width="18.69921875" style="86" hidden="1" customWidth="1"/>
    <col min="6" max="6" width="30.69921875" style="86" customWidth="1"/>
    <col min="7" max="7" width="20.69921875" style="86" customWidth="1"/>
    <col min="8" max="8" width="4.69921875" style="77" customWidth="1"/>
    <col min="9" max="9" width="30.69921875" style="86" customWidth="1"/>
    <col min="10" max="10" width="18.69921875" style="175" hidden="1" customWidth="1"/>
    <col min="11" max="11" width="12.69921875" style="77" hidden="1" customWidth="1"/>
    <col min="12" max="12" width="15.69921875" style="66" hidden="1" customWidth="1"/>
    <col min="13" max="13" width="15.69921875" style="77" customWidth="1"/>
    <col min="14" max="15" width="10.69921875" style="87" hidden="1" customWidth="1"/>
    <col min="16" max="16" width="11.19921875" style="88" hidden="1" customWidth="1"/>
    <col min="17" max="17" width="11.19921875" style="88" customWidth="1"/>
    <col min="18" max="16384" width="8.796875" style="66"/>
  </cols>
  <sheetData>
    <row r="1" spans="1:25" s="40" customFormat="1" ht="30" customHeight="1">
      <c r="A1" s="35" t="s">
        <v>65</v>
      </c>
      <c r="B1" s="36"/>
      <c r="C1" s="37"/>
      <c r="D1" s="37"/>
      <c r="E1" s="37"/>
      <c r="F1" s="37"/>
      <c r="G1" s="37"/>
      <c r="H1" s="37"/>
      <c r="I1" s="37"/>
      <c r="J1" s="162"/>
      <c r="K1" s="93"/>
      <c r="L1" s="37"/>
      <c r="M1" s="37"/>
      <c r="N1" s="38"/>
      <c r="O1" s="38"/>
      <c r="P1" s="39"/>
      <c r="Q1" s="39"/>
    </row>
    <row r="2" spans="1:25" s="45" customFormat="1" ht="18" customHeight="1">
      <c r="A2" s="319" t="s">
        <v>66</v>
      </c>
      <c r="B2" s="320"/>
      <c r="C2" s="319" t="s">
        <v>67</v>
      </c>
      <c r="D2" s="319"/>
      <c r="E2" s="41"/>
      <c r="F2" s="42"/>
      <c r="G2" s="42"/>
      <c r="H2" s="40"/>
      <c r="I2" s="42"/>
      <c r="J2" s="164"/>
      <c r="K2" s="40"/>
      <c r="M2" s="40"/>
      <c r="N2" s="44"/>
      <c r="O2" s="44"/>
      <c r="P2" s="39"/>
      <c r="Q2" s="39"/>
    </row>
    <row r="3" spans="1:25" s="45" customFormat="1" ht="18" customHeight="1" thickBot="1">
      <c r="A3" s="319" t="s">
        <v>68</v>
      </c>
      <c r="B3" s="320"/>
      <c r="C3" s="319" t="s">
        <v>266</v>
      </c>
      <c r="D3" s="319"/>
      <c r="E3" s="41"/>
      <c r="F3" s="42"/>
      <c r="G3" s="42"/>
      <c r="H3" s="40"/>
      <c r="I3" s="42"/>
      <c r="J3" s="164"/>
      <c r="K3" s="40"/>
      <c r="M3" s="40"/>
      <c r="N3" s="46"/>
      <c r="O3" s="46"/>
      <c r="P3" s="39"/>
      <c r="Q3" s="39"/>
    </row>
    <row r="4" spans="1:25" s="45" customFormat="1" ht="18" customHeight="1">
      <c r="A4" s="319" t="s">
        <v>69</v>
      </c>
      <c r="B4" s="320"/>
      <c r="C4" s="319" t="s">
        <v>307</v>
      </c>
      <c r="D4" s="319"/>
      <c r="E4" s="41"/>
      <c r="F4" s="42"/>
      <c r="G4" s="42"/>
      <c r="H4" s="47">
        <f>H57</f>
        <v>201</v>
      </c>
      <c r="I4" s="48" t="s">
        <v>82</v>
      </c>
      <c r="J4" s="164"/>
      <c r="K4" s="47"/>
      <c r="L4" s="48"/>
      <c r="M4" s="40"/>
      <c r="N4" s="301" t="s">
        <v>21</v>
      </c>
      <c r="O4" s="302"/>
      <c r="P4" s="39"/>
      <c r="Q4" s="39"/>
    </row>
    <row r="5" spans="1:25" s="45" customFormat="1" ht="18" customHeight="1" thickBot="1">
      <c r="A5" s="319" t="s">
        <v>70</v>
      </c>
      <c r="B5" s="320"/>
      <c r="C5" s="319"/>
      <c r="D5" s="319"/>
      <c r="E5" s="41"/>
      <c r="F5" s="42"/>
      <c r="G5" s="42"/>
      <c r="H5" s="49">
        <v>1</v>
      </c>
      <c r="I5" s="50" t="s">
        <v>83</v>
      </c>
      <c r="J5" s="164"/>
      <c r="K5" s="49"/>
      <c r="L5" s="50"/>
      <c r="M5" s="40"/>
      <c r="N5" s="303">
        <f>O57</f>
        <v>0</v>
      </c>
      <c r="O5" s="304"/>
      <c r="P5" s="39"/>
      <c r="Q5" s="39"/>
    </row>
    <row r="6" spans="1:25" s="56" customFormat="1" ht="7.2" customHeight="1">
      <c r="A6" s="51"/>
      <c r="B6" s="51"/>
      <c r="C6" s="51"/>
      <c r="D6" s="94"/>
      <c r="E6" s="95"/>
      <c r="F6" s="52"/>
      <c r="G6" s="52"/>
      <c r="H6" s="43"/>
      <c r="I6" s="53"/>
      <c r="J6" s="138"/>
      <c r="K6" s="43"/>
      <c r="L6" s="41"/>
      <c r="M6" s="51"/>
      <c r="N6" s="54"/>
      <c r="O6" s="54"/>
      <c r="P6" s="55"/>
      <c r="Q6" s="55"/>
    </row>
    <row r="7" spans="1:25" s="56" customFormat="1" ht="15" customHeight="1">
      <c r="A7" s="321" t="s">
        <v>3</v>
      </c>
      <c r="B7" s="322" t="s">
        <v>4</v>
      </c>
      <c r="C7" s="311" t="s">
        <v>2</v>
      </c>
      <c r="D7" s="311" t="s">
        <v>5</v>
      </c>
      <c r="E7" s="315" t="s">
        <v>47</v>
      </c>
      <c r="F7" s="315" t="s">
        <v>6</v>
      </c>
      <c r="G7" s="315" t="s">
        <v>7</v>
      </c>
      <c r="H7" s="317" t="s">
        <v>8</v>
      </c>
      <c r="I7" s="311" t="s">
        <v>9</v>
      </c>
      <c r="J7" s="315" t="s">
        <v>48</v>
      </c>
      <c r="K7" s="311" t="s">
        <v>71</v>
      </c>
      <c r="L7" s="311" t="s">
        <v>72</v>
      </c>
      <c r="M7" s="311" t="s">
        <v>10</v>
      </c>
      <c r="N7" s="313" t="s">
        <v>18</v>
      </c>
      <c r="O7" s="313" t="s">
        <v>19</v>
      </c>
      <c r="P7" s="312" t="s">
        <v>16</v>
      </c>
      <c r="Q7" s="312" t="s">
        <v>17</v>
      </c>
    </row>
    <row r="8" spans="1:25" s="57" customFormat="1" ht="15" customHeight="1">
      <c r="A8" s="321"/>
      <c r="B8" s="322"/>
      <c r="C8" s="311"/>
      <c r="D8" s="311"/>
      <c r="E8" s="316"/>
      <c r="F8" s="316"/>
      <c r="G8" s="316"/>
      <c r="H8" s="317"/>
      <c r="I8" s="311"/>
      <c r="J8" s="316"/>
      <c r="K8" s="311"/>
      <c r="L8" s="311"/>
      <c r="M8" s="311"/>
      <c r="N8" s="313"/>
      <c r="O8" s="313"/>
      <c r="P8" s="312"/>
      <c r="Q8" s="312"/>
    </row>
    <row r="9" spans="1:25" s="67" customFormat="1" ht="16.2" customHeight="1">
      <c r="A9" s="106"/>
      <c r="B9" s="107">
        <f t="shared" ref="B9" si="0">(H9*$H$5)</f>
        <v>1</v>
      </c>
      <c r="C9" s="108">
        <v>1</v>
      </c>
      <c r="D9" s="109" t="s">
        <v>86</v>
      </c>
      <c r="E9" s="109" t="s">
        <v>87</v>
      </c>
      <c r="F9" s="110" t="s">
        <v>90</v>
      </c>
      <c r="G9" s="110"/>
      <c r="H9" s="112">
        <f>LEN(I9)-LEN(SUBSTITUTE(I9,",",""))+1</f>
        <v>1</v>
      </c>
      <c r="I9" s="110" t="s">
        <v>91</v>
      </c>
      <c r="J9" s="160" t="s">
        <v>88</v>
      </c>
      <c r="K9" s="111" t="s">
        <v>74</v>
      </c>
      <c r="L9" s="105" t="s">
        <v>75</v>
      </c>
      <c r="M9" s="112" t="s">
        <v>89</v>
      </c>
      <c r="N9" s="113">
        <v>0</v>
      </c>
      <c r="O9" s="113">
        <v>0</v>
      </c>
      <c r="P9" s="114"/>
      <c r="Q9" s="114"/>
      <c r="R9" s="115"/>
      <c r="S9" s="115"/>
      <c r="T9" s="115"/>
      <c r="U9" s="115"/>
      <c r="V9" s="115"/>
      <c r="W9" s="115"/>
      <c r="X9" s="115"/>
      <c r="Y9" s="115"/>
    </row>
    <row r="10" spans="1:25" s="116" customFormat="1" ht="16.2" customHeight="1">
      <c r="A10" s="106"/>
      <c r="B10" s="107">
        <f t="shared" ref="B10" si="1">(H10*$H$5)</f>
        <v>1</v>
      </c>
      <c r="C10" s="108">
        <v>2</v>
      </c>
      <c r="D10" s="109" t="s">
        <v>86</v>
      </c>
      <c r="E10" s="109" t="s">
        <v>87</v>
      </c>
      <c r="F10" s="110" t="s">
        <v>92</v>
      </c>
      <c r="G10" s="110"/>
      <c r="H10" s="112">
        <f>LEN(I10)-LEN(SUBSTITUTE(I10,",",""))+1</f>
        <v>1</v>
      </c>
      <c r="I10" s="110" t="s">
        <v>93</v>
      </c>
      <c r="J10" s="160" t="s">
        <v>88</v>
      </c>
      <c r="K10" s="111" t="s">
        <v>74</v>
      </c>
      <c r="L10" s="105" t="s">
        <v>75</v>
      </c>
      <c r="M10" s="112" t="s">
        <v>89</v>
      </c>
      <c r="N10" s="113">
        <v>0</v>
      </c>
      <c r="O10" s="113">
        <v>0</v>
      </c>
      <c r="P10" s="114"/>
      <c r="Q10" s="114"/>
      <c r="R10" s="115"/>
      <c r="S10" s="115"/>
      <c r="T10" s="115"/>
      <c r="U10" s="115"/>
      <c r="V10" s="115"/>
      <c r="W10" s="115"/>
      <c r="X10" s="115"/>
      <c r="Y10" s="115"/>
    </row>
    <row r="11" spans="1:25" s="116" customFormat="1" ht="16.2" customHeight="1">
      <c r="A11" s="119"/>
      <c r="B11" s="204">
        <f t="shared" ref="B11:B55" si="2">(H11*$H$5)</f>
        <v>1</v>
      </c>
      <c r="C11" s="205">
        <v>3</v>
      </c>
      <c r="D11" s="120" t="s">
        <v>86</v>
      </c>
      <c r="E11" s="120" t="s">
        <v>87</v>
      </c>
      <c r="F11" s="121" t="s">
        <v>94</v>
      </c>
      <c r="G11" s="121" t="s">
        <v>95</v>
      </c>
      <c r="H11" s="129">
        <f t="shared" ref="H11:H12" si="3">LEN(I11)-LEN(SUBSTITUTE(I11,",",""))+1</f>
        <v>1</v>
      </c>
      <c r="I11" s="137" t="s">
        <v>108</v>
      </c>
      <c r="J11" s="160" t="s">
        <v>88</v>
      </c>
      <c r="K11" s="122" t="s">
        <v>74</v>
      </c>
      <c r="L11" s="118" t="s">
        <v>73</v>
      </c>
      <c r="M11" s="123" t="s">
        <v>38</v>
      </c>
      <c r="N11" s="132">
        <v>0</v>
      </c>
      <c r="O11" s="132">
        <v>0</v>
      </c>
      <c r="P11" s="124"/>
      <c r="Q11" s="124"/>
      <c r="R11" s="117"/>
      <c r="S11" s="117"/>
      <c r="T11" s="117"/>
      <c r="U11" s="117"/>
      <c r="V11" s="117"/>
      <c r="W11" s="117"/>
      <c r="X11" s="117"/>
      <c r="Y11" s="117"/>
    </row>
    <row r="12" spans="1:25" s="116" customFormat="1" ht="16.2" customHeight="1">
      <c r="A12" s="127"/>
      <c r="B12" s="204">
        <f t="shared" si="2"/>
        <v>1</v>
      </c>
      <c r="C12" s="205">
        <v>4</v>
      </c>
      <c r="D12" s="128" t="s">
        <v>86</v>
      </c>
      <c r="E12" s="128" t="s">
        <v>96</v>
      </c>
      <c r="F12" s="130" t="s">
        <v>98</v>
      </c>
      <c r="G12" s="136" t="s">
        <v>95</v>
      </c>
      <c r="H12" s="129">
        <f t="shared" si="3"/>
        <v>1</v>
      </c>
      <c r="I12" s="137" t="s">
        <v>109</v>
      </c>
      <c r="J12" s="160" t="s">
        <v>99</v>
      </c>
      <c r="K12" s="131" t="s">
        <v>74</v>
      </c>
      <c r="L12" s="126" t="s">
        <v>73</v>
      </c>
      <c r="M12" s="125" t="s">
        <v>100</v>
      </c>
      <c r="N12" s="187">
        <v>0</v>
      </c>
      <c r="O12" s="187">
        <v>0</v>
      </c>
      <c r="P12" s="133"/>
      <c r="Q12" s="133"/>
      <c r="R12" s="134"/>
      <c r="S12" s="134"/>
      <c r="T12" s="134"/>
      <c r="U12" s="134"/>
      <c r="V12" s="134"/>
      <c r="W12" s="134"/>
      <c r="X12" s="134"/>
      <c r="Y12" s="134"/>
    </row>
    <row r="13" spans="1:25" s="116" customFormat="1" ht="16.2" customHeight="1">
      <c r="A13" s="106"/>
      <c r="B13" s="204">
        <f t="shared" si="2"/>
        <v>2</v>
      </c>
      <c r="C13" s="205">
        <v>5</v>
      </c>
      <c r="D13" s="109" t="s">
        <v>102</v>
      </c>
      <c r="E13" s="109" t="s">
        <v>97</v>
      </c>
      <c r="F13" s="104" t="s">
        <v>101</v>
      </c>
      <c r="G13" s="110" t="s">
        <v>103</v>
      </c>
      <c r="H13" s="129">
        <f>LEN(I13)-LEN(SUBSTITUTE(I13,",",""))+1</f>
        <v>2</v>
      </c>
      <c r="I13" s="137" t="s">
        <v>107</v>
      </c>
      <c r="J13" s="160" t="s">
        <v>104</v>
      </c>
      <c r="K13" s="111" t="s">
        <v>105</v>
      </c>
      <c r="L13" s="126" t="s">
        <v>73</v>
      </c>
      <c r="M13" s="112" t="s">
        <v>106</v>
      </c>
      <c r="N13" s="187">
        <v>0</v>
      </c>
      <c r="O13" s="187">
        <v>0</v>
      </c>
      <c r="P13" s="114"/>
      <c r="Q13" s="114"/>
      <c r="R13" s="115"/>
      <c r="S13" s="115"/>
      <c r="T13" s="115"/>
      <c r="U13" s="115"/>
      <c r="V13" s="115"/>
      <c r="W13" s="115"/>
      <c r="X13" s="115"/>
      <c r="Y13" s="115"/>
    </row>
    <row r="14" spans="1:25" s="135" customFormat="1" ht="16.2" customHeight="1">
      <c r="A14" s="142"/>
      <c r="B14" s="204">
        <f t="shared" si="2"/>
        <v>1</v>
      </c>
      <c r="C14" s="205">
        <v>6</v>
      </c>
      <c r="D14" s="143" t="s">
        <v>11</v>
      </c>
      <c r="E14" s="143" t="s">
        <v>58</v>
      </c>
      <c r="F14" s="144" t="s">
        <v>110</v>
      </c>
      <c r="G14" s="149" t="s">
        <v>111</v>
      </c>
      <c r="H14" s="167">
        <f t="shared" ref="H14:H28" si="4">LEN(I14)-LEN(SUBSTITUTE(I14,",",""))+1</f>
        <v>1</v>
      </c>
      <c r="I14" s="139" t="s">
        <v>45</v>
      </c>
      <c r="J14" s="160" t="s">
        <v>112</v>
      </c>
      <c r="K14" s="145" t="s">
        <v>76</v>
      </c>
      <c r="L14" s="141" t="s">
        <v>113</v>
      </c>
      <c r="M14" s="140" t="s">
        <v>114</v>
      </c>
      <c r="N14" s="187">
        <v>0</v>
      </c>
      <c r="O14" s="187">
        <v>0</v>
      </c>
      <c r="P14" s="146"/>
      <c r="Q14" s="148"/>
      <c r="R14" s="147"/>
      <c r="S14" s="147"/>
      <c r="T14" s="147"/>
      <c r="U14" s="147"/>
      <c r="V14" s="147"/>
      <c r="W14" s="147"/>
      <c r="X14" s="147"/>
      <c r="Y14" s="147"/>
    </row>
    <row r="15" spans="1:25" s="45" customFormat="1" ht="25.95" customHeight="1">
      <c r="A15" s="152"/>
      <c r="B15" s="204">
        <f t="shared" si="2"/>
        <v>18</v>
      </c>
      <c r="C15" s="205">
        <v>7</v>
      </c>
      <c r="D15" s="153" t="s">
        <v>11</v>
      </c>
      <c r="E15" s="153" t="s">
        <v>58</v>
      </c>
      <c r="F15" s="156" t="s">
        <v>115</v>
      </c>
      <c r="G15" s="158" t="s">
        <v>59</v>
      </c>
      <c r="H15" s="167">
        <f t="shared" si="4"/>
        <v>18</v>
      </c>
      <c r="I15" s="230" t="s">
        <v>185</v>
      </c>
      <c r="J15" s="160" t="s">
        <v>112</v>
      </c>
      <c r="K15" s="150" t="s">
        <v>76</v>
      </c>
      <c r="L15" s="153" t="s">
        <v>113</v>
      </c>
      <c r="M15" s="154" t="s">
        <v>39</v>
      </c>
      <c r="N15" s="187">
        <v>0</v>
      </c>
      <c r="O15" s="187">
        <v>0</v>
      </c>
      <c r="P15" s="155"/>
      <c r="Q15" s="157"/>
      <c r="R15" s="151"/>
      <c r="S15" s="151"/>
      <c r="T15" s="151"/>
      <c r="U15" s="151"/>
      <c r="V15" s="151"/>
      <c r="W15" s="151"/>
      <c r="X15" s="151"/>
      <c r="Y15" s="151"/>
    </row>
    <row r="16" spans="1:25" s="151" customFormat="1" ht="16.2" customHeight="1">
      <c r="A16" s="165"/>
      <c r="B16" s="204">
        <f t="shared" si="2"/>
        <v>9</v>
      </c>
      <c r="C16" s="205">
        <v>8</v>
      </c>
      <c r="D16" s="166" t="s">
        <v>11</v>
      </c>
      <c r="E16" s="166" t="s">
        <v>58</v>
      </c>
      <c r="F16" s="170" t="s">
        <v>117</v>
      </c>
      <c r="G16" s="159" t="s">
        <v>59</v>
      </c>
      <c r="H16" s="167">
        <f t="shared" si="4"/>
        <v>9</v>
      </c>
      <c r="I16" s="231" t="s">
        <v>186</v>
      </c>
      <c r="J16" s="160" t="s">
        <v>116</v>
      </c>
      <c r="K16" s="172" t="s">
        <v>76</v>
      </c>
      <c r="L16" s="161" t="s">
        <v>77</v>
      </c>
      <c r="M16" s="167" t="s">
        <v>39</v>
      </c>
      <c r="N16" s="187">
        <v>0</v>
      </c>
      <c r="O16" s="187">
        <v>0</v>
      </c>
      <c r="P16" s="168"/>
      <c r="Q16" s="171"/>
      <c r="R16" s="163"/>
      <c r="S16" s="163"/>
      <c r="T16" s="163"/>
      <c r="U16" s="163"/>
      <c r="V16" s="163"/>
      <c r="W16" s="163"/>
      <c r="X16" s="163"/>
      <c r="Y16" s="163"/>
    </row>
    <row r="17" spans="1:25" s="45" customFormat="1" ht="16.2" customHeight="1">
      <c r="A17" s="58"/>
      <c r="B17" s="204">
        <f t="shared" si="2"/>
        <v>8</v>
      </c>
      <c r="C17" s="205">
        <v>9</v>
      </c>
      <c r="D17" s="61" t="s">
        <v>22</v>
      </c>
      <c r="E17" s="96" t="s">
        <v>60</v>
      </c>
      <c r="F17" s="91" t="s">
        <v>23</v>
      </c>
      <c r="G17" s="92" t="s">
        <v>61</v>
      </c>
      <c r="H17" s="167">
        <f t="shared" si="4"/>
        <v>8</v>
      </c>
      <c r="I17" s="246" t="s">
        <v>252</v>
      </c>
      <c r="J17" s="103" t="s">
        <v>64</v>
      </c>
      <c r="K17" s="97"/>
      <c r="L17" s="90" t="s">
        <v>77</v>
      </c>
      <c r="M17" s="69" t="s">
        <v>40</v>
      </c>
      <c r="N17" s="187">
        <v>0</v>
      </c>
      <c r="O17" s="187">
        <v>0</v>
      </c>
      <c r="P17" s="65"/>
      <c r="Q17" s="70"/>
    </row>
    <row r="18" spans="1:25" s="45" customFormat="1" ht="16.2" customHeight="1">
      <c r="A18" s="58"/>
      <c r="B18" s="204">
        <f t="shared" si="2"/>
        <v>1</v>
      </c>
      <c r="C18" s="205">
        <v>10</v>
      </c>
      <c r="D18" s="61" t="s">
        <v>29</v>
      </c>
      <c r="E18" s="61" t="s">
        <v>62</v>
      </c>
      <c r="F18" s="91" t="s">
        <v>78</v>
      </c>
      <c r="G18" s="92" t="s">
        <v>85</v>
      </c>
      <c r="H18" s="167">
        <f t="shared" si="4"/>
        <v>1</v>
      </c>
      <c r="I18" s="177" t="s">
        <v>118</v>
      </c>
      <c r="J18" s="160" t="s">
        <v>63</v>
      </c>
      <c r="K18" s="69"/>
      <c r="L18" s="90" t="s">
        <v>79</v>
      </c>
      <c r="M18" s="72" t="s">
        <v>41</v>
      </c>
      <c r="N18" s="187">
        <v>0</v>
      </c>
      <c r="O18" s="187">
        <v>0</v>
      </c>
      <c r="P18" s="65"/>
      <c r="Q18" s="70"/>
    </row>
    <row r="19" spans="1:25" s="67" customFormat="1" ht="16.05" customHeight="1">
      <c r="A19" s="58"/>
      <c r="B19" s="204">
        <f t="shared" si="2"/>
        <v>3</v>
      </c>
      <c r="C19" s="205">
        <v>11</v>
      </c>
      <c r="D19" s="61" t="s">
        <v>42</v>
      </c>
      <c r="E19" s="61" t="s">
        <v>56</v>
      </c>
      <c r="F19" s="91" t="s">
        <v>24</v>
      </c>
      <c r="G19" s="92"/>
      <c r="H19" s="167">
        <f t="shared" si="4"/>
        <v>3</v>
      </c>
      <c r="I19" s="232" t="s">
        <v>187</v>
      </c>
      <c r="J19" s="160" t="s">
        <v>57</v>
      </c>
      <c r="K19" s="69"/>
      <c r="L19" s="90" t="s">
        <v>73</v>
      </c>
      <c r="M19" s="72" t="s">
        <v>30</v>
      </c>
      <c r="N19" s="187">
        <v>0</v>
      </c>
      <c r="O19" s="187">
        <v>0</v>
      </c>
      <c r="P19" s="65"/>
      <c r="Q19" s="65"/>
      <c r="R19" s="66"/>
      <c r="S19" s="66"/>
      <c r="T19" s="66"/>
      <c r="U19" s="66"/>
      <c r="V19" s="66"/>
      <c r="W19" s="66"/>
      <c r="X19" s="66"/>
      <c r="Y19" s="66"/>
    </row>
    <row r="20" spans="1:25" s="190" customFormat="1" ht="16.05" customHeight="1">
      <c r="A20" s="182"/>
      <c r="B20" s="204">
        <f t="shared" si="2"/>
        <v>9</v>
      </c>
      <c r="C20" s="205">
        <v>12</v>
      </c>
      <c r="D20" s="183" t="s">
        <v>162</v>
      </c>
      <c r="E20" s="206" t="s">
        <v>56</v>
      </c>
      <c r="F20" s="203" t="s">
        <v>161</v>
      </c>
      <c r="G20" s="180"/>
      <c r="H20" s="186">
        <f t="shared" si="4"/>
        <v>9</v>
      </c>
      <c r="I20" s="233" t="s">
        <v>188</v>
      </c>
      <c r="J20" s="209" t="s">
        <v>163</v>
      </c>
      <c r="K20" s="211"/>
      <c r="L20" s="210" t="s">
        <v>164</v>
      </c>
      <c r="M20" s="212" t="s">
        <v>165</v>
      </c>
      <c r="N20" s="207">
        <v>0</v>
      </c>
      <c r="O20" s="207">
        <v>0</v>
      </c>
      <c r="P20" s="188"/>
      <c r="Q20" s="188"/>
      <c r="R20" s="189"/>
      <c r="S20" s="189"/>
      <c r="T20" s="189"/>
      <c r="U20" s="189"/>
      <c r="V20" s="189"/>
      <c r="W20" s="189"/>
      <c r="X20" s="189"/>
      <c r="Y20" s="189"/>
    </row>
    <row r="21" spans="1:25" s="213" customFormat="1" ht="16.05" customHeight="1">
      <c r="A21" s="217"/>
      <c r="B21" s="204">
        <f t="shared" si="2"/>
        <v>2</v>
      </c>
      <c r="C21" s="205">
        <v>13</v>
      </c>
      <c r="D21" s="218" t="s">
        <v>203</v>
      </c>
      <c r="E21" s="218"/>
      <c r="F21" s="234" t="s">
        <v>189</v>
      </c>
      <c r="G21" s="228"/>
      <c r="H21" s="186">
        <f t="shared" si="4"/>
        <v>2</v>
      </c>
      <c r="I21" s="235" t="s">
        <v>190</v>
      </c>
      <c r="J21" s="216"/>
      <c r="K21" s="226"/>
      <c r="L21" s="210"/>
      <c r="M21" s="245" t="s">
        <v>202</v>
      </c>
      <c r="N21" s="207">
        <v>0</v>
      </c>
      <c r="O21" s="207">
        <v>0</v>
      </c>
      <c r="P21" s="223"/>
      <c r="Q21" s="223"/>
      <c r="R21" s="189"/>
      <c r="S21" s="189"/>
      <c r="T21" s="189"/>
      <c r="U21" s="189"/>
      <c r="V21" s="189"/>
      <c r="W21" s="189"/>
      <c r="X21" s="189"/>
      <c r="Y21" s="189"/>
    </row>
    <row r="22" spans="1:25" s="213" customFormat="1" ht="16.05" customHeight="1">
      <c r="A22" s="217"/>
      <c r="B22" s="204">
        <f t="shared" si="2"/>
        <v>2</v>
      </c>
      <c r="C22" s="205">
        <v>14</v>
      </c>
      <c r="D22" s="218" t="s">
        <v>167</v>
      </c>
      <c r="E22" s="218" t="s">
        <v>168</v>
      </c>
      <c r="F22" s="219" t="s">
        <v>173</v>
      </c>
      <c r="G22" s="215" t="s">
        <v>169</v>
      </c>
      <c r="H22" s="220">
        <v>2</v>
      </c>
      <c r="I22" s="224" t="s">
        <v>170</v>
      </c>
      <c r="J22" s="216" t="s">
        <v>171</v>
      </c>
      <c r="K22" s="226"/>
      <c r="L22" s="224"/>
      <c r="M22" s="221" t="s">
        <v>172</v>
      </c>
      <c r="N22" s="222">
        <v>0</v>
      </c>
      <c r="O22" s="222">
        <v>0</v>
      </c>
      <c r="P22" s="223"/>
      <c r="Q22" s="225"/>
      <c r="R22" s="214"/>
      <c r="S22" s="214"/>
      <c r="T22" s="214"/>
      <c r="U22" s="214"/>
      <c r="V22" s="214"/>
      <c r="W22" s="214"/>
      <c r="X22" s="214"/>
      <c r="Y22" s="214"/>
    </row>
    <row r="23" spans="1:25" s="67" customFormat="1" ht="16.2" customHeight="1">
      <c r="A23" s="58"/>
      <c r="B23" s="204">
        <f t="shared" si="2"/>
        <v>1</v>
      </c>
      <c r="C23" s="205">
        <v>15</v>
      </c>
      <c r="D23" s="61" t="s">
        <v>13</v>
      </c>
      <c r="E23" s="61" t="s">
        <v>54</v>
      </c>
      <c r="F23" s="262" t="s">
        <v>264</v>
      </c>
      <c r="G23" s="262" t="s">
        <v>265</v>
      </c>
      <c r="H23" s="167">
        <f t="shared" si="4"/>
        <v>1</v>
      </c>
      <c r="I23" s="71" t="s">
        <v>191</v>
      </c>
      <c r="J23" s="160" t="s">
        <v>55</v>
      </c>
      <c r="K23" s="98"/>
      <c r="L23" s="90" t="s">
        <v>80</v>
      </c>
      <c r="M23" s="72" t="s">
        <v>166</v>
      </c>
      <c r="N23" s="187">
        <v>0</v>
      </c>
      <c r="O23" s="187">
        <v>0</v>
      </c>
      <c r="P23" s="65"/>
      <c r="Q23" s="65"/>
      <c r="R23" s="66"/>
      <c r="S23" s="66"/>
      <c r="T23" s="66"/>
      <c r="U23" s="66"/>
      <c r="V23" s="66"/>
      <c r="W23" s="66"/>
      <c r="X23" s="66"/>
      <c r="Y23" s="66"/>
    </row>
    <row r="24" spans="1:25" s="169" customFormat="1" ht="16.2" customHeight="1">
      <c r="A24" s="182"/>
      <c r="B24" s="204">
        <f t="shared" si="2"/>
        <v>1</v>
      </c>
      <c r="C24" s="205">
        <v>16</v>
      </c>
      <c r="D24" s="183" t="s">
        <v>119</v>
      </c>
      <c r="E24" s="183" t="s">
        <v>54</v>
      </c>
      <c r="F24" s="184" t="s">
        <v>120</v>
      </c>
      <c r="G24" s="180" t="s">
        <v>121</v>
      </c>
      <c r="H24" s="186">
        <f t="shared" si="4"/>
        <v>1</v>
      </c>
      <c r="I24" s="178" t="s">
        <v>122</v>
      </c>
      <c r="J24" s="179" t="s">
        <v>123</v>
      </c>
      <c r="K24" s="192"/>
      <c r="L24" s="181" t="s">
        <v>81</v>
      </c>
      <c r="M24" s="185" t="s">
        <v>124</v>
      </c>
      <c r="N24" s="187">
        <v>0</v>
      </c>
      <c r="O24" s="187">
        <v>0</v>
      </c>
      <c r="P24" s="188"/>
      <c r="Q24" s="191"/>
      <c r="R24" s="189"/>
      <c r="S24" s="189"/>
      <c r="T24" s="189"/>
      <c r="U24" s="189"/>
      <c r="V24" s="189"/>
      <c r="W24" s="189"/>
      <c r="X24" s="189"/>
      <c r="Y24" s="189"/>
    </row>
    <row r="25" spans="1:25" s="169" customFormat="1" ht="16.2" customHeight="1">
      <c r="A25" s="182"/>
      <c r="B25" s="204">
        <f t="shared" si="2"/>
        <v>1</v>
      </c>
      <c r="C25" s="205">
        <v>17</v>
      </c>
      <c r="D25" s="183" t="s">
        <v>119</v>
      </c>
      <c r="E25" s="183" t="s">
        <v>54</v>
      </c>
      <c r="F25" s="184" t="s">
        <v>125</v>
      </c>
      <c r="G25" s="180" t="s">
        <v>121</v>
      </c>
      <c r="H25" s="186">
        <f t="shared" si="4"/>
        <v>1</v>
      </c>
      <c r="I25" s="178" t="s">
        <v>126</v>
      </c>
      <c r="J25" s="179" t="s">
        <v>123</v>
      </c>
      <c r="K25" s="186"/>
      <c r="L25" s="181" t="s">
        <v>81</v>
      </c>
      <c r="M25" s="185" t="s">
        <v>124</v>
      </c>
      <c r="N25" s="187">
        <v>0</v>
      </c>
      <c r="O25" s="187">
        <v>0</v>
      </c>
      <c r="P25" s="188"/>
      <c r="Q25" s="191"/>
      <c r="R25" s="189"/>
      <c r="S25" s="189"/>
      <c r="T25" s="189"/>
      <c r="U25" s="189"/>
      <c r="V25" s="189"/>
      <c r="W25" s="189"/>
      <c r="X25" s="189"/>
      <c r="Y25" s="189"/>
    </row>
    <row r="26" spans="1:25" s="213" customFormat="1" ht="16.05" customHeight="1">
      <c r="A26" s="217"/>
      <c r="B26" s="227">
        <f t="shared" si="2"/>
        <v>1</v>
      </c>
      <c r="C26" s="205">
        <v>18</v>
      </c>
      <c r="D26" s="218" t="s">
        <v>174</v>
      </c>
      <c r="E26" s="218" t="s">
        <v>175</v>
      </c>
      <c r="F26" s="236" t="s">
        <v>192</v>
      </c>
      <c r="G26" s="228" t="s">
        <v>176</v>
      </c>
      <c r="H26" s="220">
        <f t="shared" si="4"/>
        <v>1</v>
      </c>
      <c r="I26" s="219" t="s">
        <v>177</v>
      </c>
      <c r="J26" s="216" t="s">
        <v>178</v>
      </c>
      <c r="K26" s="221"/>
      <c r="L26" s="210" t="s">
        <v>79</v>
      </c>
      <c r="M26" s="229" t="s">
        <v>179</v>
      </c>
      <c r="N26" s="222">
        <v>0</v>
      </c>
      <c r="O26" s="222">
        <f t="shared" ref="O26:O28" si="5">N26*H26</f>
        <v>0</v>
      </c>
      <c r="P26" s="223"/>
      <c r="Q26" s="225"/>
      <c r="R26" s="189"/>
      <c r="S26" s="189"/>
      <c r="T26" s="189"/>
      <c r="U26" s="189"/>
      <c r="V26" s="189"/>
      <c r="W26" s="189"/>
      <c r="X26" s="189"/>
      <c r="Y26" s="189"/>
    </row>
    <row r="27" spans="1:25" s="213" customFormat="1" ht="16.05" customHeight="1">
      <c r="A27" s="217"/>
      <c r="B27" s="227">
        <f t="shared" ref="B27" si="6">(H27*$H$5)</f>
        <v>1</v>
      </c>
      <c r="C27" s="205">
        <v>19</v>
      </c>
      <c r="D27" s="263" t="s">
        <v>174</v>
      </c>
      <c r="E27" s="263" t="s">
        <v>180</v>
      </c>
      <c r="F27" s="264" t="s">
        <v>277</v>
      </c>
      <c r="G27" s="265" t="s">
        <v>181</v>
      </c>
      <c r="H27" s="266">
        <f t="shared" ref="H27" si="7">LEN(I27)-LEN(SUBSTITUTE(I27,",",""))+1</f>
        <v>1</v>
      </c>
      <c r="I27" s="267" t="s">
        <v>274</v>
      </c>
      <c r="J27" s="216" t="s">
        <v>182</v>
      </c>
      <c r="K27" s="221"/>
      <c r="L27" s="210" t="s">
        <v>79</v>
      </c>
      <c r="M27" s="229" t="s">
        <v>166</v>
      </c>
      <c r="N27" s="222">
        <v>0</v>
      </c>
      <c r="O27" s="222">
        <f t="shared" ref="O27" si="8">N27*H27</f>
        <v>0</v>
      </c>
      <c r="P27" s="223"/>
      <c r="Q27" s="225"/>
      <c r="R27" s="189"/>
      <c r="S27" s="189"/>
      <c r="T27" s="189"/>
      <c r="U27" s="189"/>
      <c r="V27" s="189"/>
      <c r="W27" s="189"/>
      <c r="X27" s="189"/>
      <c r="Y27" s="189"/>
    </row>
    <row r="28" spans="1:25" s="213" customFormat="1" ht="16.05" customHeight="1">
      <c r="A28" s="217"/>
      <c r="B28" s="227">
        <f t="shared" si="2"/>
        <v>1</v>
      </c>
      <c r="C28" s="205">
        <v>20</v>
      </c>
      <c r="D28" s="218" t="s">
        <v>174</v>
      </c>
      <c r="E28" s="218" t="s">
        <v>180</v>
      </c>
      <c r="F28" s="236" t="s">
        <v>193</v>
      </c>
      <c r="G28" s="228" t="s">
        <v>181</v>
      </c>
      <c r="H28" s="220">
        <f t="shared" si="4"/>
        <v>1</v>
      </c>
      <c r="I28" s="219" t="s">
        <v>184</v>
      </c>
      <c r="J28" s="216" t="s">
        <v>182</v>
      </c>
      <c r="K28" s="221"/>
      <c r="L28" s="210" t="s">
        <v>79</v>
      </c>
      <c r="M28" s="229" t="s">
        <v>183</v>
      </c>
      <c r="N28" s="222">
        <v>0</v>
      </c>
      <c r="O28" s="222">
        <f t="shared" si="5"/>
        <v>0</v>
      </c>
      <c r="P28" s="223"/>
      <c r="Q28" s="225"/>
      <c r="R28" s="189"/>
      <c r="S28" s="189"/>
      <c r="T28" s="189"/>
      <c r="U28" s="189"/>
      <c r="V28" s="189"/>
      <c r="W28" s="189"/>
      <c r="X28" s="189"/>
      <c r="Y28" s="189"/>
    </row>
    <row r="29" spans="1:25" s="213" customFormat="1" ht="16.05" customHeight="1">
      <c r="A29" s="217"/>
      <c r="B29" s="227">
        <f t="shared" ref="B29" si="9">(H29*$H$5)</f>
        <v>1</v>
      </c>
      <c r="C29" s="205">
        <v>21</v>
      </c>
      <c r="D29" s="263" t="s">
        <v>174</v>
      </c>
      <c r="E29" s="263" t="s">
        <v>180</v>
      </c>
      <c r="F29" s="264" t="s">
        <v>276</v>
      </c>
      <c r="G29" s="265" t="s">
        <v>181</v>
      </c>
      <c r="H29" s="266">
        <f t="shared" ref="H29" si="10">LEN(I29)-LEN(SUBSTITUTE(I29,",",""))+1</f>
        <v>1</v>
      </c>
      <c r="I29" s="267" t="s">
        <v>275</v>
      </c>
      <c r="J29" s="216" t="s">
        <v>182</v>
      </c>
      <c r="K29" s="221"/>
      <c r="L29" s="210" t="s">
        <v>79</v>
      </c>
      <c r="M29" s="229" t="s">
        <v>166</v>
      </c>
      <c r="N29" s="222">
        <v>0</v>
      </c>
      <c r="O29" s="222">
        <f t="shared" ref="O29" si="11">N29*H29</f>
        <v>0</v>
      </c>
      <c r="P29" s="223"/>
      <c r="Q29" s="225"/>
      <c r="R29" s="189"/>
      <c r="S29" s="189"/>
      <c r="T29" s="189"/>
      <c r="U29" s="189"/>
      <c r="V29" s="189"/>
      <c r="W29" s="189"/>
      <c r="X29" s="189"/>
      <c r="Y29" s="189"/>
    </row>
    <row r="30" spans="1:25" ht="16.2" customHeight="1">
      <c r="A30" s="58"/>
      <c r="B30" s="204">
        <f t="shared" si="2"/>
        <v>3</v>
      </c>
      <c r="C30" s="205">
        <v>22</v>
      </c>
      <c r="D30" s="61" t="s">
        <v>14</v>
      </c>
      <c r="E30" s="61" t="s">
        <v>51</v>
      </c>
      <c r="F30" s="71" t="s">
        <v>46</v>
      </c>
      <c r="G30" s="92"/>
      <c r="H30" s="63">
        <f t="shared" ref="H30:H47" si="12">LEN(I30)-LEN(SUBSTITUTE(I30,",",""))+1</f>
        <v>3</v>
      </c>
      <c r="I30" s="237" t="s">
        <v>127</v>
      </c>
      <c r="J30" s="160" t="s">
        <v>53</v>
      </c>
      <c r="K30" s="97"/>
      <c r="L30" s="90" t="s">
        <v>81</v>
      </c>
      <c r="M30" s="72" t="s">
        <v>25</v>
      </c>
      <c r="N30" s="187">
        <v>0</v>
      </c>
      <c r="O30" s="187">
        <v>0</v>
      </c>
      <c r="P30" s="65"/>
      <c r="Q30" s="70"/>
    </row>
    <row r="31" spans="1:25" ht="16.2" customHeight="1">
      <c r="A31" s="58"/>
      <c r="B31" s="204">
        <f t="shared" si="2"/>
        <v>2</v>
      </c>
      <c r="C31" s="205">
        <v>23</v>
      </c>
      <c r="D31" s="61" t="s">
        <v>14</v>
      </c>
      <c r="E31" s="61" t="s">
        <v>51</v>
      </c>
      <c r="F31" s="71" t="s">
        <v>129</v>
      </c>
      <c r="G31" s="92"/>
      <c r="H31" s="63">
        <f t="shared" si="12"/>
        <v>2</v>
      </c>
      <c r="I31" s="237" t="s">
        <v>128</v>
      </c>
      <c r="J31" s="160" t="s">
        <v>53</v>
      </c>
      <c r="K31" s="69"/>
      <c r="L31" s="90" t="s">
        <v>81</v>
      </c>
      <c r="M31" s="72" t="s">
        <v>26</v>
      </c>
      <c r="N31" s="187">
        <v>0</v>
      </c>
      <c r="O31" s="187">
        <v>0</v>
      </c>
      <c r="P31" s="65"/>
      <c r="Q31" s="70"/>
    </row>
    <row r="32" spans="1:25" s="67" customFormat="1" ht="16.2" customHeight="1">
      <c r="A32" s="58"/>
      <c r="B32" s="204">
        <f t="shared" si="2"/>
        <v>4</v>
      </c>
      <c r="C32" s="205">
        <v>24</v>
      </c>
      <c r="D32" s="61" t="s">
        <v>14</v>
      </c>
      <c r="E32" s="61" t="s">
        <v>51</v>
      </c>
      <c r="F32" s="91" t="s">
        <v>43</v>
      </c>
      <c r="G32" s="92"/>
      <c r="H32" s="63">
        <f t="shared" si="12"/>
        <v>4</v>
      </c>
      <c r="I32" s="237" t="s">
        <v>130</v>
      </c>
      <c r="J32" s="160" t="s">
        <v>53</v>
      </c>
      <c r="K32" s="97"/>
      <c r="L32" s="90" t="s">
        <v>81</v>
      </c>
      <c r="M32" s="69" t="s">
        <v>12</v>
      </c>
      <c r="N32" s="187">
        <v>0</v>
      </c>
      <c r="O32" s="187">
        <v>0</v>
      </c>
      <c r="P32" s="65"/>
      <c r="Q32" s="70"/>
      <c r="R32" s="66"/>
      <c r="S32" s="66"/>
      <c r="T32" s="66"/>
      <c r="U32" s="66"/>
      <c r="V32" s="66"/>
      <c r="W32" s="66"/>
      <c r="X32" s="66"/>
      <c r="Y32" s="66"/>
    </row>
    <row r="33" spans="1:25" s="190" customFormat="1" ht="16.2" customHeight="1">
      <c r="A33" s="182"/>
      <c r="B33" s="204">
        <f t="shared" si="2"/>
        <v>2</v>
      </c>
      <c r="C33" s="205">
        <v>25</v>
      </c>
      <c r="D33" s="194" t="s">
        <v>27</v>
      </c>
      <c r="E33" s="183" t="s">
        <v>51</v>
      </c>
      <c r="F33" s="180" t="s">
        <v>131</v>
      </c>
      <c r="G33" s="180"/>
      <c r="H33" s="186">
        <f t="shared" si="12"/>
        <v>2</v>
      </c>
      <c r="I33" s="238" t="s">
        <v>132</v>
      </c>
      <c r="J33" s="195" t="s">
        <v>52</v>
      </c>
      <c r="K33" s="185"/>
      <c r="L33" s="181" t="s">
        <v>80</v>
      </c>
      <c r="M33" s="193">
        <v>1608</v>
      </c>
      <c r="N33" s="187">
        <v>0</v>
      </c>
      <c r="O33" s="187">
        <v>0</v>
      </c>
      <c r="P33" s="188"/>
      <c r="Q33" s="191"/>
      <c r="R33" s="189"/>
      <c r="S33" s="189"/>
      <c r="T33" s="189"/>
      <c r="U33" s="189"/>
      <c r="V33" s="189"/>
      <c r="W33" s="189"/>
      <c r="X33" s="189"/>
      <c r="Y33" s="189"/>
    </row>
    <row r="34" spans="1:25" s="190" customFormat="1" ht="16.2" customHeight="1">
      <c r="A34" s="182"/>
      <c r="B34" s="204">
        <f t="shared" si="2"/>
        <v>4</v>
      </c>
      <c r="C34" s="205">
        <v>26</v>
      </c>
      <c r="D34" s="194" t="s">
        <v>27</v>
      </c>
      <c r="E34" s="183" t="s">
        <v>51</v>
      </c>
      <c r="F34" s="180" t="s">
        <v>134</v>
      </c>
      <c r="G34" s="180"/>
      <c r="H34" s="186">
        <f t="shared" si="12"/>
        <v>4</v>
      </c>
      <c r="I34" s="238" t="s">
        <v>133</v>
      </c>
      <c r="J34" s="195" t="s">
        <v>52</v>
      </c>
      <c r="K34" s="185"/>
      <c r="L34" s="181" t="s">
        <v>80</v>
      </c>
      <c r="M34" s="193">
        <v>1608</v>
      </c>
      <c r="N34" s="187">
        <v>0</v>
      </c>
      <c r="O34" s="187">
        <v>0</v>
      </c>
      <c r="P34" s="188"/>
      <c r="Q34" s="191"/>
      <c r="R34" s="189"/>
      <c r="S34" s="189"/>
      <c r="T34" s="189"/>
      <c r="U34" s="189"/>
      <c r="V34" s="189"/>
      <c r="W34" s="189"/>
      <c r="X34" s="189"/>
      <c r="Y34" s="189"/>
    </row>
    <row r="35" spans="1:25" s="190" customFormat="1" ht="25.95" customHeight="1">
      <c r="A35" s="182"/>
      <c r="B35" s="204">
        <f t="shared" si="2"/>
        <v>17</v>
      </c>
      <c r="C35" s="205">
        <v>27</v>
      </c>
      <c r="D35" s="194" t="s">
        <v>27</v>
      </c>
      <c r="E35" s="183" t="s">
        <v>51</v>
      </c>
      <c r="F35" s="180" t="s">
        <v>135</v>
      </c>
      <c r="G35" s="180"/>
      <c r="H35" s="186">
        <f t="shared" ref="H35:H36" si="13">LEN(I35)-LEN(SUBSTITUTE(I35,",",""))+1</f>
        <v>17</v>
      </c>
      <c r="I35" s="238" t="s">
        <v>195</v>
      </c>
      <c r="J35" s="195" t="s">
        <v>52</v>
      </c>
      <c r="K35" s="185"/>
      <c r="L35" s="181" t="s">
        <v>80</v>
      </c>
      <c r="M35" s="193">
        <v>1608</v>
      </c>
      <c r="N35" s="187">
        <v>0</v>
      </c>
      <c r="O35" s="187">
        <v>0</v>
      </c>
      <c r="P35" s="188"/>
      <c r="Q35" s="191"/>
      <c r="R35" s="189"/>
      <c r="S35" s="189"/>
      <c r="T35" s="189"/>
      <c r="U35" s="189"/>
      <c r="V35" s="189"/>
      <c r="W35" s="189"/>
      <c r="X35" s="189"/>
      <c r="Y35" s="189"/>
    </row>
    <row r="36" spans="1:25" s="190" customFormat="1" ht="16.2" customHeight="1">
      <c r="A36" s="182"/>
      <c r="B36" s="204">
        <f t="shared" si="2"/>
        <v>11</v>
      </c>
      <c r="C36" s="205">
        <v>28</v>
      </c>
      <c r="D36" s="194" t="s">
        <v>27</v>
      </c>
      <c r="E36" s="183" t="s">
        <v>51</v>
      </c>
      <c r="F36" s="197" t="s">
        <v>136</v>
      </c>
      <c r="G36" s="180"/>
      <c r="H36" s="186">
        <f t="shared" si="13"/>
        <v>11</v>
      </c>
      <c r="I36" s="238" t="s">
        <v>194</v>
      </c>
      <c r="J36" s="195" t="s">
        <v>52</v>
      </c>
      <c r="K36" s="185"/>
      <c r="L36" s="181" t="s">
        <v>80</v>
      </c>
      <c r="M36" s="193" t="s">
        <v>137</v>
      </c>
      <c r="N36" s="187">
        <v>0</v>
      </c>
      <c r="O36" s="187">
        <v>0</v>
      </c>
      <c r="P36" s="188"/>
      <c r="Q36" s="191"/>
      <c r="R36" s="189"/>
      <c r="S36" s="189"/>
      <c r="T36" s="189"/>
      <c r="U36" s="189"/>
      <c r="V36" s="189"/>
      <c r="W36" s="189"/>
      <c r="X36" s="189"/>
      <c r="Y36" s="189"/>
    </row>
    <row r="37" spans="1:25" s="67" customFormat="1" ht="16.2" customHeight="1">
      <c r="A37" s="58"/>
      <c r="B37" s="204">
        <f t="shared" si="2"/>
        <v>9</v>
      </c>
      <c r="C37" s="205">
        <v>29</v>
      </c>
      <c r="D37" s="73" t="s">
        <v>27</v>
      </c>
      <c r="E37" s="61" t="s">
        <v>51</v>
      </c>
      <c r="F37" s="198" t="s">
        <v>138</v>
      </c>
      <c r="G37" s="92"/>
      <c r="H37" s="63">
        <f t="shared" si="12"/>
        <v>9</v>
      </c>
      <c r="I37" s="239" t="s">
        <v>196</v>
      </c>
      <c r="J37" s="173" t="s">
        <v>52</v>
      </c>
      <c r="K37" s="69"/>
      <c r="L37" s="90" t="s">
        <v>80</v>
      </c>
      <c r="M37" s="72" t="s">
        <v>139</v>
      </c>
      <c r="N37" s="187">
        <v>0</v>
      </c>
      <c r="O37" s="187">
        <v>0</v>
      </c>
      <c r="P37" s="65"/>
      <c r="Q37" s="70"/>
      <c r="R37" s="66"/>
      <c r="S37" s="66"/>
      <c r="T37" s="66"/>
      <c r="U37" s="66"/>
      <c r="V37" s="66"/>
      <c r="W37" s="66"/>
      <c r="X37" s="66"/>
      <c r="Y37" s="66"/>
    </row>
    <row r="38" spans="1:25" s="190" customFormat="1" ht="16.2" customHeight="1">
      <c r="A38" s="182"/>
      <c r="B38" s="204">
        <f t="shared" si="2"/>
        <v>2</v>
      </c>
      <c r="C38" s="205">
        <v>30</v>
      </c>
      <c r="D38" s="194" t="s">
        <v>27</v>
      </c>
      <c r="E38" s="183" t="s">
        <v>51</v>
      </c>
      <c r="F38" s="180" t="s">
        <v>141</v>
      </c>
      <c r="G38" s="180"/>
      <c r="H38" s="186">
        <f t="shared" ref="H38" si="14">LEN(I38)-LEN(SUBSTITUTE(I38,",",""))+1</f>
        <v>2</v>
      </c>
      <c r="I38" s="199" t="s">
        <v>142</v>
      </c>
      <c r="J38" s="195" t="s">
        <v>52</v>
      </c>
      <c r="K38" s="185"/>
      <c r="L38" s="181" t="s">
        <v>80</v>
      </c>
      <c r="M38" s="193">
        <v>1608</v>
      </c>
      <c r="N38" s="187">
        <v>0</v>
      </c>
      <c r="O38" s="187">
        <v>0</v>
      </c>
      <c r="P38" s="188"/>
      <c r="Q38" s="191"/>
      <c r="R38" s="189"/>
      <c r="S38" s="189"/>
      <c r="T38" s="189"/>
      <c r="U38" s="189"/>
      <c r="V38" s="189"/>
      <c r="W38" s="189"/>
      <c r="X38" s="189"/>
      <c r="Y38" s="189"/>
    </row>
    <row r="39" spans="1:25" s="67" customFormat="1" ht="16.2" customHeight="1">
      <c r="A39" s="58"/>
      <c r="B39" s="204">
        <f t="shared" si="2"/>
        <v>2</v>
      </c>
      <c r="C39" s="205">
        <v>31</v>
      </c>
      <c r="D39" s="73" t="s">
        <v>27</v>
      </c>
      <c r="E39" s="61" t="s">
        <v>51</v>
      </c>
      <c r="F39" s="180" t="s">
        <v>144</v>
      </c>
      <c r="G39" s="92"/>
      <c r="H39" s="63">
        <f t="shared" si="12"/>
        <v>2</v>
      </c>
      <c r="I39" s="199" t="s">
        <v>143</v>
      </c>
      <c r="J39" s="173" t="s">
        <v>52</v>
      </c>
      <c r="K39" s="69"/>
      <c r="L39" s="90" t="s">
        <v>80</v>
      </c>
      <c r="M39" s="72" t="s">
        <v>137</v>
      </c>
      <c r="N39" s="187">
        <v>0</v>
      </c>
      <c r="O39" s="187">
        <v>0</v>
      </c>
      <c r="P39" s="65"/>
      <c r="Q39" s="70"/>
      <c r="R39" s="66"/>
      <c r="S39" s="66"/>
      <c r="T39" s="66"/>
      <c r="U39" s="66"/>
      <c r="V39" s="66"/>
      <c r="W39" s="66"/>
      <c r="X39" s="66"/>
      <c r="Y39" s="66"/>
    </row>
    <row r="40" spans="1:25" s="190" customFormat="1" ht="25.95" customHeight="1">
      <c r="A40" s="182"/>
      <c r="B40" s="204">
        <f t="shared" si="2"/>
        <v>12</v>
      </c>
      <c r="C40" s="205">
        <v>32</v>
      </c>
      <c r="D40" s="183" t="s">
        <v>28</v>
      </c>
      <c r="E40" s="183" t="s">
        <v>49</v>
      </c>
      <c r="F40" s="201" t="s">
        <v>154</v>
      </c>
      <c r="G40" s="180"/>
      <c r="H40" s="186">
        <f t="shared" si="12"/>
        <v>12</v>
      </c>
      <c r="I40" s="255" t="s">
        <v>281</v>
      </c>
      <c r="J40" s="179" t="s">
        <v>50</v>
      </c>
      <c r="K40" s="196"/>
      <c r="L40" s="183" t="s">
        <v>84</v>
      </c>
      <c r="M40" s="186">
        <v>1608</v>
      </c>
      <c r="N40" s="187">
        <v>0</v>
      </c>
      <c r="O40" s="187">
        <v>0</v>
      </c>
      <c r="P40" s="188"/>
      <c r="Q40" s="188"/>
      <c r="R40" s="189"/>
      <c r="S40" s="189"/>
      <c r="T40" s="189"/>
      <c r="U40" s="189"/>
      <c r="V40" s="189"/>
      <c r="W40" s="189"/>
      <c r="X40" s="189"/>
      <c r="Y40" s="189"/>
    </row>
    <row r="41" spans="1:25" s="190" customFormat="1" ht="16.2" customHeight="1">
      <c r="A41" s="182"/>
      <c r="B41" s="204">
        <f t="shared" si="2"/>
        <v>2</v>
      </c>
      <c r="C41" s="205">
        <v>33</v>
      </c>
      <c r="D41" s="183" t="s">
        <v>28</v>
      </c>
      <c r="E41" s="183" t="s">
        <v>49</v>
      </c>
      <c r="F41" s="200" t="s">
        <v>152</v>
      </c>
      <c r="G41" s="184"/>
      <c r="H41" s="186">
        <f t="shared" ref="H41:H45" si="15">LEN(I41)-LEN(SUBSTITUTE(I41,",",""))+1</f>
        <v>2</v>
      </c>
      <c r="I41" s="241" t="s">
        <v>158</v>
      </c>
      <c r="J41" s="179" t="s">
        <v>50</v>
      </c>
      <c r="K41" s="185"/>
      <c r="L41" s="183" t="s">
        <v>84</v>
      </c>
      <c r="M41" s="186">
        <v>1608</v>
      </c>
      <c r="N41" s="187">
        <v>0</v>
      </c>
      <c r="O41" s="187">
        <v>0</v>
      </c>
      <c r="P41" s="188"/>
      <c r="Q41" s="191"/>
      <c r="R41" s="189"/>
      <c r="S41" s="189"/>
      <c r="T41" s="189"/>
      <c r="U41" s="189"/>
      <c r="V41" s="189"/>
      <c r="W41" s="189"/>
      <c r="X41" s="189"/>
      <c r="Y41" s="189"/>
    </row>
    <row r="42" spans="1:25" s="190" customFormat="1" ht="16.2" customHeight="1">
      <c r="A42" s="182"/>
      <c r="B42" s="204">
        <f t="shared" si="2"/>
        <v>2</v>
      </c>
      <c r="C42" s="205">
        <v>34</v>
      </c>
      <c r="D42" s="183" t="s">
        <v>28</v>
      </c>
      <c r="E42" s="183" t="s">
        <v>49</v>
      </c>
      <c r="F42" s="240" t="s">
        <v>197</v>
      </c>
      <c r="G42" s="180"/>
      <c r="H42" s="186">
        <f t="shared" si="15"/>
        <v>2</v>
      </c>
      <c r="I42" s="241" t="s">
        <v>198</v>
      </c>
      <c r="J42" s="179" t="s">
        <v>50</v>
      </c>
      <c r="K42" s="196"/>
      <c r="L42" s="183" t="s">
        <v>84</v>
      </c>
      <c r="M42" s="186">
        <v>1608</v>
      </c>
      <c r="N42" s="187">
        <v>0</v>
      </c>
      <c r="O42" s="187">
        <v>0</v>
      </c>
      <c r="P42" s="188"/>
      <c r="Q42" s="188"/>
      <c r="R42" s="189"/>
      <c r="S42" s="189"/>
      <c r="T42" s="189"/>
      <c r="U42" s="189"/>
      <c r="V42" s="189"/>
      <c r="W42" s="189"/>
      <c r="X42" s="189"/>
      <c r="Y42" s="189"/>
    </row>
    <row r="43" spans="1:25" s="190" customFormat="1" ht="16.2" customHeight="1">
      <c r="A43" s="182"/>
      <c r="B43" s="204">
        <f t="shared" si="2"/>
        <v>1</v>
      </c>
      <c r="C43" s="205">
        <v>35</v>
      </c>
      <c r="D43" s="183" t="s">
        <v>28</v>
      </c>
      <c r="E43" s="183" t="s">
        <v>49</v>
      </c>
      <c r="F43" s="200" t="s">
        <v>146</v>
      </c>
      <c r="G43" s="180"/>
      <c r="H43" s="186">
        <f t="shared" si="15"/>
        <v>1</v>
      </c>
      <c r="I43" s="289" t="s">
        <v>299</v>
      </c>
      <c r="J43" s="179" t="s">
        <v>50</v>
      </c>
      <c r="K43" s="196"/>
      <c r="L43" s="183" t="s">
        <v>84</v>
      </c>
      <c r="M43" s="186">
        <v>1608</v>
      </c>
      <c r="N43" s="187">
        <v>0</v>
      </c>
      <c r="O43" s="187">
        <v>0</v>
      </c>
      <c r="P43" s="188"/>
      <c r="Q43" s="191"/>
      <c r="R43" s="189"/>
      <c r="S43" s="189"/>
      <c r="T43" s="189"/>
      <c r="U43" s="189"/>
      <c r="V43" s="189"/>
      <c r="W43" s="189"/>
      <c r="X43" s="189"/>
      <c r="Y43" s="189"/>
    </row>
    <row r="44" spans="1:25" s="190" customFormat="1" ht="16.2" customHeight="1">
      <c r="A44" s="182"/>
      <c r="B44" s="204">
        <f t="shared" si="2"/>
        <v>2</v>
      </c>
      <c r="C44" s="205">
        <v>36</v>
      </c>
      <c r="D44" s="183" t="s">
        <v>28</v>
      </c>
      <c r="E44" s="183" t="s">
        <v>49</v>
      </c>
      <c r="F44" s="200" t="s">
        <v>148</v>
      </c>
      <c r="G44" s="180"/>
      <c r="H44" s="186">
        <f t="shared" si="15"/>
        <v>2</v>
      </c>
      <c r="I44" s="241" t="s">
        <v>155</v>
      </c>
      <c r="J44" s="179" t="s">
        <v>50</v>
      </c>
      <c r="K44" s="185"/>
      <c r="L44" s="183" t="s">
        <v>84</v>
      </c>
      <c r="M44" s="186">
        <v>1608</v>
      </c>
      <c r="N44" s="187">
        <v>0</v>
      </c>
      <c r="O44" s="187">
        <v>0</v>
      </c>
      <c r="P44" s="188"/>
      <c r="Q44" s="188"/>
      <c r="R44" s="189"/>
      <c r="S44" s="189"/>
      <c r="T44" s="189"/>
      <c r="U44" s="189"/>
      <c r="V44" s="189"/>
      <c r="W44" s="189"/>
      <c r="X44" s="189"/>
      <c r="Y44" s="189"/>
    </row>
    <row r="45" spans="1:25" s="190" customFormat="1" ht="25.95" customHeight="1">
      <c r="A45" s="182"/>
      <c r="B45" s="204">
        <f t="shared" si="2"/>
        <v>17</v>
      </c>
      <c r="C45" s="205">
        <v>37</v>
      </c>
      <c r="D45" s="183" t="s">
        <v>28</v>
      </c>
      <c r="E45" s="183" t="s">
        <v>49</v>
      </c>
      <c r="F45" s="200" t="s">
        <v>153</v>
      </c>
      <c r="G45" s="180"/>
      <c r="H45" s="186">
        <f t="shared" si="15"/>
        <v>17</v>
      </c>
      <c r="I45" s="289" t="s">
        <v>300</v>
      </c>
      <c r="J45" s="179" t="s">
        <v>50</v>
      </c>
      <c r="K45" s="196"/>
      <c r="L45" s="183" t="s">
        <v>84</v>
      </c>
      <c r="M45" s="186">
        <v>1608</v>
      </c>
      <c r="N45" s="187">
        <v>0</v>
      </c>
      <c r="O45" s="187">
        <v>0</v>
      </c>
      <c r="P45" s="188"/>
      <c r="Q45" s="191"/>
      <c r="R45" s="189"/>
      <c r="S45" s="189"/>
      <c r="T45" s="189"/>
      <c r="U45" s="189"/>
      <c r="V45" s="189"/>
      <c r="W45" s="189"/>
      <c r="X45" s="189"/>
      <c r="Y45" s="189"/>
    </row>
    <row r="46" spans="1:25" s="190" customFormat="1" ht="16.2" customHeight="1">
      <c r="A46" s="182"/>
      <c r="B46" s="204">
        <f t="shared" si="2"/>
        <v>2</v>
      </c>
      <c r="C46" s="205">
        <v>38</v>
      </c>
      <c r="D46" s="183" t="s">
        <v>28</v>
      </c>
      <c r="E46" s="183" t="s">
        <v>49</v>
      </c>
      <c r="F46" s="200" t="s">
        <v>145</v>
      </c>
      <c r="G46" s="184"/>
      <c r="H46" s="186">
        <f t="shared" si="12"/>
        <v>2</v>
      </c>
      <c r="I46" s="242" t="s">
        <v>199</v>
      </c>
      <c r="J46" s="179" t="s">
        <v>50</v>
      </c>
      <c r="K46" s="185"/>
      <c r="L46" s="183" t="s">
        <v>84</v>
      </c>
      <c r="M46" s="186">
        <v>1608</v>
      </c>
      <c r="N46" s="187">
        <v>0</v>
      </c>
      <c r="O46" s="187">
        <v>0</v>
      </c>
      <c r="P46" s="188"/>
      <c r="Q46" s="191"/>
      <c r="R46" s="189"/>
      <c r="S46" s="189"/>
      <c r="T46" s="189"/>
      <c r="U46" s="189"/>
      <c r="V46" s="189"/>
      <c r="W46" s="189"/>
      <c r="X46" s="189"/>
      <c r="Y46" s="189"/>
    </row>
    <row r="47" spans="1:25" s="190" customFormat="1" ht="16.2" customHeight="1">
      <c r="A47" s="182"/>
      <c r="B47" s="204">
        <f t="shared" si="2"/>
        <v>7</v>
      </c>
      <c r="C47" s="205">
        <v>39</v>
      </c>
      <c r="D47" s="183" t="s">
        <v>28</v>
      </c>
      <c r="E47" s="183" t="s">
        <v>49</v>
      </c>
      <c r="F47" s="200" t="s">
        <v>147</v>
      </c>
      <c r="G47" s="180"/>
      <c r="H47" s="186">
        <f t="shared" si="12"/>
        <v>7</v>
      </c>
      <c r="I47" s="254" t="s">
        <v>258</v>
      </c>
      <c r="J47" s="179" t="s">
        <v>50</v>
      </c>
      <c r="K47" s="196"/>
      <c r="L47" s="183" t="s">
        <v>84</v>
      </c>
      <c r="M47" s="186">
        <v>1608</v>
      </c>
      <c r="N47" s="187">
        <v>0</v>
      </c>
      <c r="O47" s="187">
        <v>0</v>
      </c>
      <c r="P47" s="188"/>
      <c r="Q47" s="188"/>
      <c r="R47" s="189"/>
      <c r="S47" s="189"/>
      <c r="T47" s="189"/>
      <c r="U47" s="189"/>
      <c r="V47" s="189"/>
      <c r="W47" s="189"/>
      <c r="X47" s="189"/>
      <c r="Y47" s="189"/>
    </row>
    <row r="48" spans="1:25" s="190" customFormat="1" ht="16.2" customHeight="1">
      <c r="A48" s="182"/>
      <c r="B48" s="204">
        <f t="shared" si="2"/>
        <v>5</v>
      </c>
      <c r="C48" s="205">
        <v>40</v>
      </c>
      <c r="D48" s="183" t="s">
        <v>28</v>
      </c>
      <c r="E48" s="183" t="s">
        <v>49</v>
      </c>
      <c r="F48" s="200" t="s">
        <v>149</v>
      </c>
      <c r="G48" s="180"/>
      <c r="H48" s="186">
        <f t="shared" ref="H48:H52" si="16">LEN(I48)-LEN(SUBSTITUTE(I48,",",""))+1</f>
        <v>5</v>
      </c>
      <c r="I48" s="284" t="s">
        <v>311</v>
      </c>
      <c r="J48" s="179" t="s">
        <v>50</v>
      </c>
      <c r="K48" s="196"/>
      <c r="L48" s="183" t="s">
        <v>84</v>
      </c>
      <c r="M48" s="186">
        <v>1608</v>
      </c>
      <c r="N48" s="187">
        <v>0</v>
      </c>
      <c r="O48" s="187">
        <v>0</v>
      </c>
      <c r="P48" s="188"/>
      <c r="Q48" s="191"/>
      <c r="R48" s="189"/>
      <c r="S48" s="189"/>
      <c r="T48" s="189"/>
      <c r="U48" s="189"/>
      <c r="V48" s="189"/>
      <c r="W48" s="189"/>
      <c r="X48" s="189"/>
      <c r="Y48" s="189"/>
    </row>
    <row r="49" spans="1:25" s="190" customFormat="1" ht="16.2" customHeight="1">
      <c r="A49" s="182"/>
      <c r="B49" s="204">
        <f t="shared" si="2"/>
        <v>2</v>
      </c>
      <c r="C49" s="205">
        <v>41</v>
      </c>
      <c r="D49" s="183" t="s">
        <v>28</v>
      </c>
      <c r="E49" s="183" t="s">
        <v>49</v>
      </c>
      <c r="F49" s="200" t="s">
        <v>150</v>
      </c>
      <c r="G49" s="180"/>
      <c r="H49" s="186">
        <f t="shared" si="16"/>
        <v>2</v>
      </c>
      <c r="I49" s="242" t="s">
        <v>156</v>
      </c>
      <c r="J49" s="179" t="s">
        <v>50</v>
      </c>
      <c r="K49" s="196"/>
      <c r="L49" s="183" t="s">
        <v>84</v>
      </c>
      <c r="M49" s="186">
        <v>1608</v>
      </c>
      <c r="N49" s="187">
        <v>0</v>
      </c>
      <c r="O49" s="187">
        <v>0</v>
      </c>
      <c r="P49" s="188"/>
      <c r="Q49" s="188"/>
      <c r="R49" s="189"/>
      <c r="S49" s="189"/>
      <c r="T49" s="189"/>
      <c r="U49" s="189"/>
      <c r="V49" s="189"/>
      <c r="W49" s="189"/>
      <c r="X49" s="189"/>
      <c r="Y49" s="189"/>
    </row>
    <row r="50" spans="1:25" s="213" customFormat="1" ht="16.2" customHeight="1">
      <c r="A50" s="182"/>
      <c r="B50" s="204">
        <f t="shared" ref="B50" si="17">(H50*$H$5)</f>
        <v>2</v>
      </c>
      <c r="C50" s="205">
        <v>42</v>
      </c>
      <c r="D50" s="206" t="s">
        <v>28</v>
      </c>
      <c r="E50" s="206" t="s">
        <v>49</v>
      </c>
      <c r="F50" s="203" t="s">
        <v>151</v>
      </c>
      <c r="G50" s="180"/>
      <c r="H50" s="186">
        <f t="shared" ref="H50" si="18">LEN(I50)-LEN(SUBSTITUTE(I50,",",""))+1</f>
        <v>2</v>
      </c>
      <c r="I50" s="242" t="s">
        <v>157</v>
      </c>
      <c r="J50" s="179" t="s">
        <v>50</v>
      </c>
      <c r="K50" s="196"/>
      <c r="L50" s="206" t="s">
        <v>84</v>
      </c>
      <c r="M50" s="186">
        <v>1608</v>
      </c>
      <c r="N50" s="207">
        <v>0</v>
      </c>
      <c r="O50" s="207">
        <v>0</v>
      </c>
      <c r="P50" s="188"/>
      <c r="Q50" s="188"/>
      <c r="R50" s="189"/>
      <c r="S50" s="189"/>
      <c r="T50" s="189"/>
      <c r="U50" s="189"/>
      <c r="V50" s="189"/>
      <c r="W50" s="189"/>
      <c r="X50" s="189"/>
      <c r="Y50" s="189"/>
    </row>
    <row r="51" spans="1:25" s="190" customFormat="1" ht="16.2" customHeight="1">
      <c r="A51" s="182"/>
      <c r="B51" s="204">
        <f t="shared" si="2"/>
        <v>0</v>
      </c>
      <c r="C51" s="205">
        <v>43</v>
      </c>
      <c r="D51" s="247" t="s">
        <v>28</v>
      </c>
      <c r="E51" s="247" t="s">
        <v>49</v>
      </c>
      <c r="F51" s="248" t="s">
        <v>256</v>
      </c>
      <c r="G51" s="249"/>
      <c r="H51" s="250" t="s">
        <v>310</v>
      </c>
      <c r="I51" s="256"/>
      <c r="J51" s="252" t="s">
        <v>50</v>
      </c>
      <c r="K51" s="257"/>
      <c r="L51" s="247" t="s">
        <v>255</v>
      </c>
      <c r="M51" s="250">
        <v>1608</v>
      </c>
      <c r="N51" s="187">
        <v>0</v>
      </c>
      <c r="O51" s="187">
        <v>0</v>
      </c>
      <c r="P51" s="188"/>
      <c r="Q51" s="188"/>
      <c r="R51" s="189"/>
      <c r="S51" s="189"/>
      <c r="T51" s="189"/>
      <c r="U51" s="189"/>
      <c r="V51" s="189"/>
      <c r="W51" s="189"/>
      <c r="X51" s="189"/>
      <c r="Y51" s="189"/>
    </row>
    <row r="52" spans="1:25" s="213" customFormat="1" ht="16.2" customHeight="1">
      <c r="A52" s="182"/>
      <c r="B52" s="204">
        <f t="shared" ref="B52" si="19">(H52*$H$5)</f>
        <v>2</v>
      </c>
      <c r="C52" s="205">
        <v>44</v>
      </c>
      <c r="D52" s="247" t="s">
        <v>28</v>
      </c>
      <c r="E52" s="247" t="s">
        <v>49</v>
      </c>
      <c r="F52" s="248" t="s">
        <v>253</v>
      </c>
      <c r="G52" s="249"/>
      <c r="H52" s="250">
        <f t="shared" si="16"/>
        <v>2</v>
      </c>
      <c r="I52" s="251" t="s">
        <v>254</v>
      </c>
      <c r="J52" s="252" t="s">
        <v>50</v>
      </c>
      <c r="K52" s="253"/>
      <c r="L52" s="247" t="s">
        <v>255</v>
      </c>
      <c r="M52" s="250" t="s">
        <v>137</v>
      </c>
      <c r="N52" s="207">
        <v>0</v>
      </c>
      <c r="O52" s="207">
        <v>0</v>
      </c>
      <c r="P52" s="188"/>
      <c r="Q52" s="188"/>
      <c r="R52" s="189"/>
      <c r="S52" s="189"/>
      <c r="T52" s="189"/>
      <c r="U52" s="189"/>
      <c r="V52" s="189"/>
      <c r="W52" s="189"/>
      <c r="X52" s="189"/>
      <c r="Y52" s="189"/>
    </row>
    <row r="53" spans="1:25" s="190" customFormat="1" ht="16.2" customHeight="1">
      <c r="A53" s="182"/>
      <c r="B53" s="204">
        <f t="shared" si="2"/>
        <v>9</v>
      </c>
      <c r="C53" s="205">
        <v>45</v>
      </c>
      <c r="D53" s="183" t="s">
        <v>28</v>
      </c>
      <c r="E53" s="183" t="s">
        <v>49</v>
      </c>
      <c r="F53" s="202" t="s">
        <v>159</v>
      </c>
      <c r="G53" s="180"/>
      <c r="H53" s="186">
        <f t="shared" ref="H53" si="20">LEN(I53)-LEN(SUBSTITUTE(I53,",",""))+1</f>
        <v>9</v>
      </c>
      <c r="I53" s="243" t="s">
        <v>200</v>
      </c>
      <c r="J53" s="179" t="s">
        <v>50</v>
      </c>
      <c r="K53" s="185"/>
      <c r="L53" s="183" t="s">
        <v>84</v>
      </c>
      <c r="M53" s="186" t="s">
        <v>137</v>
      </c>
      <c r="N53" s="187">
        <v>0</v>
      </c>
      <c r="O53" s="187">
        <v>0</v>
      </c>
      <c r="P53" s="188"/>
      <c r="Q53" s="188"/>
      <c r="R53" s="189"/>
      <c r="S53" s="189"/>
      <c r="T53" s="189"/>
      <c r="U53" s="189"/>
      <c r="V53" s="189"/>
      <c r="W53" s="189"/>
      <c r="X53" s="189"/>
      <c r="Y53" s="189"/>
    </row>
    <row r="54" spans="1:25" s="67" customFormat="1" ht="16.2" customHeight="1">
      <c r="A54" s="58"/>
      <c r="B54" s="204">
        <f t="shared" si="2"/>
        <v>9</v>
      </c>
      <c r="C54" s="205">
        <v>46</v>
      </c>
      <c r="D54" s="61" t="s">
        <v>28</v>
      </c>
      <c r="E54" s="61" t="s">
        <v>49</v>
      </c>
      <c r="F54" s="248" t="s">
        <v>257</v>
      </c>
      <c r="G54" s="62"/>
      <c r="H54" s="63">
        <f>LEN(I54)-LEN(SUBSTITUTE(I54,",",""))+1</f>
        <v>9</v>
      </c>
      <c r="I54" s="243" t="s">
        <v>201</v>
      </c>
      <c r="J54" s="160" t="s">
        <v>50</v>
      </c>
      <c r="K54" s="69"/>
      <c r="L54" s="61" t="s">
        <v>84</v>
      </c>
      <c r="M54" s="63" t="s">
        <v>160</v>
      </c>
      <c r="N54" s="187">
        <v>0</v>
      </c>
      <c r="O54" s="187">
        <v>0</v>
      </c>
      <c r="P54" s="65"/>
      <c r="Q54" s="70"/>
      <c r="R54" s="66"/>
      <c r="S54" s="66"/>
      <c r="T54" s="66"/>
      <c r="U54" s="66"/>
      <c r="V54" s="66"/>
      <c r="W54" s="66"/>
      <c r="X54" s="66"/>
      <c r="Y54" s="66"/>
    </row>
    <row r="55" spans="1:25" s="190" customFormat="1" ht="16.2" customHeight="1">
      <c r="A55" s="182"/>
      <c r="B55" s="204">
        <f t="shared" si="2"/>
        <v>5</v>
      </c>
      <c r="C55" s="205">
        <v>47</v>
      </c>
      <c r="D55" s="183" t="s">
        <v>28</v>
      </c>
      <c r="E55" s="183" t="s">
        <v>49</v>
      </c>
      <c r="F55" s="200" t="s">
        <v>140</v>
      </c>
      <c r="G55" s="184"/>
      <c r="H55" s="186">
        <f>LEN(I55)-LEN(SUBSTITUTE(I55,",",""))+1</f>
        <v>5</v>
      </c>
      <c r="I55" s="333" t="s">
        <v>306</v>
      </c>
      <c r="J55" s="179" t="s">
        <v>50</v>
      </c>
      <c r="K55" s="185"/>
      <c r="L55" s="183" t="s">
        <v>84</v>
      </c>
      <c r="M55" s="186">
        <v>1608</v>
      </c>
      <c r="N55" s="187">
        <v>0</v>
      </c>
      <c r="O55" s="187">
        <v>0</v>
      </c>
      <c r="P55" s="188"/>
      <c r="Q55" s="191"/>
      <c r="R55" s="189"/>
      <c r="S55" s="189"/>
      <c r="T55" s="189"/>
      <c r="U55" s="189"/>
      <c r="V55" s="189"/>
      <c r="W55" s="189"/>
      <c r="X55" s="189"/>
      <c r="Y55" s="189"/>
    </row>
    <row r="56" spans="1:25" ht="16.2" customHeight="1">
      <c r="A56" s="58"/>
      <c r="B56" s="59"/>
      <c r="C56" s="60"/>
      <c r="D56" s="61"/>
      <c r="E56" s="61"/>
      <c r="F56" s="91"/>
      <c r="G56" s="62"/>
      <c r="H56" s="69"/>
      <c r="I56" s="68"/>
      <c r="J56" s="160"/>
      <c r="K56" s="97"/>
      <c r="L56" s="68"/>
      <c r="M56" s="63"/>
      <c r="N56" s="64"/>
      <c r="O56" s="64"/>
      <c r="P56" s="65"/>
      <c r="Q56" s="65"/>
    </row>
    <row r="57" spans="1:25" ht="18" customHeight="1">
      <c r="A57" s="89"/>
      <c r="B57" s="208">
        <f>SUM(B9:B56)</f>
        <v>201</v>
      </c>
      <c r="C57" s="318" t="s">
        <v>20</v>
      </c>
      <c r="D57" s="318"/>
      <c r="E57" s="318"/>
      <c r="F57" s="318"/>
      <c r="G57" s="318"/>
      <c r="H57" s="244">
        <f>SUM(H9:H56)</f>
        <v>201</v>
      </c>
      <c r="I57" s="74"/>
      <c r="J57" s="174"/>
      <c r="K57" s="75"/>
      <c r="L57" s="74"/>
      <c r="M57" s="89"/>
      <c r="N57" s="76">
        <f>SUM(N9:N56)</f>
        <v>0</v>
      </c>
      <c r="O57" s="76">
        <f>SUM(O9:O56)</f>
        <v>0</v>
      </c>
      <c r="P57" s="65"/>
      <c r="Q57" s="65"/>
    </row>
    <row r="58" spans="1:25" s="84" customFormat="1" ht="18" customHeight="1">
      <c r="A58" s="77"/>
      <c r="B58" s="78"/>
      <c r="C58" s="314" t="s">
        <v>15</v>
      </c>
      <c r="D58" s="314"/>
      <c r="E58" s="79"/>
      <c r="F58" s="80"/>
      <c r="G58" s="80"/>
      <c r="H58" s="79"/>
      <c r="I58" s="80"/>
      <c r="J58" s="176"/>
      <c r="K58" s="79"/>
      <c r="L58" s="99"/>
      <c r="M58" s="100"/>
      <c r="N58" s="81"/>
      <c r="O58" s="81"/>
      <c r="P58" s="82"/>
      <c r="Q58" s="83"/>
      <c r="R58" s="77"/>
    </row>
    <row r="59" spans="1:25" s="84" customFormat="1" ht="18" customHeight="1">
      <c r="A59" s="77"/>
      <c r="B59" s="77"/>
      <c r="C59" s="101"/>
      <c r="D59" s="307"/>
      <c r="E59" s="307"/>
      <c r="F59" s="308"/>
      <c r="G59" s="308"/>
      <c r="H59" s="308"/>
      <c r="I59" s="308"/>
      <c r="J59" s="308"/>
      <c r="K59" s="308"/>
      <c r="L59" s="308"/>
      <c r="M59" s="309"/>
      <c r="N59" s="85"/>
      <c r="O59" s="85"/>
      <c r="P59" s="83"/>
      <c r="Q59" s="83"/>
      <c r="R59" s="77"/>
    </row>
    <row r="60" spans="1:25" s="84" customFormat="1" ht="18" customHeight="1">
      <c r="A60" s="77"/>
      <c r="B60" s="77"/>
      <c r="C60" s="101"/>
      <c r="D60" s="307"/>
      <c r="E60" s="307"/>
      <c r="F60" s="307"/>
      <c r="G60" s="307"/>
      <c r="H60" s="307"/>
      <c r="I60" s="307"/>
      <c r="J60" s="307"/>
      <c r="K60" s="307"/>
      <c r="L60" s="307"/>
      <c r="M60" s="310"/>
      <c r="N60" s="85"/>
      <c r="O60" s="85"/>
      <c r="P60" s="83"/>
      <c r="Q60" s="83"/>
      <c r="R60" s="77"/>
    </row>
    <row r="61" spans="1:25" s="84" customFormat="1" ht="18" customHeight="1">
      <c r="A61" s="77"/>
      <c r="B61" s="77"/>
      <c r="C61" s="101"/>
      <c r="D61" s="307"/>
      <c r="E61" s="307"/>
      <c r="F61" s="307"/>
      <c r="G61" s="307"/>
      <c r="H61" s="307"/>
      <c r="I61" s="307"/>
      <c r="J61" s="307"/>
      <c r="K61" s="307"/>
      <c r="L61" s="307"/>
      <c r="M61" s="310"/>
      <c r="N61" s="85"/>
      <c r="O61" s="85"/>
      <c r="P61" s="83"/>
      <c r="Q61" s="83"/>
      <c r="R61" s="77"/>
    </row>
    <row r="62" spans="1:25" ht="18" customHeight="1">
      <c r="A62" s="77"/>
      <c r="B62" s="77"/>
      <c r="C62" s="101"/>
      <c r="D62" s="307"/>
      <c r="E62" s="307"/>
      <c r="F62" s="307"/>
      <c r="G62" s="307"/>
      <c r="H62" s="307"/>
      <c r="I62" s="307"/>
      <c r="J62" s="307"/>
      <c r="K62" s="307"/>
      <c r="L62" s="307"/>
      <c r="M62" s="310"/>
      <c r="N62" s="85"/>
      <c r="O62" s="85"/>
      <c r="P62" s="83"/>
      <c r="Q62" s="83"/>
    </row>
    <row r="63" spans="1:25" ht="18" customHeight="1">
      <c r="A63" s="77"/>
      <c r="B63" s="77"/>
      <c r="C63" s="101"/>
      <c r="D63" s="307"/>
      <c r="E63" s="307"/>
      <c r="F63" s="307"/>
      <c r="G63" s="307"/>
      <c r="H63" s="307"/>
      <c r="I63" s="307"/>
      <c r="J63" s="307"/>
      <c r="K63" s="307"/>
      <c r="L63" s="307"/>
      <c r="M63" s="310"/>
      <c r="N63" s="85"/>
      <c r="O63" s="85"/>
      <c r="P63" s="83"/>
      <c r="Q63" s="83"/>
    </row>
    <row r="64" spans="1:25" ht="18" customHeight="1">
      <c r="A64" s="77"/>
      <c r="B64" s="77"/>
      <c r="C64" s="102"/>
      <c r="D64" s="305"/>
      <c r="E64" s="305"/>
      <c r="F64" s="305"/>
      <c r="G64" s="305"/>
      <c r="H64" s="305"/>
      <c r="I64" s="305"/>
      <c r="J64" s="305"/>
      <c r="K64" s="305"/>
      <c r="L64" s="305"/>
      <c r="M64" s="306"/>
      <c r="N64" s="85"/>
      <c r="O64" s="85"/>
      <c r="P64" s="83"/>
      <c r="Q64" s="83"/>
    </row>
    <row r="65" spans="1:17" ht="18" customHeight="1">
      <c r="A65" s="77"/>
      <c r="B65" s="77"/>
      <c r="P65" s="83"/>
      <c r="Q65" s="83"/>
    </row>
    <row r="66" spans="1:17" ht="18" customHeight="1">
      <c r="A66" s="77"/>
      <c r="B66" s="77"/>
      <c r="P66" s="83"/>
      <c r="Q66" s="83"/>
    </row>
    <row r="67" spans="1:17" ht="18" customHeight="1">
      <c r="A67" s="77"/>
      <c r="B67" s="77"/>
      <c r="P67" s="83"/>
      <c r="Q67" s="83"/>
    </row>
    <row r="68" spans="1:17" ht="18" customHeight="1">
      <c r="A68" s="77"/>
      <c r="B68" s="77"/>
      <c r="P68" s="83"/>
      <c r="Q68" s="83"/>
    </row>
    <row r="69" spans="1:17" ht="18" customHeight="1">
      <c r="A69" s="77"/>
      <c r="B69" s="77"/>
      <c r="P69" s="83"/>
      <c r="Q69" s="83"/>
    </row>
    <row r="70" spans="1:17" ht="18" customHeight="1">
      <c r="A70" s="77"/>
      <c r="B70" s="77"/>
      <c r="P70" s="83"/>
      <c r="Q70" s="83"/>
    </row>
    <row r="71" spans="1:17" ht="18" customHeight="1">
      <c r="A71" s="77"/>
      <c r="B71" s="77"/>
      <c r="P71" s="83"/>
      <c r="Q71" s="83"/>
    </row>
    <row r="72" spans="1:17" ht="18" customHeight="1"/>
    <row r="73" spans="1:17" ht="18" customHeight="1"/>
    <row r="74" spans="1:17" ht="18" customHeight="1"/>
    <row r="75" spans="1:17" ht="18" customHeight="1"/>
    <row r="76" spans="1:17" ht="18" customHeight="1"/>
    <row r="77" spans="1:17" ht="18" customHeight="1"/>
  </sheetData>
  <autoFilter ref="C7:Q8"/>
  <mergeCells count="35">
    <mergeCell ref="A2:B2"/>
    <mergeCell ref="A3:B3"/>
    <mergeCell ref="A4:B4"/>
    <mergeCell ref="A5:B5"/>
    <mergeCell ref="J7:J8"/>
    <mergeCell ref="E7:E8"/>
    <mergeCell ref="C2:D2"/>
    <mergeCell ref="C3:D3"/>
    <mergeCell ref="C4:D4"/>
    <mergeCell ref="C5:D5"/>
    <mergeCell ref="A7:A8"/>
    <mergeCell ref="B7:B8"/>
    <mergeCell ref="C7:C8"/>
    <mergeCell ref="D7:D8"/>
    <mergeCell ref="Q7:Q8"/>
    <mergeCell ref="P7:P8"/>
    <mergeCell ref="N7:N8"/>
    <mergeCell ref="C58:D58"/>
    <mergeCell ref="F7:F8"/>
    <mergeCell ref="G7:G8"/>
    <mergeCell ref="H7:H8"/>
    <mergeCell ref="I7:I8"/>
    <mergeCell ref="O7:O8"/>
    <mergeCell ref="C57:G57"/>
    <mergeCell ref="M7:M8"/>
    <mergeCell ref="L7:L8"/>
    <mergeCell ref="N4:O4"/>
    <mergeCell ref="N5:O5"/>
    <mergeCell ref="D64:M64"/>
    <mergeCell ref="D59:M59"/>
    <mergeCell ref="D60:M60"/>
    <mergeCell ref="D61:M61"/>
    <mergeCell ref="D62:M62"/>
    <mergeCell ref="D63:M63"/>
    <mergeCell ref="K7:K8"/>
  </mergeCells>
  <phoneticPr fontId="9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landscape" horizontalDpi="4294967294" r:id="rId1"/>
  <headerFooter>
    <oddFooter>&amp;C&amp;"Verdana,보통"&amp;10&amp;P / &amp;N&amp;R&amp;"Verdana,보통"&amp;10RF-COMM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2014-01-06T11:59:04Z</cp:lastPrinted>
  <dcterms:created xsi:type="dcterms:W3CDTF">2013-05-16T01:56:53Z</dcterms:created>
  <dcterms:modified xsi:type="dcterms:W3CDTF">2016-01-18T01:25:24Z</dcterms:modified>
</cp:coreProperties>
</file>
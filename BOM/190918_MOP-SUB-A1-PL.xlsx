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07.HONGKONG\1.HW\5.MOP\MOP-SUB\A1-2019\"/>
    </mc:Choice>
  </mc:AlternateContent>
  <xr:revisionPtr revIDLastSave="0" documentId="13_ncr:1_{2667B883-BFEC-4226-9967-8BE45768137C}" xr6:coauthVersionLast="36" xr6:coauthVersionMax="36" xr10:uidLastSave="{00000000-0000-0000-0000-000000000000}"/>
  <bookViews>
    <workbookView xWindow="45" yWindow="30" windowWidth="13830" windowHeight="13170" xr2:uid="{00000000-000D-0000-FFFF-FFFF00000000}"/>
  </bookViews>
  <sheets>
    <sheet name="MOP-SUB" sheetId="1" r:id="rId1"/>
  </sheets>
  <definedNames>
    <definedName name="_xlnm._FilterDatabase" localSheetId="0" hidden="1">'MOP-SUB'!$B$4:$H$17</definedName>
    <definedName name="_xlnm.Print_Area" localSheetId="0">'MOP-SUB'!$A$1:$I$21</definedName>
    <definedName name="_xlnm.Print_Titles" localSheetId="0">'MOP-SUB'!$1:$4</definedName>
  </definedNames>
  <calcPr calcId="191029"/>
</workbook>
</file>

<file path=xl/calcChain.xml><?xml version="1.0" encoding="utf-8"?>
<calcChain xmlns="http://schemas.openxmlformats.org/spreadsheetml/2006/main">
  <c r="E5" i="1" l="1"/>
  <c r="A5" i="1" s="1"/>
  <c r="E14" i="1"/>
  <c r="A14" i="1" s="1"/>
  <c r="E11" i="1"/>
  <c r="A11" i="1" s="1"/>
  <c r="E12" i="1"/>
  <c r="A12" i="1" s="1"/>
  <c r="E6" i="1"/>
  <c r="A6" i="1" s="1"/>
  <c r="E10" i="1"/>
  <c r="A10" i="1" s="1"/>
  <c r="E8" i="1"/>
  <c r="A8" i="1" s="1"/>
  <c r="E13" i="1"/>
  <c r="A13" i="1" s="1"/>
  <c r="E19" i="1"/>
  <c r="A19" i="1" s="1"/>
  <c r="E17" i="1" l="1"/>
  <c r="A17" i="1" s="1"/>
  <c r="E16" i="1"/>
  <c r="A16" i="1" s="1"/>
  <c r="E15" i="1"/>
  <c r="A15" i="1" s="1"/>
  <c r="E20" i="1" l="1"/>
  <c r="A20" i="1" s="1"/>
  <c r="E9" i="1"/>
  <c r="A9" i="1" s="1"/>
  <c r="E18" i="1"/>
  <c r="A18" i="1" s="1"/>
  <c r="E7" i="1"/>
  <c r="A7" i="1" s="1"/>
  <c r="E21" i="1" l="1"/>
</calcChain>
</file>

<file path=xl/sharedStrings.xml><?xml version="1.0" encoding="utf-8"?>
<sst xmlns="http://schemas.openxmlformats.org/spreadsheetml/2006/main" count="72" uniqueCount="57">
  <si>
    <t>No.</t>
    <phoneticPr fontId="10" type="noConversion"/>
  </si>
  <si>
    <t>NAME</t>
    <phoneticPr fontId="10" type="noConversion"/>
  </si>
  <si>
    <t>SPEC</t>
    <phoneticPr fontId="10" type="noConversion"/>
  </si>
  <si>
    <t>Q'ty</t>
    <phoneticPr fontId="10" type="noConversion"/>
  </si>
  <si>
    <t>LOCATION NUMBER</t>
    <phoneticPr fontId="10" type="noConversion"/>
  </si>
  <si>
    <t>Chip Capacitor (1608)</t>
  </si>
  <si>
    <t>Connector</t>
  </si>
  <si>
    <t>PCB</t>
  </si>
  <si>
    <t>SMD</t>
    <phoneticPr fontId="10" type="noConversion"/>
  </si>
  <si>
    <t>SMD</t>
    <phoneticPr fontId="10" type="noConversion"/>
  </si>
  <si>
    <t>DIP</t>
    <phoneticPr fontId="10" type="noConversion"/>
  </si>
  <si>
    <r>
      <rPr>
        <b/>
        <sz val="10"/>
        <color theme="0"/>
        <rFont val="돋움체"/>
        <family val="3"/>
        <charset val="129"/>
      </rPr>
      <t>작업
구분</t>
    </r>
    <phoneticPr fontId="10" type="noConversion"/>
  </si>
  <si>
    <r>
      <rPr>
        <b/>
        <sz val="10"/>
        <color theme="0"/>
        <rFont val="돋움체"/>
        <family val="3"/>
        <charset val="129"/>
      </rPr>
      <t>비고</t>
    </r>
    <phoneticPr fontId="10" type="noConversion"/>
  </si>
  <si>
    <t>-</t>
    <phoneticPr fontId="12" type="noConversion"/>
  </si>
  <si>
    <t>Ass'y</t>
    <phoneticPr fontId="10" type="noConversion"/>
  </si>
  <si>
    <t>Q1,Q2</t>
  </si>
  <si>
    <t>4.7K</t>
  </si>
  <si>
    <t>10K</t>
  </si>
  <si>
    <t>MOP-SUB-A1</t>
    <phoneticPr fontId="10" type="noConversion"/>
  </si>
  <si>
    <t>104P</t>
  </si>
  <si>
    <t>47uF/25V/D</t>
  </si>
  <si>
    <t>14D221</t>
  </si>
  <si>
    <t>1N4007-SMD</t>
  </si>
  <si>
    <t>35312-07</t>
  </si>
  <si>
    <t>5569-04</t>
  </si>
  <si>
    <t>PS2801-1</t>
  </si>
  <si>
    <t>1SS226</t>
  </si>
  <si>
    <t>KRC106S</t>
  </si>
  <si>
    <t>NOP</t>
  </si>
  <si>
    <t>0R/2012</t>
  </si>
  <si>
    <t>AQZ207</t>
  </si>
  <si>
    <t>RO-1212S</t>
  </si>
  <si>
    <t>C1,C2</t>
  </si>
  <si>
    <t>CT1,CT2</t>
  </si>
  <si>
    <t>D1,D3</t>
  </si>
  <si>
    <t>D2,D4</t>
  </si>
  <si>
    <t>J1</t>
  </si>
  <si>
    <t>J2</t>
  </si>
  <si>
    <t>PS1,PS2</t>
  </si>
  <si>
    <t>Q3,Q4</t>
  </si>
  <si>
    <t>R1,R3,R5,R7</t>
  </si>
  <si>
    <t>R2,R4</t>
  </si>
  <si>
    <t>R6,R8</t>
  </si>
  <si>
    <t>R10</t>
  </si>
  <si>
    <t>RY1,RY2</t>
  </si>
  <si>
    <t>U1</t>
  </si>
  <si>
    <t>TAN-D</t>
    <phoneticPr fontId="12" type="noConversion"/>
  </si>
  <si>
    <t>Metal Oxide Varistor</t>
  </si>
  <si>
    <t>DIODE</t>
  </si>
  <si>
    <t>Photo Coupler</t>
  </si>
  <si>
    <t>DIODE</t>
    <phoneticPr fontId="12" type="noConversion"/>
  </si>
  <si>
    <t>TR</t>
    <phoneticPr fontId="12" type="noConversion"/>
  </si>
  <si>
    <t>Chip Resistor (1608)</t>
    <phoneticPr fontId="12" type="noConversion"/>
  </si>
  <si>
    <t>Chip Resistor (2012)</t>
    <phoneticPr fontId="12" type="noConversion"/>
  </si>
  <si>
    <t>SSR RELAY</t>
    <phoneticPr fontId="12" type="noConversion"/>
  </si>
  <si>
    <t>DC-DC CONVERTER</t>
    <phoneticPr fontId="12" type="noConversion"/>
  </si>
  <si>
    <t>FR-4, 2Layer, 1.6T ( 140 x 160 mm )
Array ( 1 x 2 )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</si>
</sst>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Verdana"/>
      <family val="2"/>
      <charset val="129"/>
    </font>
    <font>
      <sz val="8"/>
      <color theme="1"/>
      <name val="Tahoma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57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9"/>
      <name val="Arial Narrow"/>
      <family val="2"/>
    </font>
    <font>
      <sz val="20"/>
      <name val="Arial Narrow"/>
      <family val="2"/>
    </font>
    <font>
      <sz val="11"/>
      <name val="Arial Narrow"/>
      <family val="2"/>
    </font>
    <font>
      <sz val="9"/>
      <color theme="1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0"/>
      <color theme="0"/>
      <name val="Arial Narrow"/>
      <family val="2"/>
    </font>
    <font>
      <b/>
      <sz val="10"/>
      <color theme="0"/>
      <name val="돋움체"/>
      <family val="3"/>
      <charset val="129"/>
    </font>
    <font>
      <sz val="9"/>
      <color theme="1"/>
      <name val="Arial Narrow"/>
      <family val="2"/>
      <charset val="129"/>
    </font>
  </fonts>
  <fills count="3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</borders>
  <cellStyleXfs count="97">
    <xf numFmtId="0" fontId="0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0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9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7" borderId="5" applyNumberFormat="0" applyAlignment="0" applyProtection="0">
      <alignment vertical="center"/>
    </xf>
    <xf numFmtId="0" fontId="34" fillId="7" borderId="4" applyNumberFormat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8" borderId="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</cellStyleXfs>
  <cellXfs count="48">
    <xf numFmtId="0" fontId="0" fillId="0" borderId="0" xfId="0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>
      <alignment vertical="center"/>
    </xf>
    <xf numFmtId="0" fontId="43" fillId="0" borderId="0" xfId="0" applyFont="1">
      <alignment vertical="center"/>
    </xf>
    <xf numFmtId="0" fontId="41" fillId="0" borderId="10" xfId="0" applyFont="1" applyBorder="1" applyAlignment="1">
      <alignment vertical="center" wrapText="1"/>
    </xf>
    <xf numFmtId="0" fontId="41" fillId="2" borderId="10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1" fillId="34" borderId="10" xfId="0" applyFont="1" applyFill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6" fillId="0" borderId="0" xfId="0" applyFont="1">
      <alignment vertical="center"/>
    </xf>
    <xf numFmtId="0" fontId="43" fillId="0" borderId="0" xfId="0" applyFont="1" applyAlignment="1">
      <alignment vertical="center" wrapText="1"/>
    </xf>
    <xf numFmtId="0" fontId="41" fillId="0" borderId="10" xfId="0" applyFont="1" applyFill="1" applyBorder="1" applyAlignment="1">
      <alignment vertical="center" wrapText="1"/>
    </xf>
    <xf numFmtId="0" fontId="45" fillId="2" borderId="10" xfId="0" applyFont="1" applyFill="1" applyBorder="1" applyAlignment="1">
      <alignment horizontal="center" vertical="center" wrapText="1"/>
    </xf>
    <xf numFmtId="0" fontId="47" fillId="35" borderId="0" xfId="0" applyFont="1" applyFill="1" applyAlignment="1">
      <alignment horizontal="center" vertical="center"/>
    </xf>
    <xf numFmtId="0" fontId="41" fillId="0" borderId="11" xfId="0" applyFont="1" applyBorder="1" applyAlignment="1">
      <alignment horizontal="center" vertical="center" wrapText="1"/>
    </xf>
    <xf numFmtId="0" fontId="41" fillId="0" borderId="11" xfId="0" applyFont="1" applyBorder="1" applyAlignment="1">
      <alignment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1" fillId="0" borderId="11" xfId="0" applyFont="1" applyFill="1" applyBorder="1" applyAlignment="1">
      <alignment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2" borderId="12" xfId="0" applyFont="1" applyFill="1" applyBorder="1" applyAlignment="1">
      <alignment horizontal="center" vertical="center" wrapText="1"/>
    </xf>
    <xf numFmtId="0" fontId="41" fillId="0" borderId="12" xfId="0" applyFont="1" applyFill="1" applyBorder="1" applyAlignment="1">
      <alignment vertical="center" wrapText="1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49" fontId="44" fillId="0" borderId="10" xfId="95" applyNumberFormat="1" applyFont="1" applyBorder="1">
      <alignment vertical="center"/>
    </xf>
    <xf numFmtId="0" fontId="48" fillId="36" borderId="10" xfId="0" applyFont="1" applyFill="1" applyBorder="1" applyAlignment="1">
      <alignment horizontal="center" vertical="center" wrapText="1"/>
    </xf>
    <xf numFmtId="49" fontId="44" fillId="0" borderId="10" xfId="95" applyNumberFormat="1" applyFont="1" applyBorder="1">
      <alignment vertical="center"/>
    </xf>
    <xf numFmtId="49" fontId="44" fillId="0" borderId="11" xfId="95" applyNumberFormat="1" applyFont="1" applyBorder="1">
      <alignment vertical="center"/>
    </xf>
    <xf numFmtId="49" fontId="44" fillId="0" borderId="12" xfId="95" applyNumberFormat="1" applyFont="1" applyBorder="1">
      <alignment vertical="center"/>
    </xf>
    <xf numFmtId="0" fontId="42" fillId="0" borderId="0" xfId="0" applyFont="1">
      <alignment vertical="center"/>
    </xf>
    <xf numFmtId="14" fontId="43" fillId="0" borderId="0" xfId="0" applyNumberFormat="1" applyFont="1">
      <alignment vertical="center"/>
    </xf>
    <xf numFmtId="0" fontId="43" fillId="0" borderId="0" xfId="0" applyFont="1">
      <alignment vertical="center"/>
    </xf>
    <xf numFmtId="0" fontId="41" fillId="0" borderId="12" xfId="0" applyFont="1" applyBorder="1" applyAlignment="1">
      <alignment vertical="center" wrapText="1"/>
    </xf>
  </cellXfs>
  <cellStyles count="97">
    <cellStyle name="20% - 강조색1" xfId="33" builtinId="30" customBuiltin="1"/>
    <cellStyle name="20% - 강조색1 2" xfId="71" xr:uid="{00000000-0005-0000-0000-000039000000}"/>
    <cellStyle name="20% - 강조색2" xfId="29" builtinId="34" customBuiltin="1"/>
    <cellStyle name="20% - 강조색2 2" xfId="75" xr:uid="{00000000-0005-0000-0000-00003A000000}"/>
    <cellStyle name="20% - 강조색3" xfId="25" builtinId="38" customBuiltin="1"/>
    <cellStyle name="20% - 강조색3 2" xfId="79" xr:uid="{00000000-0005-0000-0000-00003B000000}"/>
    <cellStyle name="20% - 강조색4" xfId="21" builtinId="42" customBuiltin="1"/>
    <cellStyle name="20% - 강조색4 2" xfId="83" xr:uid="{00000000-0005-0000-0000-00003C000000}"/>
    <cellStyle name="20% - 강조색5" xfId="17" builtinId="46" customBuiltin="1"/>
    <cellStyle name="20% - 강조색5 2" xfId="87" xr:uid="{00000000-0005-0000-0000-00003D000000}"/>
    <cellStyle name="20% - 강조색6" xfId="13" builtinId="50" customBuiltin="1"/>
    <cellStyle name="20% - 강조색6 2" xfId="91" xr:uid="{00000000-0005-0000-0000-00003E000000}"/>
    <cellStyle name="40% - 강조색1" xfId="32" builtinId="31" customBuiltin="1"/>
    <cellStyle name="40% - 강조색1 2" xfId="72" xr:uid="{00000000-0005-0000-0000-00003F000000}"/>
    <cellStyle name="40% - 강조색2" xfId="28" builtinId="35" customBuiltin="1"/>
    <cellStyle name="40% - 강조색2 2" xfId="76" xr:uid="{00000000-0005-0000-0000-000040000000}"/>
    <cellStyle name="40% - 강조색3" xfId="24" builtinId="39" customBuiltin="1"/>
    <cellStyle name="40% - 강조색3 2" xfId="80" xr:uid="{00000000-0005-0000-0000-000041000000}"/>
    <cellStyle name="40% - 강조색4" xfId="20" builtinId="43" customBuiltin="1"/>
    <cellStyle name="40% - 강조색4 2" xfId="84" xr:uid="{00000000-0005-0000-0000-000042000000}"/>
    <cellStyle name="40% - 강조색5" xfId="16" builtinId="47" customBuiltin="1"/>
    <cellStyle name="40% - 강조색5 2" xfId="88" xr:uid="{00000000-0005-0000-0000-000043000000}"/>
    <cellStyle name="40% - 강조색6" xfId="12" builtinId="51" customBuiltin="1"/>
    <cellStyle name="40% - 강조색6 2" xfId="92" xr:uid="{00000000-0005-0000-0000-000044000000}"/>
    <cellStyle name="60% - 강조색1" xfId="31" builtinId="32" customBuiltin="1"/>
    <cellStyle name="60% - 강조색1 2" xfId="73" xr:uid="{00000000-0005-0000-0000-000045000000}"/>
    <cellStyle name="60% - 강조색2" xfId="27" builtinId="36" customBuiltin="1"/>
    <cellStyle name="60% - 강조색2 2" xfId="77" xr:uid="{00000000-0005-0000-0000-000046000000}"/>
    <cellStyle name="60% - 강조색3" xfId="23" builtinId="40" customBuiltin="1"/>
    <cellStyle name="60% - 강조색3 2" xfId="81" xr:uid="{00000000-0005-0000-0000-000047000000}"/>
    <cellStyle name="60% - 강조색4" xfId="19" builtinId="44" customBuiltin="1"/>
    <cellStyle name="60% - 강조색4 2" xfId="85" xr:uid="{00000000-0005-0000-0000-000048000000}"/>
    <cellStyle name="60% - 강조색5" xfId="15" builtinId="48" customBuiltin="1"/>
    <cellStyle name="60% - 강조색5 2" xfId="89" xr:uid="{00000000-0005-0000-0000-000049000000}"/>
    <cellStyle name="60% - 강조색6" xfId="11" builtinId="52" customBuiltin="1"/>
    <cellStyle name="60% - 강조색6 2" xfId="93" xr:uid="{00000000-0005-0000-0000-00004A000000}"/>
    <cellStyle name="강조색1" xfId="34" builtinId="29" customBuiltin="1"/>
    <cellStyle name="강조색1 2" xfId="70" xr:uid="{00000000-0005-0000-0000-00004B000000}"/>
    <cellStyle name="강조색2" xfId="30" builtinId="33" customBuiltin="1"/>
    <cellStyle name="강조색2 2" xfId="74" xr:uid="{00000000-0005-0000-0000-00004C000000}"/>
    <cellStyle name="강조색3" xfId="26" builtinId="37" customBuiltin="1"/>
    <cellStyle name="강조색3 2" xfId="78" xr:uid="{00000000-0005-0000-0000-00004D000000}"/>
    <cellStyle name="강조색4" xfId="22" builtinId="41" customBuiltin="1"/>
    <cellStyle name="강조색4 2" xfId="82" xr:uid="{00000000-0005-0000-0000-00004E000000}"/>
    <cellStyle name="강조색5" xfId="18" builtinId="45" customBuiltin="1"/>
    <cellStyle name="강조색5 2" xfId="86" xr:uid="{00000000-0005-0000-0000-00004F000000}"/>
    <cellStyle name="강조색6" xfId="14" builtinId="49" customBuiltin="1"/>
    <cellStyle name="강조색6 2" xfId="90" xr:uid="{00000000-0005-0000-0000-000050000000}"/>
    <cellStyle name="경고문" xfId="38" builtinId="11" customBuiltin="1"/>
    <cellStyle name="경고문 2" xfId="66" xr:uid="{00000000-0005-0000-0000-000051000000}"/>
    <cellStyle name="계산" xfId="41" builtinId="22" customBuiltin="1"/>
    <cellStyle name="계산 2" xfId="63" xr:uid="{00000000-0005-0000-0000-000052000000}"/>
    <cellStyle name="나쁨" xfId="45" builtinId="27" customBuiltin="1"/>
    <cellStyle name="나쁨 2" xfId="59" xr:uid="{00000000-0005-0000-0000-000053000000}"/>
    <cellStyle name="메모" xfId="37" builtinId="10" customBuiltin="1"/>
    <cellStyle name="메모 2" xfId="67" xr:uid="{00000000-0005-0000-0000-000054000000}"/>
    <cellStyle name="보통" xfId="44" builtinId="28" customBuiltin="1"/>
    <cellStyle name="보통 2" xfId="60" xr:uid="{00000000-0005-0000-0000-000055000000}"/>
    <cellStyle name="설명 텍스트" xfId="36" builtinId="53" customBuiltin="1"/>
    <cellStyle name="설명 텍스트 2" xfId="68" xr:uid="{00000000-0005-0000-0000-000056000000}"/>
    <cellStyle name="셀 확인" xfId="39" builtinId="23" customBuiltin="1"/>
    <cellStyle name="셀 확인 2" xfId="65" xr:uid="{00000000-0005-0000-0000-000057000000}"/>
    <cellStyle name="연결된 셀" xfId="40" builtinId="24" customBuiltin="1"/>
    <cellStyle name="연결된 셀 2" xfId="64" xr:uid="{00000000-0005-0000-0000-000058000000}"/>
    <cellStyle name="요약" xfId="35" builtinId="25" customBuiltin="1"/>
    <cellStyle name="요약 2" xfId="69" xr:uid="{00000000-0005-0000-0000-000059000000}"/>
    <cellStyle name="입력" xfId="43" builtinId="20" customBuiltin="1"/>
    <cellStyle name="입력 2" xfId="61" xr:uid="{00000000-0005-0000-0000-00005A000000}"/>
    <cellStyle name="제목" xfId="51" builtinId="15" customBuiltin="1"/>
    <cellStyle name="제목 1" xfId="50" builtinId="16" customBuiltin="1"/>
    <cellStyle name="제목 1 2" xfId="54" xr:uid="{00000000-0005-0000-0000-00005C000000}"/>
    <cellStyle name="제목 2" xfId="49" builtinId="17" customBuiltin="1"/>
    <cellStyle name="제목 2 2" xfId="55" xr:uid="{00000000-0005-0000-0000-00005D000000}"/>
    <cellStyle name="제목 3" xfId="48" builtinId="18" customBuiltin="1"/>
    <cellStyle name="제목 3 2" xfId="56" xr:uid="{00000000-0005-0000-0000-00005E000000}"/>
    <cellStyle name="제목 4" xfId="47" builtinId="19" customBuiltin="1"/>
    <cellStyle name="제목 4 2" xfId="57" xr:uid="{00000000-0005-0000-0000-00005F000000}"/>
    <cellStyle name="제목 5" xfId="53" xr:uid="{00000000-0005-0000-0000-00005B000000}"/>
    <cellStyle name="좋음" xfId="46" builtinId="26" customBuiltin="1"/>
    <cellStyle name="좋음 2" xfId="58" xr:uid="{00000000-0005-0000-0000-000060000000}"/>
    <cellStyle name="출력" xfId="42" builtinId="21" customBuiltin="1"/>
    <cellStyle name="출력 2" xfId="62" xr:uid="{00000000-0005-0000-0000-000061000000}"/>
    <cellStyle name="표준" xfId="0" builtinId="0"/>
    <cellStyle name="표준 10" xfId="9" xr:uid="{00000000-0005-0000-0000-00002A000000}"/>
    <cellStyle name="표준 19" xfId="7" xr:uid="{00000000-0005-0000-0000-00002B000000}"/>
    <cellStyle name="표준 2" xfId="5" xr:uid="{00000000-0005-0000-0000-00002C000000}"/>
    <cellStyle name="표준 2 2" xfId="2" xr:uid="{00000000-0005-0000-0000-00002D000000}"/>
    <cellStyle name="표준 2 3" xfId="3" xr:uid="{00000000-0005-0000-0000-00002E000000}"/>
    <cellStyle name="표준 3" xfId="4" xr:uid="{00000000-0005-0000-0000-00002F000000}"/>
    <cellStyle name="표준 36" xfId="10" xr:uid="{00000000-0005-0000-0000-000030000000}"/>
    <cellStyle name="표준 37" xfId="8" xr:uid="{00000000-0005-0000-0000-000031000000}"/>
    <cellStyle name="표준 4" xfId="1" xr:uid="{00000000-0005-0000-0000-000032000000}"/>
    <cellStyle name="표준 41" xfId="6" xr:uid="{00000000-0005-0000-0000-000033000000}"/>
    <cellStyle name="표준 5" xfId="52" xr:uid="{00000000-0005-0000-0000-000062000000}"/>
    <cellStyle name="표준 6" xfId="94" xr:uid="{00000000-0005-0000-0000-000063000000}"/>
    <cellStyle name="표준 7" xfId="95" xr:uid="{00000000-0005-0000-0000-000064000000}"/>
    <cellStyle name="표준 8" xfId="96" xr:uid="{00000000-0005-0000-0000-00006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1"/>
  <sheetViews>
    <sheetView tabSelected="1" zoomScale="145" zoomScaleNormal="145" workbookViewId="0">
      <pane ySplit="4" topLeftCell="A5" activePane="bottomLeft" state="frozen"/>
      <selection pane="bottomLeft" activeCell="C15" sqref="C15"/>
    </sheetView>
  </sheetViews>
  <sheetFormatPr defaultRowHeight="16.5" x14ac:dyDescent="0.3"/>
  <cols>
    <col min="1" max="1" width="5.625" style="1" customWidth="1"/>
    <col min="2" max="2" width="4.625" style="2" customWidth="1"/>
    <col min="3" max="3" width="22.625" style="2" customWidth="1"/>
    <col min="4" max="4" width="25.625" style="2" customWidth="1"/>
    <col min="5" max="5" width="4.625" style="2" customWidth="1"/>
    <col min="6" max="6" width="33" style="10" customWidth="1"/>
    <col min="7" max="7" width="4.625" style="2" customWidth="1"/>
    <col min="8" max="8" width="8.625" style="2" customWidth="1"/>
    <col min="9" max="9" width="1.625" style="2" customWidth="1"/>
    <col min="10" max="16384" width="9" style="2"/>
  </cols>
  <sheetData>
    <row r="2" spans="1:8" ht="25.5" x14ac:dyDescent="0.3">
      <c r="B2" s="44" t="s">
        <v>18</v>
      </c>
      <c r="C2" s="44"/>
      <c r="D2" s="44"/>
      <c r="E2" s="44"/>
      <c r="F2" s="44"/>
      <c r="G2" s="44"/>
      <c r="H2" s="44"/>
    </row>
    <row r="3" spans="1:8" ht="16.5" customHeight="1" x14ac:dyDescent="0.3">
      <c r="G3" s="45">
        <v>43726</v>
      </c>
      <c r="H3" s="46"/>
    </row>
    <row r="4" spans="1:8" s="9" customFormat="1" ht="33.75" customHeight="1" x14ac:dyDescent="0.3">
      <c r="A4" s="13">
        <v>10</v>
      </c>
      <c r="B4" s="40" t="s">
        <v>0</v>
      </c>
      <c r="C4" s="40" t="s">
        <v>1</v>
      </c>
      <c r="D4" s="40" t="s">
        <v>2</v>
      </c>
      <c r="E4" s="40" t="s">
        <v>3</v>
      </c>
      <c r="F4" s="40" t="s">
        <v>4</v>
      </c>
      <c r="G4" s="40" t="s">
        <v>11</v>
      </c>
      <c r="H4" s="40" t="s">
        <v>12</v>
      </c>
    </row>
    <row r="5" spans="1:8" s="3" customFormat="1" x14ac:dyDescent="0.3">
      <c r="A5" s="1">
        <f t="shared" ref="A5:A14" si="0">E5*$A$4</f>
        <v>20</v>
      </c>
      <c r="B5" s="6">
        <v>1</v>
      </c>
      <c r="C5" s="4" t="s">
        <v>49</v>
      </c>
      <c r="D5" s="38" t="s">
        <v>25</v>
      </c>
      <c r="E5" s="5">
        <f t="shared" ref="E5:E14" si="1">LEN(F5)-LEN(SUBSTITUTE(F5,",",""))+1</f>
        <v>2</v>
      </c>
      <c r="F5" s="39" t="s">
        <v>38</v>
      </c>
      <c r="G5" s="6" t="s">
        <v>8</v>
      </c>
      <c r="H5" s="11"/>
    </row>
    <row r="6" spans="1:8" s="3" customFormat="1" x14ac:dyDescent="0.3">
      <c r="A6" s="1">
        <f t="shared" si="0"/>
        <v>20</v>
      </c>
      <c r="B6" s="6">
        <v>2</v>
      </c>
      <c r="C6" s="4" t="s">
        <v>50</v>
      </c>
      <c r="D6" s="32" t="s">
        <v>26</v>
      </c>
      <c r="E6" s="5">
        <f t="shared" si="1"/>
        <v>2</v>
      </c>
      <c r="F6" s="33" t="s">
        <v>15</v>
      </c>
      <c r="G6" s="6" t="s">
        <v>8</v>
      </c>
      <c r="H6" s="11"/>
    </row>
    <row r="7" spans="1:8" x14ac:dyDescent="0.3">
      <c r="A7" s="1">
        <f>E7*$A$4</f>
        <v>20</v>
      </c>
      <c r="B7" s="6">
        <v>3</v>
      </c>
      <c r="C7" s="4" t="s">
        <v>48</v>
      </c>
      <c r="D7" s="21" t="s">
        <v>22</v>
      </c>
      <c r="E7" s="5">
        <f>LEN(F7)-LEN(SUBSTITUTE(F7,",",""))+1</f>
        <v>2</v>
      </c>
      <c r="F7" s="22" t="s">
        <v>35</v>
      </c>
      <c r="G7" s="6" t="s">
        <v>8</v>
      </c>
      <c r="H7" s="4"/>
    </row>
    <row r="8" spans="1:8" s="3" customFormat="1" x14ac:dyDescent="0.3">
      <c r="A8" s="1">
        <f t="shared" si="0"/>
        <v>20</v>
      </c>
      <c r="B8" s="6">
        <v>4</v>
      </c>
      <c r="C8" s="4" t="s">
        <v>51</v>
      </c>
      <c r="D8" s="28" t="s">
        <v>27</v>
      </c>
      <c r="E8" s="5">
        <f>LEN(F8)-LEN(SUBSTITUTE(F8,",",""))+1</f>
        <v>2</v>
      </c>
      <c r="F8" s="29" t="s">
        <v>39</v>
      </c>
      <c r="G8" s="6" t="s">
        <v>8</v>
      </c>
      <c r="H8" s="11"/>
    </row>
    <row r="9" spans="1:8" x14ac:dyDescent="0.3">
      <c r="A9" s="1">
        <f t="shared" ref="A9" si="2">E9*$A$4</f>
        <v>20</v>
      </c>
      <c r="B9" s="6">
        <v>5</v>
      </c>
      <c r="C9" s="23" t="s">
        <v>46</v>
      </c>
      <c r="D9" s="24" t="s">
        <v>20</v>
      </c>
      <c r="E9" s="5">
        <f t="shared" ref="E9" si="3">LEN(F9)-LEN(SUBSTITUTE(F9,",",""))+1</f>
        <v>2</v>
      </c>
      <c r="F9" s="25" t="s">
        <v>33</v>
      </c>
      <c r="G9" s="6" t="s">
        <v>9</v>
      </c>
      <c r="H9" s="11"/>
    </row>
    <row r="10" spans="1:8" s="3" customFormat="1" x14ac:dyDescent="0.3">
      <c r="A10" s="1">
        <f>E10*$A$4</f>
        <v>20</v>
      </c>
      <c r="B10" s="6">
        <v>6</v>
      </c>
      <c r="C10" s="4" t="s">
        <v>5</v>
      </c>
      <c r="D10" s="30" t="s">
        <v>19</v>
      </c>
      <c r="E10" s="5">
        <f>LEN(F10)-LEN(SUBSTITUTE(F10,",",""))+1</f>
        <v>2</v>
      </c>
      <c r="F10" s="31" t="s">
        <v>32</v>
      </c>
      <c r="G10" s="6" t="s">
        <v>8</v>
      </c>
      <c r="H10" s="11"/>
    </row>
    <row r="11" spans="1:8" s="3" customFormat="1" x14ac:dyDescent="0.3">
      <c r="A11" s="1">
        <f t="shared" si="0"/>
        <v>40</v>
      </c>
      <c r="B11" s="6">
        <v>7</v>
      </c>
      <c r="C11" s="4" t="s">
        <v>52</v>
      </c>
      <c r="D11" s="34" t="s">
        <v>16</v>
      </c>
      <c r="E11" s="5">
        <f t="shared" ref="E11:E12" si="4">LEN(F11)-LEN(SUBSTITUTE(F11,",",""))+1</f>
        <v>4</v>
      </c>
      <c r="F11" s="35" t="s">
        <v>40</v>
      </c>
      <c r="G11" s="6" t="s">
        <v>8</v>
      </c>
      <c r="H11" s="11"/>
    </row>
    <row r="12" spans="1:8" s="3" customFormat="1" x14ac:dyDescent="0.3">
      <c r="A12" s="1">
        <f t="shared" si="0"/>
        <v>20</v>
      </c>
      <c r="B12" s="6">
        <v>8</v>
      </c>
      <c r="C12" s="4" t="s">
        <v>52</v>
      </c>
      <c r="D12" s="36" t="s">
        <v>17</v>
      </c>
      <c r="E12" s="5">
        <f t="shared" si="4"/>
        <v>2</v>
      </c>
      <c r="F12" s="37" t="s">
        <v>41</v>
      </c>
      <c r="G12" s="6" t="s">
        <v>8</v>
      </c>
      <c r="H12" s="11"/>
    </row>
    <row r="13" spans="1:8" s="3" customFormat="1" x14ac:dyDescent="0.3">
      <c r="A13" s="1">
        <f t="shared" si="0"/>
        <v>20</v>
      </c>
      <c r="B13" s="6">
        <v>9</v>
      </c>
      <c r="C13" s="4" t="s">
        <v>52</v>
      </c>
      <c r="D13" s="26" t="s">
        <v>28</v>
      </c>
      <c r="E13" s="5">
        <f t="shared" si="1"/>
        <v>2</v>
      </c>
      <c r="F13" s="27" t="s">
        <v>42</v>
      </c>
      <c r="G13" s="6" t="s">
        <v>8</v>
      </c>
      <c r="H13" s="11"/>
    </row>
    <row r="14" spans="1:8" s="3" customFormat="1" ht="17.25" thickBot="1" x14ac:dyDescent="0.35">
      <c r="A14" s="1">
        <f t="shared" si="0"/>
        <v>10</v>
      </c>
      <c r="B14" s="14">
        <v>10</v>
      </c>
      <c r="C14" s="15" t="s">
        <v>53</v>
      </c>
      <c r="D14" s="42" t="s">
        <v>29</v>
      </c>
      <c r="E14" s="16">
        <f t="shared" si="1"/>
        <v>1</v>
      </c>
      <c r="F14" s="42" t="s">
        <v>43</v>
      </c>
      <c r="G14" s="14" t="s">
        <v>8</v>
      </c>
      <c r="H14" s="17"/>
    </row>
    <row r="15" spans="1:8" s="3" customFormat="1" x14ac:dyDescent="0.3">
      <c r="A15" s="1">
        <f t="shared" ref="A15:A16" si="5">E15*$A$4</f>
        <v>20</v>
      </c>
      <c r="B15" s="18">
        <v>11</v>
      </c>
      <c r="C15" s="47" t="s">
        <v>54</v>
      </c>
      <c r="D15" s="43" t="s">
        <v>30</v>
      </c>
      <c r="E15" s="19">
        <f t="shared" ref="E15:E16" si="6">LEN(F15)-LEN(SUBSTITUTE(F15,",",""))+1</f>
        <v>2</v>
      </c>
      <c r="F15" s="43" t="s">
        <v>44</v>
      </c>
      <c r="G15" s="18" t="s">
        <v>10</v>
      </c>
      <c r="H15" s="20"/>
    </row>
    <row r="16" spans="1:8" s="3" customFormat="1" x14ac:dyDescent="0.3">
      <c r="A16" s="1">
        <f t="shared" si="5"/>
        <v>10</v>
      </c>
      <c r="B16" s="6">
        <v>12</v>
      </c>
      <c r="C16" s="4" t="s">
        <v>55</v>
      </c>
      <c r="D16" s="41" t="s">
        <v>31</v>
      </c>
      <c r="E16" s="5">
        <f t="shared" si="6"/>
        <v>1</v>
      </c>
      <c r="F16" s="41" t="s">
        <v>45</v>
      </c>
      <c r="G16" s="6" t="s">
        <v>10</v>
      </c>
      <c r="H16" s="11"/>
    </row>
    <row r="17" spans="1:8" s="3" customFormat="1" x14ac:dyDescent="0.3">
      <c r="A17" s="1">
        <f t="shared" ref="A17" si="7">E17*$A$4</f>
        <v>20</v>
      </c>
      <c r="B17" s="6">
        <v>13</v>
      </c>
      <c r="C17" s="41" t="s">
        <v>47</v>
      </c>
      <c r="D17" s="41" t="s">
        <v>21</v>
      </c>
      <c r="E17" s="5">
        <f t="shared" ref="E17" si="8">LEN(F17)-LEN(SUBSTITUTE(F17,",",""))+1</f>
        <v>2</v>
      </c>
      <c r="F17" s="41" t="s">
        <v>34</v>
      </c>
      <c r="G17" s="6" t="s">
        <v>10</v>
      </c>
      <c r="H17" s="11"/>
    </row>
    <row r="18" spans="1:8" x14ac:dyDescent="0.3">
      <c r="A18" s="1">
        <f>E18*$A$4</f>
        <v>10</v>
      </c>
      <c r="B18" s="6">
        <v>14</v>
      </c>
      <c r="C18" s="4" t="s">
        <v>6</v>
      </c>
      <c r="D18" s="41" t="s">
        <v>23</v>
      </c>
      <c r="E18" s="5">
        <f>LEN(F18)-LEN(SUBSTITUTE(F18,",",""))+1</f>
        <v>1</v>
      </c>
      <c r="F18" s="41" t="s">
        <v>36</v>
      </c>
      <c r="G18" s="6" t="s">
        <v>10</v>
      </c>
      <c r="H18" s="11"/>
    </row>
    <row r="19" spans="1:8" s="3" customFormat="1" x14ac:dyDescent="0.3">
      <c r="A19" s="1">
        <f>E19*$A$4</f>
        <v>10</v>
      </c>
      <c r="B19" s="6">
        <v>15</v>
      </c>
      <c r="C19" s="4" t="s">
        <v>6</v>
      </c>
      <c r="D19" s="41" t="s">
        <v>24</v>
      </c>
      <c r="E19" s="5">
        <f>LEN(F19)-LEN(SUBSTITUTE(F19,",",""))+1</f>
        <v>1</v>
      </c>
      <c r="F19" s="41" t="s">
        <v>37</v>
      </c>
      <c r="G19" s="6" t="s">
        <v>10</v>
      </c>
      <c r="H19" s="11"/>
    </row>
    <row r="20" spans="1:8" ht="30" customHeight="1" x14ac:dyDescent="0.3">
      <c r="A20" s="1">
        <f t="shared" ref="A20" si="9">E20*$A$4</f>
        <v>10</v>
      </c>
      <c r="B20" s="6">
        <v>16</v>
      </c>
      <c r="C20" s="4" t="s">
        <v>7</v>
      </c>
      <c r="D20" s="11" t="s">
        <v>56</v>
      </c>
      <c r="E20" s="5">
        <f t="shared" ref="E20" si="10">LEN(F20)-LEN(SUBSTITUTE(F20,",",""))+1</f>
        <v>1</v>
      </c>
      <c r="F20" s="7" t="s">
        <v>13</v>
      </c>
      <c r="G20" s="6" t="s">
        <v>14</v>
      </c>
      <c r="H20" s="4"/>
    </row>
    <row r="21" spans="1:8" ht="20.100000000000001" customHeight="1" x14ac:dyDescent="0.3">
      <c r="B21" s="8"/>
      <c r="C21" s="8"/>
      <c r="D21" s="8"/>
      <c r="E21" s="12">
        <f>SUM(E5:E20)</f>
        <v>29</v>
      </c>
      <c r="F21" s="8"/>
      <c r="G21" s="8"/>
      <c r="H21" s="8"/>
    </row>
  </sheetData>
  <autoFilter ref="B4:H4" xr:uid="{80F0F4B7-3C20-43FE-AD8D-07B04466E871}"/>
  <mergeCells count="2">
    <mergeCell ref="B2:H2"/>
    <mergeCell ref="G3:H3"/>
  </mergeCells>
  <phoneticPr fontId="12" type="noConversion"/>
  <pageMargins left="0.82677165354330717" right="0.27559055118110237" top="0.51181102362204722" bottom="0.51181102362204722" header="0.31496062992125984" footer="0.31496062992125984"/>
  <pageSetup paperSize="9" scale="75" fitToHeight="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MOP-SUB</vt:lpstr>
      <vt:lpstr>'MOP-SUB'!Print_Area</vt:lpstr>
      <vt:lpstr>'MOP-SUB'!Print_Titles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이동진</cp:lastModifiedBy>
  <cp:lastPrinted>2019-09-18T07:47:18Z</cp:lastPrinted>
  <dcterms:created xsi:type="dcterms:W3CDTF">2016-10-27T01:24:29Z</dcterms:created>
  <dcterms:modified xsi:type="dcterms:W3CDTF">2019-09-18T07:58:37Z</dcterms:modified>
</cp:coreProperties>
</file>
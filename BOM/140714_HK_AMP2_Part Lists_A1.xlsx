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32" windowHeight="8568" activeTab="1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ECO!$A$1:$H$52</definedName>
    <definedName name="_xlnm.Print_Area" localSheetId="1">PartLists!$A$1:$M$32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24" i="1" l="1"/>
  <c r="O24" i="1" s="1"/>
  <c r="H17" i="1"/>
  <c r="O17" i="1" s="1"/>
  <c r="H15" i="1"/>
  <c r="B15" i="1" s="1"/>
  <c r="H11" i="1"/>
  <c r="O11" i="1" s="1"/>
  <c r="H10" i="1"/>
  <c r="O10" i="1" s="1"/>
  <c r="H14" i="1"/>
  <c r="B14" i="1" s="1"/>
  <c r="B24" i="1" l="1"/>
  <c r="B17" i="1"/>
  <c r="O15" i="1"/>
  <c r="B11" i="1"/>
  <c r="B10" i="1"/>
  <c r="O14" i="1"/>
  <c r="H12" i="1"/>
  <c r="H13" i="1"/>
  <c r="H16" i="1"/>
  <c r="H18" i="1"/>
  <c r="H19" i="1"/>
  <c r="H20" i="1"/>
  <c r="H21" i="1"/>
  <c r="H22" i="1"/>
  <c r="H23" i="1"/>
  <c r="H9" i="1"/>
  <c r="H25" i="1" l="1"/>
  <c r="H4" i="1" s="1"/>
  <c r="B9" i="1" l="1"/>
  <c r="B12" i="1"/>
  <c r="B13" i="1"/>
  <c r="B16" i="1"/>
  <c r="B18" i="1"/>
  <c r="B19" i="1"/>
  <c r="B20" i="1"/>
  <c r="B21" i="1"/>
  <c r="B22" i="1"/>
  <c r="B23" i="1"/>
  <c r="O18" i="1" l="1"/>
  <c r="N25" i="1" l="1"/>
  <c r="O9" i="1" l="1"/>
  <c r="O19" i="1" l="1"/>
  <c r="O12" i="1" l="1"/>
  <c r="O13" i="1"/>
  <c r="O16" i="1"/>
  <c r="O20" i="1"/>
  <c r="O21" i="1"/>
  <c r="O22" i="1"/>
  <c r="O23" i="1"/>
  <c r="O25" i="1" l="1"/>
  <c r="N5" i="1" l="1"/>
  <c r="B25" i="1" l="1"/>
</calcChain>
</file>

<file path=xl/sharedStrings.xml><?xml version="1.0" encoding="utf-8"?>
<sst xmlns="http://schemas.openxmlformats.org/spreadsheetml/2006/main" count="251" uniqueCount="153">
  <si>
    <t>Part Lists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</si>
  <si>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</si>
  <si>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</si>
  <si>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</si>
  <si>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</si>
  <si>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</si>
  <si>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</si>
  <si>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6" type="noConversion"/>
  </si>
  <si>
    <t>Part Number
(Specification)</t>
    <phoneticPr fontId="6" type="noConversion"/>
  </si>
  <si>
    <t>Manufacturer</t>
    <phoneticPr fontId="6" type="noConversion"/>
  </si>
  <si>
    <t>Q'ty</t>
    <phoneticPr fontId="0" type="noConversion"/>
  </si>
  <si>
    <t>Location</t>
  </si>
  <si>
    <t>Package</t>
    <phoneticPr fontId="0" type="noConversion"/>
  </si>
  <si>
    <t>Diode</t>
  </si>
  <si>
    <t>Connector</t>
    <phoneticPr fontId="4" type="noConversion"/>
  </si>
  <si>
    <t>REMARK</t>
    <phoneticPr fontId="4" type="noConversion"/>
  </si>
  <si>
    <t>MOQ/REEL</t>
    <phoneticPr fontId="4" type="noConversion"/>
  </si>
  <si>
    <t>REMARK</t>
    <phoneticPr fontId="4" type="noConversion"/>
  </si>
  <si>
    <t>Unit
PRICE</t>
    <phoneticPr fontId="4" type="noConversion"/>
  </si>
  <si>
    <t>Total
PRICE</t>
    <phoneticPr fontId="4" type="noConversion"/>
  </si>
  <si>
    <t xml:space="preserve">Total </t>
    <phoneticPr fontId="0" type="noConversion"/>
  </si>
  <si>
    <t>Total COST</t>
    <phoneticPr fontId="4" type="noConversion"/>
  </si>
  <si>
    <t>TR</t>
    <phoneticPr fontId="4" type="noConversion"/>
  </si>
  <si>
    <t>KRC106S</t>
  </si>
  <si>
    <t>Green</t>
  </si>
  <si>
    <t>Chip Resistor</t>
    <phoneticPr fontId="0" type="noConversion"/>
  </si>
  <si>
    <t>1608</t>
    <phoneticPr fontId="4" type="noConversion"/>
  </si>
  <si>
    <t>Test Point</t>
    <phoneticPr fontId="4" type="noConversion"/>
  </si>
  <si>
    <t>Test Pin</t>
    <phoneticPr fontId="4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</si>
  <si>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</si>
  <si>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</si>
  <si>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</si>
  <si>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</si>
  <si>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</si>
  <si>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</si>
  <si>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</si>
  <si>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4" type="noConversion"/>
  </si>
  <si>
    <t>SOT-23</t>
  </si>
  <si>
    <t>LED</t>
    <phoneticPr fontId="4" type="noConversion"/>
  </si>
  <si>
    <t>CN1</t>
    <phoneticPr fontId="4" type="noConversion"/>
  </si>
  <si>
    <t>-</t>
    <phoneticPr fontId="4" type="noConversion"/>
  </si>
  <si>
    <t>PROJECT : HONGKONG</t>
    <phoneticPr fontId="0" type="noConversion"/>
  </si>
  <si>
    <t>1SR154-400</t>
    <phoneticPr fontId="4" type="noConversion"/>
  </si>
  <si>
    <t>TRANS</t>
    <phoneticPr fontId="4" type="noConversion"/>
  </si>
  <si>
    <t>DIP</t>
    <phoneticPr fontId="4" type="noConversion"/>
  </si>
  <si>
    <t>Relay</t>
    <phoneticPr fontId="4" type="noConversion"/>
  </si>
  <si>
    <t>5566-12</t>
    <phoneticPr fontId="4" type="noConversion"/>
  </si>
  <si>
    <t>J2</t>
    <phoneticPr fontId="4" type="noConversion"/>
  </si>
  <si>
    <t>J1</t>
    <phoneticPr fontId="4" type="noConversion"/>
  </si>
  <si>
    <t>-</t>
    <phoneticPr fontId="4" type="noConversion"/>
  </si>
  <si>
    <t>TP1,TP2</t>
    <phoneticPr fontId="4" type="noConversion"/>
  </si>
  <si>
    <t>1.5K</t>
    <phoneticPr fontId="4" type="noConversion"/>
  </si>
  <si>
    <t>1608</t>
    <phoneticPr fontId="4" type="noConversion"/>
  </si>
  <si>
    <t>SOD-106</t>
    <phoneticPr fontId="4" type="noConversion"/>
  </si>
  <si>
    <t>5566-04</t>
    <phoneticPr fontId="4" type="noConversion"/>
  </si>
  <si>
    <t>Category</t>
    <phoneticPr fontId="6" type="noConversion"/>
  </si>
  <si>
    <t>Sub-Category</t>
    <phoneticPr fontId="6" type="noConversion"/>
  </si>
  <si>
    <t>Diode, Low Frequency</t>
    <phoneticPr fontId="4" type="noConversion"/>
  </si>
  <si>
    <t>SP</t>
    <phoneticPr fontId="4" type="noConversion"/>
  </si>
  <si>
    <t>ROHM</t>
    <phoneticPr fontId="4" type="noConversion"/>
  </si>
  <si>
    <t>Transistor, LF bipolar</t>
  </si>
  <si>
    <t>SWT</t>
    <phoneticPr fontId="4" type="noConversion"/>
  </si>
  <si>
    <t>KEC</t>
    <phoneticPr fontId="4" type="noConversion"/>
  </si>
  <si>
    <t>Transformer</t>
    <phoneticPr fontId="4" type="noConversion"/>
  </si>
  <si>
    <t>AD</t>
    <phoneticPr fontId="4" type="noConversion"/>
  </si>
  <si>
    <t>Relay, Mechanical</t>
    <phoneticPr fontId="4" type="noConversion"/>
  </si>
  <si>
    <t xml:space="preserve">Detector, Isolator, Emit </t>
    <phoneticPr fontId="4" type="noConversion"/>
  </si>
  <si>
    <t>Connector, General</t>
    <phoneticPr fontId="4" type="noConversion"/>
  </si>
  <si>
    <t>CD</t>
    <phoneticPr fontId="4" type="noConversion"/>
  </si>
  <si>
    <t>RC</t>
    <phoneticPr fontId="4" type="noConversion"/>
  </si>
  <si>
    <t>TP</t>
    <phoneticPr fontId="4" type="noConversion"/>
  </si>
  <si>
    <t>Resistor</t>
    <phoneticPr fontId="4" type="noConversion"/>
  </si>
  <si>
    <t>RM</t>
    <phoneticPr fontId="4" type="noConversion"/>
  </si>
  <si>
    <t xml:space="preserve">PROJECT </t>
    <phoneticPr fontId="0" type="noConversion"/>
  </si>
  <si>
    <t>Package Type</t>
    <phoneticPr fontId="0" type="noConversion"/>
  </si>
  <si>
    <t>Temperature</t>
    <phoneticPr fontId="0" type="noConversion"/>
  </si>
  <si>
    <t>MB</t>
    <phoneticPr fontId="4" type="noConversion"/>
  </si>
  <si>
    <t>+150°C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</si>
  <si>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</si>
  <si>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</si>
  <si>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+105°C</t>
    </r>
    <phoneticPr fontId="4" type="noConversion"/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</si>
  <si>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4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</si>
  <si>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</si>
  <si>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</si>
  <si>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  <phoneticPr fontId="4" type="noConversion"/>
  </si>
  <si>
    <t>Dry Circuit, Magnetic Lat</t>
    <phoneticPr fontId="4" type="noConversion"/>
  </si>
  <si>
    <t>G2RL-2-DC12V</t>
    <phoneticPr fontId="4" type="noConversion"/>
  </si>
  <si>
    <t>G2RL-2-DC12V</t>
    <phoneticPr fontId="4" type="noConversion"/>
  </si>
  <si>
    <t>DS2Y-S-DC12V</t>
    <phoneticPr fontId="4" type="noConversion"/>
  </si>
  <si>
    <t>RY1</t>
    <phoneticPr fontId="4" type="noConversion"/>
  </si>
  <si>
    <t>RY2</t>
    <phoneticPr fontId="4" type="noConversion"/>
  </si>
  <si>
    <t>RY3</t>
  </si>
  <si>
    <t>RY4</t>
  </si>
  <si>
    <t>RY3</t>
    <phoneticPr fontId="4" type="noConversion"/>
  </si>
  <si>
    <t>RY4</t>
    <phoneticPr fontId="4" type="noConversion"/>
  </si>
  <si>
    <t>2014. 5. 20</t>
    <phoneticPr fontId="4" type="noConversion"/>
  </si>
  <si>
    <t>AAB2_A1</t>
    <phoneticPr fontId="4" type="noConversion"/>
  </si>
  <si>
    <t>변경</t>
    <phoneticPr fontId="4" type="noConversion"/>
  </si>
  <si>
    <t>OMRON</t>
    <phoneticPr fontId="4" type="noConversion"/>
  </si>
  <si>
    <t>2014. 5. 26</t>
    <phoneticPr fontId="4" type="noConversion"/>
  </si>
  <si>
    <t>AAB2_A1</t>
    <phoneticPr fontId="4" type="noConversion"/>
  </si>
  <si>
    <t>T1</t>
    <phoneticPr fontId="4" type="noConversion"/>
  </si>
  <si>
    <t>T2</t>
    <phoneticPr fontId="4" type="noConversion"/>
  </si>
  <si>
    <t>T3</t>
    <phoneticPr fontId="4" type="noConversion"/>
  </si>
  <si>
    <t>T4</t>
    <phoneticPr fontId="4" type="noConversion"/>
  </si>
  <si>
    <t>8:333/48MM</t>
    <phoneticPr fontId="4" type="noConversion"/>
  </si>
  <si>
    <t>8:4/48mm</t>
    <phoneticPr fontId="4" type="noConversion"/>
  </si>
  <si>
    <t>NOP</t>
  </si>
  <si>
    <t>NOP</t>
    <phoneticPr fontId="4" type="noConversion"/>
  </si>
  <si>
    <t>변경</t>
    <phoneticPr fontId="4" type="noConversion"/>
  </si>
  <si>
    <t>D3</t>
  </si>
  <si>
    <t>D3</t>
    <phoneticPr fontId="4" type="noConversion"/>
  </si>
  <si>
    <t>D4</t>
  </si>
  <si>
    <t>D4</t>
    <phoneticPr fontId="4" type="noConversion"/>
  </si>
  <si>
    <t>Q3</t>
  </si>
  <si>
    <t>Q3</t>
    <phoneticPr fontId="4" type="noConversion"/>
  </si>
  <si>
    <t>Q4</t>
  </si>
  <si>
    <t>Q4</t>
    <phoneticPr fontId="4" type="noConversion"/>
  </si>
  <si>
    <t>RY3</t>
    <phoneticPr fontId="4" type="noConversion"/>
  </si>
  <si>
    <t>RY4</t>
    <phoneticPr fontId="4" type="noConversion"/>
  </si>
  <si>
    <t>LED2</t>
  </si>
  <si>
    <t>LED2</t>
    <phoneticPr fontId="4" type="noConversion"/>
  </si>
  <si>
    <t>R2</t>
  </si>
  <si>
    <t>R2</t>
    <phoneticPr fontId="4" type="noConversion"/>
  </si>
  <si>
    <t>1SR154-400</t>
    <phoneticPr fontId="4" type="noConversion"/>
  </si>
  <si>
    <t>KRC106S</t>
    <phoneticPr fontId="4" type="noConversion"/>
  </si>
  <si>
    <t>G2RL-2-DC12</t>
    <phoneticPr fontId="4" type="noConversion"/>
  </si>
  <si>
    <t>GREEN</t>
    <phoneticPr fontId="4" type="noConversion"/>
  </si>
  <si>
    <t>1.5K</t>
    <phoneticPr fontId="4" type="noConversion"/>
  </si>
  <si>
    <t>T3,T4</t>
    <phoneticPr fontId="4" type="noConversion"/>
  </si>
  <si>
    <t>T1,T2</t>
    <phoneticPr fontId="4" type="noConversion"/>
  </si>
  <si>
    <t>D1,D2</t>
    <phoneticPr fontId="4" type="noConversion"/>
  </si>
  <si>
    <t>D3,D4</t>
    <phoneticPr fontId="4" type="noConversion"/>
  </si>
  <si>
    <t>NOP</t>
    <phoneticPr fontId="4" type="noConversion"/>
  </si>
  <si>
    <t>Q1,Q2</t>
    <phoneticPr fontId="4" type="noConversion"/>
  </si>
  <si>
    <t>Q3,Q4</t>
    <phoneticPr fontId="4" type="noConversion"/>
  </si>
  <si>
    <t>RY1,RY2</t>
    <phoneticPr fontId="4" type="noConversion"/>
  </si>
  <si>
    <t>RY3,RY4</t>
    <phoneticPr fontId="4" type="noConversion"/>
  </si>
  <si>
    <t>LED2</t>
    <phoneticPr fontId="4" type="noConversion"/>
  </si>
  <si>
    <t>LED1</t>
    <phoneticPr fontId="4" type="noConversion"/>
  </si>
  <si>
    <t>R2</t>
    <phoneticPr fontId="4" type="noConversion"/>
  </si>
  <si>
    <t>R1</t>
    <phoneticPr fontId="4" type="noConversion"/>
  </si>
  <si>
    <t>2014. 7. 14</t>
    <phoneticPr fontId="4" type="noConversion"/>
  </si>
  <si>
    <t>CN1</t>
    <phoneticPr fontId="4" type="noConversion"/>
  </si>
  <si>
    <t>09031966921(96pin_Male)</t>
    <phoneticPr fontId="4" type="noConversion"/>
  </si>
  <si>
    <t>533402(Male_96pin)</t>
    <phoneticPr fontId="4" type="noConversion"/>
  </si>
  <si>
    <r>
      <t>HARTING</t>
    </r>
    <r>
      <rPr>
        <sz val="9"/>
        <rFont val="돋움"/>
        <family val="3"/>
        <charset val="129"/>
      </rPr>
      <t>에서</t>
    </r>
    <r>
      <rPr>
        <sz val="9"/>
        <rFont val="Tahoma"/>
        <family val="2"/>
      </rPr>
      <t xml:space="preserve"> ERNI</t>
    </r>
    <r>
      <rPr>
        <sz val="9"/>
        <rFont val="돋움"/>
        <family val="3"/>
        <charset val="129"/>
      </rPr>
      <t>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4" type="noConversion"/>
  </si>
  <si>
    <t>HK_AMP2_A1</t>
    <phoneticPr fontId="4" type="noConversion"/>
  </si>
  <si>
    <t>533402(Male_96pin)</t>
    <phoneticPr fontId="4" type="noConversion"/>
  </si>
  <si>
    <t>ERNI</t>
    <phoneticPr fontId="4" type="noConversion"/>
  </si>
  <si>
    <t>HONGKONG MTR</t>
    <phoneticPr fontId="4" type="noConversion"/>
  </si>
  <si>
    <t>2014. 7. 14</t>
    <phoneticPr fontId="0" type="noConversion"/>
  </si>
  <si>
    <t>AMP2 A1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</si>
</sst>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8"/>
      <name val="Tahoma"/>
      <family val="2"/>
    </font>
    <font>
      <b/>
      <sz val="2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sz val="10"/>
      <name val="Tahoma"/>
      <family val="2"/>
    </font>
    <font>
      <sz val="9"/>
      <color rgb="FF002060"/>
      <name val="Tahoma"/>
      <family val="2"/>
    </font>
    <font>
      <sz val="9"/>
      <color rgb="FFC00000"/>
      <name val="Tahoma"/>
      <family val="2"/>
    </font>
    <font>
      <sz val="8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6">
    <xf numFmtId="0" fontId="0" fillId="0" borderId="0" xfId="0">
      <alignment vertical="center"/>
    </xf>
    <xf numFmtId="0" fontId="9" fillId="0" borderId="6" xfId="0" applyFont="1" applyBorder="1">
      <alignment vertic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NumberFormat="1" applyFont="1" applyBorder="1" applyAlignment="1">
      <alignment horizontal="left" vertical="center" indent="1"/>
    </xf>
    <xf numFmtId="0" fontId="9" fillId="0" borderId="6" xfId="0" applyNumberFormat="1" applyFont="1" applyBorder="1">
      <alignment vertical="center"/>
    </xf>
    <xf numFmtId="0" fontId="14" fillId="0" borderId="6" xfId="0" applyNumberFormat="1" applyFont="1" applyBorder="1" applyAlignment="1">
      <alignment vertical="center"/>
    </xf>
    <xf numFmtId="0" fontId="14" fillId="0" borderId="7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left" vertical="center" indent="1"/>
    </xf>
    <xf numFmtId="0" fontId="9" fillId="0" borderId="7" xfId="0" applyNumberFormat="1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1"/>
    </xf>
    <xf numFmtId="0" fontId="3" fillId="0" borderId="9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1"/>
    </xf>
    <xf numFmtId="14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indent="1"/>
    </xf>
    <xf numFmtId="14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indent="1"/>
    </xf>
    <xf numFmtId="0" fontId="17" fillId="0" borderId="6" xfId="0" applyFont="1" applyFill="1" applyBorder="1">
      <alignment vertical="center"/>
    </xf>
    <xf numFmtId="0" fontId="18" fillId="0" borderId="6" xfId="0" applyFont="1" applyFill="1" applyBorder="1">
      <alignment vertical="center"/>
    </xf>
    <xf numFmtId="0" fontId="3" fillId="0" borderId="6" xfId="0" applyFont="1" applyFill="1" applyBorder="1">
      <alignment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indent="1"/>
    </xf>
    <xf numFmtId="0" fontId="17" fillId="0" borderId="9" xfId="0" applyFont="1" applyFill="1" applyBorder="1">
      <alignment vertical="center"/>
    </xf>
    <xf numFmtId="0" fontId="18" fillId="0" borderId="9" xfId="0" applyFont="1" applyFill="1" applyBorder="1">
      <alignment vertical="center"/>
    </xf>
    <xf numFmtId="0" fontId="18" fillId="6" borderId="6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8" borderId="9" xfId="0" applyFont="1" applyFill="1" applyBorder="1">
      <alignment vertical="center"/>
    </xf>
    <xf numFmtId="0" fontId="18" fillId="6" borderId="9" xfId="0" applyFont="1" applyFill="1" applyBorder="1">
      <alignment vertical="center"/>
    </xf>
    <xf numFmtId="0" fontId="19" fillId="8" borderId="1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49" fontId="21" fillId="8" borderId="6" xfId="0" applyNumberFormat="1" applyFont="1" applyFill="1" applyBorder="1">
      <alignment vertical="center"/>
    </xf>
    <xf numFmtId="49" fontId="18" fillId="6" borderId="6" xfId="0" applyNumberFormat="1" applyFont="1" applyFill="1" applyBorder="1">
      <alignment vertical="center"/>
    </xf>
    <xf numFmtId="0" fontId="20" fillId="8" borderId="1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 indent="1"/>
    </xf>
    <xf numFmtId="49" fontId="25" fillId="0" borderId="1" xfId="0" applyNumberFormat="1" applyFont="1" applyFill="1" applyBorder="1" applyAlignment="1">
      <alignment vertical="center" wrapText="1"/>
    </xf>
    <xf numFmtId="0" fontId="26" fillId="0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vertical="center" wrapText="1"/>
    </xf>
    <xf numFmtId="176" fontId="26" fillId="0" borderId="0" xfId="0" applyNumberFormat="1" applyFont="1" applyFill="1" applyBorder="1" applyAlignment="1">
      <alignment horizontal="left" vertical="center" wrapText="1"/>
    </xf>
    <xf numFmtId="41" fontId="27" fillId="0" borderId="0" xfId="6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center" wrapText="1" indent="2"/>
    </xf>
    <xf numFmtId="0" fontId="25" fillId="0" borderId="0" xfId="0" applyFont="1" applyFill="1" applyAlignment="1">
      <alignment horizontal="left" vertical="center" wrapText="1" indent="1"/>
    </xf>
    <xf numFmtId="176" fontId="25" fillId="0" borderId="0" xfId="0" applyNumberFormat="1" applyFont="1" applyFill="1" applyAlignment="1">
      <alignment horizontal="center" vertical="center" wrapText="1"/>
    </xf>
    <xf numFmtId="0" fontId="25" fillId="0" borderId="0" xfId="0" applyFont="1" applyFill="1" applyAlignment="1">
      <alignment vertical="center" wrapText="1"/>
    </xf>
    <xf numFmtId="177" fontId="28" fillId="0" borderId="0" xfId="0" applyNumberFormat="1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0" fontId="31" fillId="0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0" fontId="28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left" vertical="center" wrapText="1" inden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 indent="1"/>
    </xf>
    <xf numFmtId="176" fontId="28" fillId="0" borderId="0" xfId="0" applyNumberFormat="1" applyFont="1" applyFill="1" applyAlignment="1">
      <alignment horizontal="center" vertical="center" wrapText="1"/>
    </xf>
    <xf numFmtId="41" fontId="28" fillId="0" borderId="0" xfId="6" applyFont="1" applyFill="1" applyAlignment="1">
      <alignment horizontal="center" vertical="center" wrapText="1"/>
    </xf>
    <xf numFmtId="0" fontId="28" fillId="0" borderId="0" xfId="0" applyFont="1" applyFill="1" applyAlignment="1">
      <alignment vertical="center" wrapText="1"/>
    </xf>
    <xf numFmtId="0" fontId="33" fillId="0" borderId="0" xfId="0" applyFont="1" applyFill="1" applyAlignment="1">
      <alignment vertical="center" wrapText="1"/>
    </xf>
    <xf numFmtId="0" fontId="25" fillId="2" borderId="1" xfId="6" applyNumberFormat="1" applyFont="1" applyFill="1" applyBorder="1" applyAlignment="1">
      <alignment horizontal="center" vertical="center" wrapText="1"/>
    </xf>
    <xf numFmtId="0" fontId="25" fillId="3" borderId="1" xfId="6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vertical="center" wrapText="1"/>
    </xf>
    <xf numFmtId="0" fontId="34" fillId="0" borderId="1" xfId="0" applyNumberFormat="1" applyFont="1" applyBorder="1">
      <alignment vertical="center"/>
    </xf>
    <xf numFmtId="49" fontId="34" fillId="0" borderId="1" xfId="0" applyNumberFormat="1" applyFont="1" applyFill="1" applyBorder="1">
      <alignment vertical="center"/>
    </xf>
    <xf numFmtId="49" fontId="34" fillId="0" borderId="1" xfId="0" applyNumberFormat="1" applyFont="1" applyBorder="1" applyAlignment="1">
      <alignment horizontal="center" vertical="center"/>
    </xf>
    <xf numFmtId="0" fontId="34" fillId="0" borderId="1" xfId="0" applyNumberFormat="1" applyFont="1" applyBorder="1" applyAlignment="1">
      <alignment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34" fillId="0" borderId="1" xfId="0" applyNumberFormat="1" applyFont="1" applyBorder="1" applyAlignment="1">
      <alignment horizontal="center" vertical="center"/>
    </xf>
    <xf numFmtId="177" fontId="25" fillId="0" borderId="1" xfId="1" applyNumberFormat="1" applyFont="1" applyFill="1" applyBorder="1" applyAlignment="1">
      <alignment horizontal="center" vertical="center" wrapText="1"/>
    </xf>
    <xf numFmtId="41" fontId="25" fillId="0" borderId="1" xfId="6" applyFont="1" applyBorder="1" applyAlignment="1">
      <alignment horizontal="center" vertical="center" wrapText="1"/>
    </xf>
    <xf numFmtId="41" fontId="25" fillId="0" borderId="1" xfId="6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49" fontId="34" fillId="0" borderId="1" xfId="0" applyNumberFormat="1" applyFont="1" applyFill="1" applyBorder="1" applyAlignment="1">
      <alignment horizontal="center" vertical="center"/>
    </xf>
    <xf numFmtId="49" fontId="34" fillId="0" borderId="1" xfId="0" applyNumberFormat="1" applyFont="1" applyFill="1" applyBorder="1" applyAlignment="1">
      <alignment vertical="center" wrapText="1"/>
    </xf>
    <xf numFmtId="49" fontId="34" fillId="0" borderId="1" xfId="0" applyNumberFormat="1" applyFont="1" applyBorder="1" applyAlignment="1">
      <alignment vertical="center"/>
    </xf>
    <xf numFmtId="49" fontId="34" fillId="0" borderId="1" xfId="0" applyNumberFormat="1" applyFont="1" applyBorder="1">
      <alignment vertical="center"/>
    </xf>
    <xf numFmtId="0" fontId="25" fillId="0" borderId="1" xfId="6" applyNumberFormat="1" applyFont="1" applyFill="1" applyBorder="1" applyAlignment="1">
      <alignment horizontal="center" vertical="center" wrapText="1"/>
    </xf>
    <xf numFmtId="0" fontId="25" fillId="6" borderId="1" xfId="0" applyNumberFormat="1" applyFont="1" applyFill="1" applyBorder="1" applyAlignment="1">
      <alignment horizontal="center" vertical="center" wrapText="1"/>
    </xf>
    <xf numFmtId="49" fontId="25" fillId="0" borderId="1" xfId="5" applyNumberFormat="1" applyFont="1" applyFill="1" applyBorder="1" applyAlignment="1">
      <alignment vertical="center" wrapText="1"/>
    </xf>
    <xf numFmtId="49" fontId="25" fillId="0" borderId="1" xfId="5" applyNumberFormat="1" applyFont="1" applyFill="1" applyBorder="1" applyAlignment="1">
      <alignment horizontal="left" vertical="center" wrapText="1"/>
    </xf>
    <xf numFmtId="177" fontId="25" fillId="5" borderId="1" xfId="1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41" fontId="25" fillId="0" borderId="0" xfId="6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 wrapText="1" indent="1"/>
    </xf>
    <xf numFmtId="177" fontId="25" fillId="0" borderId="0" xfId="1" applyNumberFormat="1" applyFont="1" applyFill="1" applyBorder="1" applyAlignment="1">
      <alignment horizontal="center" vertical="center" wrapText="1"/>
    </xf>
    <xf numFmtId="41" fontId="25" fillId="0" borderId="0" xfId="6" applyFont="1" applyBorder="1" applyAlignment="1">
      <alignment horizontal="center" vertical="center" wrapText="1"/>
    </xf>
    <xf numFmtId="41" fontId="25" fillId="0" borderId="0" xfId="6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176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 indent="1"/>
    </xf>
    <xf numFmtId="176" fontId="25" fillId="0" borderId="0" xfId="0" applyNumberFormat="1" applyFont="1" applyAlignment="1">
      <alignment horizontal="center" vertical="center" wrapText="1"/>
    </xf>
    <xf numFmtId="41" fontId="27" fillId="0" borderId="0" xfId="6" applyFont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center" vertical="center"/>
    </xf>
    <xf numFmtId="0" fontId="21" fillId="8" borderId="14" xfId="0" applyFont="1" applyFill="1" applyBorder="1">
      <alignment vertical="center"/>
    </xf>
    <xf numFmtId="0" fontId="18" fillId="6" borderId="14" xfId="0" applyFont="1" applyFill="1" applyBorder="1">
      <alignment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indent="1"/>
    </xf>
    <xf numFmtId="0" fontId="3" fillId="0" borderId="19" xfId="0" applyFont="1" applyBorder="1" applyAlignment="1">
      <alignment horizontal="center" vertical="center"/>
    </xf>
    <xf numFmtId="0" fontId="21" fillId="8" borderId="19" xfId="0" applyFont="1" applyFill="1" applyBorder="1">
      <alignment vertical="center"/>
    </xf>
    <xf numFmtId="0" fontId="18" fillId="6" borderId="19" xfId="0" applyFont="1" applyFill="1" applyBorder="1">
      <alignment vertical="center"/>
    </xf>
    <xf numFmtId="0" fontId="11" fillId="0" borderId="15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20" xfId="0" applyFont="1" applyBorder="1">
      <alignment vertical="center"/>
    </xf>
    <xf numFmtId="0" fontId="25" fillId="0" borderId="1" xfId="0" applyNumberFormat="1" applyFont="1" applyBorder="1">
      <alignment vertical="center"/>
    </xf>
    <xf numFmtId="0" fontId="25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34" fillId="9" borderId="1" xfId="0" applyNumberFormat="1" applyFont="1" applyFill="1" applyBorder="1">
      <alignment vertical="center"/>
    </xf>
    <xf numFmtId="49" fontId="34" fillId="9" borderId="1" xfId="0" applyNumberFormat="1" applyFont="1" applyFill="1" applyBorder="1">
      <alignment vertical="center"/>
    </xf>
    <xf numFmtId="49" fontId="34" fillId="9" borderId="1" xfId="0" applyNumberFormat="1" applyFont="1" applyFill="1" applyBorder="1" applyAlignment="1">
      <alignment horizontal="center" vertical="center"/>
    </xf>
    <xf numFmtId="0" fontId="34" fillId="9" borderId="1" xfId="0" applyNumberFormat="1" applyFont="1" applyFill="1" applyBorder="1" applyAlignment="1">
      <alignment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34" fillId="9" borderId="1" xfId="0" applyNumberFormat="1" applyFont="1" applyFill="1" applyBorder="1" applyAlignment="1">
      <alignment horizontal="center" vertical="center"/>
    </xf>
    <xf numFmtId="49" fontId="25" fillId="9" borderId="1" xfId="0" applyNumberFormat="1" applyFont="1" applyFill="1" applyBorder="1" applyAlignment="1">
      <alignment vertical="center" wrapText="1"/>
    </xf>
    <xf numFmtId="0" fontId="25" fillId="9" borderId="1" xfId="0" applyNumberFormat="1" applyFont="1" applyFill="1" applyBorder="1">
      <alignment vertical="center"/>
    </xf>
    <xf numFmtId="14" fontId="27" fillId="0" borderId="21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indent="1"/>
    </xf>
    <xf numFmtId="0" fontId="27" fillId="0" borderId="22" xfId="0" applyFont="1" applyBorder="1" applyAlignment="1">
      <alignment horizontal="center" vertical="center"/>
    </xf>
    <xf numFmtId="0" fontId="36" fillId="8" borderId="22" xfId="0" applyFont="1" applyFill="1" applyBorder="1">
      <alignment vertical="center"/>
    </xf>
    <xf numFmtId="0" fontId="37" fillId="6" borderId="22" xfId="0" applyFont="1" applyFill="1" applyBorder="1">
      <alignment vertical="center"/>
    </xf>
    <xf numFmtId="0" fontId="27" fillId="0" borderId="23" xfId="0" applyFont="1" applyBorder="1">
      <alignment vertical="center"/>
    </xf>
    <xf numFmtId="0" fontId="27" fillId="0" borderId="8" xfId="0" applyFont="1" applyBorder="1">
      <alignment vertical="center"/>
    </xf>
    <xf numFmtId="0" fontId="27" fillId="0" borderId="6" xfId="0" applyFont="1" applyBorder="1">
      <alignment vertical="center"/>
    </xf>
    <xf numFmtId="49" fontId="38" fillId="0" borderId="1" xfId="0" applyNumberFormat="1" applyFont="1" applyFill="1" applyBorder="1">
      <alignment vertical="center"/>
    </xf>
    <xf numFmtId="0" fontId="12" fillId="7" borderId="6" xfId="0" applyNumberFormat="1" applyFont="1" applyFill="1" applyBorder="1" applyAlignment="1">
      <alignment horizontal="center" vertical="center" wrapText="1"/>
    </xf>
    <xf numFmtId="0" fontId="12" fillId="7" borderId="6" xfId="0" applyNumberFormat="1" applyFont="1" applyFill="1" applyBorder="1" applyAlignment="1">
      <alignment horizontal="center" vertical="center"/>
    </xf>
    <xf numFmtId="0" fontId="14" fillId="0" borderId="10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4" fillId="0" borderId="12" xfId="0" applyNumberFormat="1" applyFont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8" fillId="0" borderId="1" xfId="0" applyFont="1" applyFill="1" applyBorder="1" applyAlignment="1">
      <alignment horizontal="center" vertical="center" wrapText="1"/>
    </xf>
    <xf numFmtId="177" fontId="30" fillId="4" borderId="4" xfId="0" applyNumberFormat="1" applyFont="1" applyFill="1" applyBorder="1" applyAlignment="1">
      <alignment horizontal="center" vertical="center" wrapText="1"/>
    </xf>
    <xf numFmtId="177" fontId="30" fillId="4" borderId="5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 indent="1"/>
    </xf>
    <xf numFmtId="0" fontId="32" fillId="0" borderId="0" xfId="0" applyFont="1" applyFill="1" applyBorder="1" applyAlignment="1">
      <alignment horizontal="left" vertical="center" wrapText="1" indent="2"/>
    </xf>
    <xf numFmtId="0" fontId="25" fillId="0" borderId="1" xfId="0" applyFont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 readingOrder="2"/>
    </xf>
    <xf numFmtId="0" fontId="25" fillId="6" borderId="1" xfId="0" applyFont="1" applyFill="1" applyBorder="1" applyAlignment="1">
      <alignment horizontal="center" vertical="center" wrapText="1"/>
    </xf>
    <xf numFmtId="41" fontId="28" fillId="0" borderId="1" xfId="6" applyFont="1" applyFill="1" applyBorder="1" applyAlignment="1">
      <alignment horizontal="center" vertical="center" wrapText="1"/>
    </xf>
    <xf numFmtId="176" fontId="28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 indent="2"/>
    </xf>
    <xf numFmtId="0" fontId="28" fillId="2" borderId="1" xfId="0" applyFont="1" applyFill="1" applyBorder="1" applyAlignment="1">
      <alignment horizontal="center" wrapText="1"/>
    </xf>
    <xf numFmtId="0" fontId="28" fillId="3" borderId="1" xfId="0" applyFont="1" applyFill="1" applyBorder="1" applyAlignment="1">
      <alignment horizontal="center" wrapText="1"/>
    </xf>
  </cellXfs>
  <cellStyles count="10">
    <cellStyle name="쉼표 [0]" xfId="6" builtinId="6"/>
    <cellStyle name="표준" xfId="0" builtinId="0"/>
    <cellStyle name="표준 10" xfId="2"/>
    <cellStyle name="표준 19" xfId="4"/>
    <cellStyle name="표준 2" xfId="7"/>
    <cellStyle name="표준 2 2" xfId="9"/>
    <cellStyle name="표준 3" xfId="8"/>
    <cellStyle name="표준 36" xfId="1"/>
    <cellStyle name="표준 37" xfId="3"/>
    <cellStyle name="표준 4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2"/>
  <sheetViews>
    <sheetView zoomScaleNormal="100" zoomScaleSheetLayoutView="85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B29" sqref="B29"/>
    </sheetView>
  </sheetViews>
  <sheetFormatPr defaultRowHeight="12.6"/>
  <cols>
    <col min="1" max="1" width="15.69921875" style="21" customWidth="1"/>
    <col min="2" max="2" width="20.69921875" style="22" customWidth="1"/>
    <col min="3" max="3" width="5.69921875" style="11" customWidth="1"/>
    <col min="4" max="4" width="8.69921875" style="1" customWidth="1"/>
    <col min="5" max="5" width="25.69921875" style="1" customWidth="1"/>
    <col min="6" max="6" width="8.69921875" style="1" customWidth="1"/>
    <col min="7" max="7" width="25.69921875" style="1" customWidth="1"/>
    <col min="8" max="8" width="40.69921875" style="1" customWidth="1"/>
    <col min="9" max="16384" width="8.796875" style="1"/>
  </cols>
  <sheetData>
    <row r="1" spans="1:9" ht="75" customHeight="1">
      <c r="A1" s="141" t="s">
        <v>36</v>
      </c>
      <c r="B1" s="142"/>
      <c r="C1" s="142"/>
      <c r="D1" s="142"/>
      <c r="E1" s="142"/>
      <c r="F1" s="142"/>
      <c r="G1" s="142"/>
      <c r="H1" s="142"/>
    </row>
    <row r="2" spans="1:9" ht="7.05" customHeight="1">
      <c r="A2" s="2"/>
      <c r="B2" s="3"/>
      <c r="C2" s="2"/>
      <c r="D2" s="4"/>
      <c r="E2" s="4"/>
      <c r="F2" s="4"/>
      <c r="G2" s="4"/>
      <c r="H2" s="4"/>
    </row>
    <row r="3" spans="1:9" ht="25.05" customHeight="1">
      <c r="A3" s="42" t="s">
        <v>41</v>
      </c>
      <c r="B3" s="3"/>
      <c r="C3" s="5"/>
      <c r="D3" s="4"/>
      <c r="E3" s="4"/>
      <c r="F3" s="4"/>
      <c r="G3" s="4"/>
      <c r="H3" s="4"/>
    </row>
    <row r="4" spans="1:9" ht="7.05" customHeight="1">
      <c r="A4" s="7"/>
      <c r="B4" s="8"/>
      <c r="C4" s="6"/>
      <c r="D4" s="9"/>
      <c r="E4" s="9"/>
      <c r="F4" s="9"/>
      <c r="G4" s="9"/>
      <c r="H4" s="9"/>
    </row>
    <row r="5" spans="1:9" s="11" customFormat="1" ht="19.95" customHeight="1">
      <c r="A5" s="143" t="s">
        <v>2</v>
      </c>
      <c r="B5" s="144" t="s">
        <v>30</v>
      </c>
      <c r="C5" s="148" t="s">
        <v>29</v>
      </c>
      <c r="D5" s="145" t="s">
        <v>31</v>
      </c>
      <c r="E5" s="145"/>
      <c r="F5" s="146" t="s">
        <v>32</v>
      </c>
      <c r="G5" s="147"/>
      <c r="H5" s="144" t="s">
        <v>3</v>
      </c>
      <c r="I5" s="10"/>
    </row>
    <row r="6" spans="1:9" s="11" customFormat="1" ht="19.95" customHeight="1">
      <c r="A6" s="143"/>
      <c r="B6" s="144"/>
      <c r="C6" s="148"/>
      <c r="D6" s="40" t="s">
        <v>34</v>
      </c>
      <c r="E6" s="36" t="s">
        <v>35</v>
      </c>
      <c r="F6" s="41" t="s">
        <v>33</v>
      </c>
      <c r="G6" s="37" t="s">
        <v>35</v>
      </c>
      <c r="H6" s="144"/>
      <c r="I6" s="10"/>
    </row>
    <row r="7" spans="1:9" s="13" customFormat="1" ht="16.05" customHeight="1">
      <c r="A7" s="106" t="s">
        <v>95</v>
      </c>
      <c r="B7" s="107" t="s">
        <v>96</v>
      </c>
      <c r="C7" s="108">
        <v>1</v>
      </c>
      <c r="D7" s="109" t="s">
        <v>89</v>
      </c>
      <c r="E7" s="109" t="s">
        <v>88</v>
      </c>
      <c r="F7" s="110" t="s">
        <v>89</v>
      </c>
      <c r="G7" s="110" t="s">
        <v>87</v>
      </c>
      <c r="H7" s="117" t="s">
        <v>97</v>
      </c>
      <c r="I7" s="12"/>
    </row>
    <row r="8" spans="1:9" s="13" customFormat="1" ht="16.05" customHeight="1">
      <c r="A8" s="111"/>
      <c r="B8" s="20"/>
      <c r="C8" s="18">
        <v>2</v>
      </c>
      <c r="D8" s="33" t="s">
        <v>90</v>
      </c>
      <c r="E8" s="33" t="s">
        <v>88</v>
      </c>
      <c r="F8" s="32" t="s">
        <v>90</v>
      </c>
      <c r="G8" s="32" t="s">
        <v>87</v>
      </c>
      <c r="H8" s="118" t="s">
        <v>97</v>
      </c>
      <c r="I8" s="12"/>
    </row>
    <row r="9" spans="1:9" s="13" customFormat="1" ht="16.05" customHeight="1">
      <c r="A9" s="111"/>
      <c r="B9" s="20"/>
      <c r="C9" s="18">
        <v>3</v>
      </c>
      <c r="D9" s="33" t="s">
        <v>91</v>
      </c>
      <c r="E9" s="33" t="s">
        <v>88</v>
      </c>
      <c r="F9" s="32" t="s">
        <v>93</v>
      </c>
      <c r="G9" s="32" t="s">
        <v>87</v>
      </c>
      <c r="H9" s="118" t="s">
        <v>97</v>
      </c>
      <c r="I9" s="12"/>
    </row>
    <row r="10" spans="1:9" s="13" customFormat="1" ht="16.05" customHeight="1">
      <c r="A10" s="112"/>
      <c r="B10" s="113"/>
      <c r="C10" s="114">
        <v>4</v>
      </c>
      <c r="D10" s="115" t="s">
        <v>92</v>
      </c>
      <c r="E10" s="115" t="s">
        <v>88</v>
      </c>
      <c r="F10" s="116" t="s">
        <v>94</v>
      </c>
      <c r="G10" s="116" t="s">
        <v>87</v>
      </c>
      <c r="H10" s="119" t="s">
        <v>97</v>
      </c>
      <c r="I10" s="12"/>
    </row>
    <row r="11" spans="1:9" s="13" customFormat="1" ht="16.05" customHeight="1">
      <c r="A11" s="106" t="s">
        <v>99</v>
      </c>
      <c r="B11" s="107" t="s">
        <v>100</v>
      </c>
      <c r="C11" s="108">
        <v>1</v>
      </c>
      <c r="D11" s="109" t="s">
        <v>101</v>
      </c>
      <c r="E11" s="109" t="s">
        <v>105</v>
      </c>
      <c r="F11" s="110" t="s">
        <v>101</v>
      </c>
      <c r="G11" s="110" t="s">
        <v>106</v>
      </c>
      <c r="H11" s="117" t="s">
        <v>109</v>
      </c>
      <c r="I11" s="12"/>
    </row>
    <row r="12" spans="1:9" s="13" customFormat="1" ht="16.05" customHeight="1">
      <c r="A12" s="111"/>
      <c r="B12" s="20"/>
      <c r="C12" s="18">
        <v>2</v>
      </c>
      <c r="D12" s="33" t="s">
        <v>102</v>
      </c>
      <c r="E12" s="33" t="s">
        <v>105</v>
      </c>
      <c r="F12" s="32" t="s">
        <v>102</v>
      </c>
      <c r="G12" s="32" t="s">
        <v>106</v>
      </c>
      <c r="H12" s="118" t="s">
        <v>109</v>
      </c>
      <c r="I12" s="12"/>
    </row>
    <row r="13" spans="1:9" s="13" customFormat="1" ht="16.05" customHeight="1">
      <c r="A13" s="111"/>
      <c r="B13" s="20"/>
      <c r="C13" s="14">
        <v>3</v>
      </c>
      <c r="D13" s="33" t="s">
        <v>103</v>
      </c>
      <c r="E13" s="33" t="s">
        <v>105</v>
      </c>
      <c r="F13" s="32" t="s">
        <v>103</v>
      </c>
      <c r="G13" s="32" t="s">
        <v>108</v>
      </c>
      <c r="H13" s="118" t="s">
        <v>109</v>
      </c>
      <c r="I13" s="12"/>
    </row>
    <row r="14" spans="1:9" s="13" customFormat="1" ht="16.05" customHeight="1">
      <c r="A14" s="111"/>
      <c r="B14" s="20"/>
      <c r="C14" s="18">
        <v>4</v>
      </c>
      <c r="D14" s="33" t="s">
        <v>104</v>
      </c>
      <c r="E14" s="33" t="s">
        <v>105</v>
      </c>
      <c r="F14" s="32" t="s">
        <v>104</v>
      </c>
      <c r="G14" s="32" t="s">
        <v>108</v>
      </c>
      <c r="H14" s="118" t="s">
        <v>109</v>
      </c>
      <c r="I14" s="12"/>
    </row>
    <row r="15" spans="1:9" s="13" customFormat="1" ht="16.05" customHeight="1">
      <c r="A15" s="111"/>
      <c r="B15" s="20"/>
      <c r="C15" s="14">
        <v>5</v>
      </c>
      <c r="D15" s="33" t="s">
        <v>111</v>
      </c>
      <c r="E15" s="33" t="s">
        <v>124</v>
      </c>
      <c r="F15" s="32" t="s">
        <v>110</v>
      </c>
      <c r="G15" s="32" t="s">
        <v>107</v>
      </c>
      <c r="H15" s="118" t="s">
        <v>109</v>
      </c>
      <c r="I15" s="12"/>
    </row>
    <row r="16" spans="1:9" s="13" customFormat="1" ht="16.05" customHeight="1">
      <c r="A16" s="111"/>
      <c r="B16" s="20"/>
      <c r="C16" s="18">
        <v>6</v>
      </c>
      <c r="D16" s="33" t="s">
        <v>113</v>
      </c>
      <c r="E16" s="33" t="s">
        <v>124</v>
      </c>
      <c r="F16" s="32" t="s">
        <v>112</v>
      </c>
      <c r="G16" s="32" t="s">
        <v>107</v>
      </c>
      <c r="H16" s="118" t="s">
        <v>109</v>
      </c>
      <c r="I16" s="12"/>
    </row>
    <row r="17" spans="1:9" s="13" customFormat="1" ht="16.05" customHeight="1">
      <c r="A17" s="111"/>
      <c r="B17" s="20"/>
      <c r="C17" s="14">
        <v>7</v>
      </c>
      <c r="D17" s="33" t="s">
        <v>115</v>
      </c>
      <c r="E17" s="33" t="s">
        <v>125</v>
      </c>
      <c r="F17" s="32" t="s">
        <v>114</v>
      </c>
      <c r="G17" s="32" t="s">
        <v>107</v>
      </c>
      <c r="H17" s="118" t="s">
        <v>109</v>
      </c>
      <c r="I17" s="12"/>
    </row>
    <row r="18" spans="1:9" s="13" customFormat="1" ht="16.05" customHeight="1">
      <c r="A18" s="111"/>
      <c r="B18" s="20"/>
      <c r="C18" s="18">
        <v>8</v>
      </c>
      <c r="D18" s="33" t="s">
        <v>117</v>
      </c>
      <c r="E18" s="33" t="s">
        <v>125</v>
      </c>
      <c r="F18" s="32" t="s">
        <v>116</v>
      </c>
      <c r="G18" s="32" t="s">
        <v>107</v>
      </c>
      <c r="H18" s="118" t="s">
        <v>109</v>
      </c>
      <c r="I18" s="12"/>
    </row>
    <row r="19" spans="1:9" s="13" customFormat="1" ht="16.05" customHeight="1">
      <c r="A19" s="111"/>
      <c r="B19" s="20"/>
      <c r="C19" s="14">
        <v>9</v>
      </c>
      <c r="D19" s="33" t="s">
        <v>118</v>
      </c>
      <c r="E19" s="33" t="s">
        <v>126</v>
      </c>
      <c r="F19" s="32" t="s">
        <v>91</v>
      </c>
      <c r="G19" s="32" t="s">
        <v>107</v>
      </c>
      <c r="H19" s="118" t="s">
        <v>109</v>
      </c>
      <c r="I19" s="12"/>
    </row>
    <row r="20" spans="1:9" s="13" customFormat="1" ht="16.05" customHeight="1">
      <c r="A20" s="111"/>
      <c r="B20" s="20"/>
      <c r="C20" s="18">
        <v>10</v>
      </c>
      <c r="D20" s="33" t="s">
        <v>119</v>
      </c>
      <c r="E20" s="38" t="s">
        <v>126</v>
      </c>
      <c r="F20" s="32" t="s">
        <v>92</v>
      </c>
      <c r="G20" s="39" t="s">
        <v>107</v>
      </c>
      <c r="H20" s="118" t="s">
        <v>109</v>
      </c>
      <c r="I20" s="12"/>
    </row>
    <row r="21" spans="1:9" s="13" customFormat="1" ht="16.05" customHeight="1">
      <c r="A21" s="111"/>
      <c r="B21" s="20"/>
      <c r="C21" s="14">
        <v>11</v>
      </c>
      <c r="D21" s="33" t="s">
        <v>121</v>
      </c>
      <c r="E21" s="33" t="s">
        <v>127</v>
      </c>
      <c r="F21" s="32" t="s">
        <v>120</v>
      </c>
      <c r="G21" s="32" t="s">
        <v>107</v>
      </c>
      <c r="H21" s="118" t="s">
        <v>109</v>
      </c>
      <c r="I21" s="12"/>
    </row>
    <row r="22" spans="1:9" s="13" customFormat="1" ht="16.05" customHeight="1">
      <c r="A22" s="112"/>
      <c r="B22" s="113"/>
      <c r="C22" s="114">
        <v>12</v>
      </c>
      <c r="D22" s="115" t="s">
        <v>123</v>
      </c>
      <c r="E22" s="115" t="s">
        <v>128</v>
      </c>
      <c r="F22" s="116" t="s">
        <v>122</v>
      </c>
      <c r="G22" s="116" t="s">
        <v>107</v>
      </c>
      <c r="H22" s="119" t="s">
        <v>109</v>
      </c>
      <c r="I22" s="12"/>
    </row>
    <row r="23" spans="1:9" s="139" customFormat="1" ht="16.05" customHeight="1">
      <c r="A23" s="132" t="s">
        <v>142</v>
      </c>
      <c r="B23" s="133" t="s">
        <v>147</v>
      </c>
      <c r="C23" s="134">
        <v>1</v>
      </c>
      <c r="D23" s="135" t="s">
        <v>143</v>
      </c>
      <c r="E23" s="135" t="s">
        <v>144</v>
      </c>
      <c r="F23" s="136" t="s">
        <v>143</v>
      </c>
      <c r="G23" s="136" t="s">
        <v>145</v>
      </c>
      <c r="H23" s="137" t="s">
        <v>146</v>
      </c>
      <c r="I23" s="138"/>
    </row>
    <row r="24" spans="1:9" s="13" customFormat="1" ht="16.05" customHeight="1">
      <c r="A24" s="15"/>
      <c r="B24" s="16"/>
      <c r="C24" s="14"/>
      <c r="D24" s="34"/>
      <c r="E24" s="34"/>
      <c r="F24" s="35"/>
      <c r="G24" s="35"/>
      <c r="H24" s="17"/>
      <c r="I24" s="12"/>
    </row>
    <row r="25" spans="1:9" s="13" customFormat="1" ht="16.05" customHeight="1">
      <c r="A25" s="19"/>
      <c r="B25" s="20"/>
      <c r="C25" s="18"/>
      <c r="D25" s="33"/>
      <c r="E25" s="33"/>
      <c r="F25" s="32"/>
      <c r="G25" s="32"/>
      <c r="I25" s="12"/>
    </row>
    <row r="26" spans="1:9" s="13" customFormat="1" ht="16.05" customHeight="1">
      <c r="A26" s="19"/>
      <c r="B26" s="20"/>
      <c r="C26" s="18"/>
      <c r="D26" s="33"/>
      <c r="E26" s="33"/>
      <c r="F26" s="32"/>
      <c r="G26" s="32"/>
      <c r="I26" s="12"/>
    </row>
    <row r="27" spans="1:9" s="13" customFormat="1" ht="16.05" customHeight="1">
      <c r="A27" s="19"/>
      <c r="B27" s="20"/>
      <c r="C27" s="18"/>
      <c r="D27" s="33"/>
      <c r="E27" s="33"/>
      <c r="F27" s="32"/>
      <c r="G27" s="32"/>
      <c r="I27" s="12"/>
    </row>
    <row r="28" spans="1:9" s="13" customFormat="1" ht="16.05" customHeight="1">
      <c r="A28" s="19"/>
      <c r="B28" s="20"/>
      <c r="C28" s="18"/>
      <c r="D28" s="33"/>
      <c r="E28" s="33"/>
      <c r="F28" s="32"/>
      <c r="G28" s="32"/>
      <c r="I28" s="12"/>
    </row>
    <row r="29" spans="1:9" s="13" customFormat="1" ht="16.05" customHeight="1">
      <c r="A29" s="19"/>
      <c r="B29" s="20"/>
      <c r="C29" s="18"/>
      <c r="D29" s="33"/>
      <c r="E29" s="33"/>
      <c r="F29" s="32"/>
      <c r="G29" s="32"/>
      <c r="I29" s="12"/>
    </row>
    <row r="30" spans="1:9" s="13" customFormat="1" ht="16.05" customHeight="1">
      <c r="A30" s="19"/>
      <c r="B30" s="20"/>
      <c r="C30" s="18"/>
      <c r="D30" s="33"/>
      <c r="E30" s="33"/>
      <c r="F30" s="32"/>
      <c r="G30" s="32"/>
      <c r="I30" s="12"/>
    </row>
    <row r="31" spans="1:9" s="13" customFormat="1" ht="16.05" customHeight="1">
      <c r="A31" s="19"/>
      <c r="B31" s="20"/>
      <c r="C31" s="18"/>
      <c r="D31" s="33"/>
      <c r="E31" s="33"/>
      <c r="F31" s="32"/>
      <c r="G31" s="32"/>
      <c r="I31" s="12"/>
    </row>
    <row r="32" spans="1:9" s="13" customFormat="1" ht="16.05" customHeight="1">
      <c r="A32" s="19"/>
      <c r="B32" s="20"/>
      <c r="C32" s="18"/>
      <c r="D32" s="33"/>
      <c r="E32" s="33"/>
      <c r="F32" s="32"/>
      <c r="G32" s="32"/>
      <c r="I32" s="12"/>
    </row>
    <row r="33" spans="1:9" s="13" customFormat="1" ht="16.05" customHeight="1">
      <c r="A33" s="19"/>
      <c r="B33" s="20"/>
      <c r="C33" s="18"/>
      <c r="D33" s="33"/>
      <c r="E33" s="33"/>
      <c r="F33" s="32"/>
      <c r="G33" s="32"/>
      <c r="I33" s="12"/>
    </row>
    <row r="34" spans="1:9" s="13" customFormat="1" ht="16.05" customHeight="1">
      <c r="A34" s="19"/>
      <c r="B34" s="20"/>
      <c r="C34" s="18"/>
      <c r="D34" s="33"/>
      <c r="E34" s="33"/>
      <c r="F34" s="32"/>
      <c r="G34" s="32"/>
      <c r="I34" s="12"/>
    </row>
    <row r="35" spans="1:9" s="13" customFormat="1" ht="16.05" customHeight="1">
      <c r="A35" s="19"/>
      <c r="B35" s="20"/>
      <c r="C35" s="18"/>
      <c r="D35" s="33"/>
      <c r="E35" s="33"/>
      <c r="F35" s="32"/>
      <c r="G35" s="32"/>
      <c r="I35" s="12"/>
    </row>
    <row r="36" spans="1:9" s="13" customFormat="1" ht="16.05" customHeight="1">
      <c r="A36" s="19"/>
      <c r="B36" s="20"/>
      <c r="C36" s="18"/>
      <c r="D36" s="33"/>
      <c r="E36" s="33"/>
      <c r="F36" s="32"/>
      <c r="G36" s="32"/>
      <c r="I36" s="12"/>
    </row>
    <row r="37" spans="1:9" s="13" customFormat="1" ht="16.05" customHeight="1">
      <c r="A37" s="19"/>
      <c r="B37" s="20"/>
      <c r="C37" s="18"/>
      <c r="D37" s="33"/>
      <c r="E37" s="33"/>
      <c r="F37" s="32"/>
      <c r="G37" s="32"/>
      <c r="I37" s="12"/>
    </row>
    <row r="38" spans="1:9" s="13" customFormat="1" ht="16.05" customHeight="1">
      <c r="A38" s="19"/>
      <c r="B38" s="20"/>
      <c r="C38" s="18"/>
      <c r="D38" s="33"/>
      <c r="E38" s="33"/>
      <c r="F38" s="32"/>
      <c r="G38" s="32"/>
      <c r="I38" s="12"/>
    </row>
    <row r="39" spans="1:9" s="13" customFormat="1" ht="16.05" customHeight="1">
      <c r="A39" s="19"/>
      <c r="B39" s="20"/>
      <c r="C39" s="18"/>
      <c r="D39" s="33"/>
      <c r="E39" s="33"/>
      <c r="F39" s="32"/>
      <c r="G39" s="32"/>
      <c r="I39" s="12"/>
    </row>
    <row r="40" spans="1:9" s="13" customFormat="1" ht="16.05" customHeight="1">
      <c r="A40" s="19"/>
      <c r="B40" s="20"/>
      <c r="C40" s="18"/>
      <c r="D40" s="33"/>
      <c r="E40" s="33"/>
      <c r="F40" s="32"/>
      <c r="G40" s="32"/>
      <c r="I40" s="12"/>
    </row>
    <row r="41" spans="1:9" s="13" customFormat="1" ht="16.05" customHeight="1">
      <c r="A41" s="19"/>
      <c r="B41" s="20"/>
      <c r="C41" s="18"/>
      <c r="D41" s="33"/>
      <c r="E41" s="33"/>
      <c r="F41" s="32"/>
      <c r="G41" s="32"/>
      <c r="I41" s="12"/>
    </row>
    <row r="42" spans="1:9" s="13" customFormat="1" ht="16.05" customHeight="1">
      <c r="A42" s="19"/>
      <c r="B42" s="20"/>
      <c r="C42" s="18"/>
      <c r="D42" s="33"/>
      <c r="E42" s="33"/>
      <c r="F42" s="32"/>
      <c r="G42" s="32"/>
      <c r="I42" s="12"/>
    </row>
    <row r="43" spans="1:9" s="13" customFormat="1" ht="16.05" customHeight="1">
      <c r="A43" s="19"/>
      <c r="B43" s="20"/>
      <c r="C43" s="18"/>
      <c r="D43" s="33"/>
      <c r="E43" s="33"/>
      <c r="F43" s="32"/>
      <c r="G43" s="32"/>
      <c r="I43" s="12"/>
    </row>
    <row r="44" spans="1:9" s="13" customFormat="1" ht="16.05" customHeight="1">
      <c r="A44" s="19"/>
      <c r="B44" s="20"/>
      <c r="C44" s="18"/>
      <c r="D44" s="33"/>
      <c r="E44" s="33"/>
      <c r="F44" s="32"/>
      <c r="G44" s="32"/>
      <c r="I44" s="12"/>
    </row>
    <row r="45" spans="1:9" s="13" customFormat="1" ht="16.05" customHeight="1">
      <c r="A45" s="19"/>
      <c r="B45" s="20"/>
      <c r="C45" s="18"/>
      <c r="D45" s="33"/>
      <c r="E45" s="33"/>
      <c r="F45" s="32"/>
      <c r="G45" s="32"/>
      <c r="I45" s="12"/>
    </row>
    <row r="46" spans="1:9" s="13" customFormat="1" ht="16.05" customHeight="1">
      <c r="A46" s="19"/>
      <c r="B46" s="20"/>
      <c r="C46" s="18"/>
      <c r="D46" s="33"/>
      <c r="E46" s="33"/>
      <c r="F46" s="32"/>
      <c r="G46" s="32"/>
      <c r="I46" s="12"/>
    </row>
    <row r="47" spans="1:9" s="13" customFormat="1" ht="16.05" customHeight="1">
      <c r="A47" s="19"/>
      <c r="B47" s="20"/>
      <c r="C47" s="18"/>
      <c r="D47" s="33"/>
      <c r="E47" s="33"/>
      <c r="F47" s="32"/>
      <c r="G47" s="32"/>
      <c r="I47" s="12"/>
    </row>
    <row r="48" spans="1:9" s="13" customFormat="1" ht="16.05" customHeight="1">
      <c r="A48" s="19"/>
      <c r="B48" s="20"/>
      <c r="C48" s="18"/>
      <c r="D48" s="33"/>
      <c r="E48" s="33"/>
      <c r="F48" s="32"/>
      <c r="G48" s="32"/>
      <c r="I48" s="12"/>
    </row>
    <row r="49" spans="1:9" s="13" customFormat="1" ht="16.05" customHeight="1">
      <c r="A49" s="19"/>
      <c r="B49" s="20"/>
      <c r="C49" s="18"/>
      <c r="D49" s="33"/>
      <c r="E49" s="33"/>
      <c r="F49" s="32"/>
      <c r="G49" s="32"/>
      <c r="I49" s="12"/>
    </row>
    <row r="50" spans="1:9" s="13" customFormat="1" ht="16.05" customHeight="1">
      <c r="A50" s="19"/>
      <c r="B50" s="20"/>
      <c r="C50" s="18"/>
      <c r="D50" s="33"/>
      <c r="E50" s="33"/>
      <c r="F50" s="32"/>
      <c r="G50" s="32"/>
      <c r="I50" s="12"/>
    </row>
    <row r="51" spans="1:9" s="13" customFormat="1" ht="16.05" customHeight="1">
      <c r="A51" s="19"/>
      <c r="B51" s="20"/>
      <c r="C51" s="18"/>
      <c r="D51" s="33"/>
      <c r="E51" s="33"/>
      <c r="F51" s="32"/>
      <c r="G51" s="32"/>
      <c r="I51" s="12"/>
    </row>
    <row r="52" spans="1:9" s="13" customFormat="1" ht="16.05" customHeight="1">
      <c r="A52" s="19"/>
      <c r="B52" s="20"/>
      <c r="C52" s="18"/>
      <c r="D52" s="33"/>
      <c r="E52" s="33"/>
      <c r="F52" s="32"/>
      <c r="G52" s="32"/>
      <c r="I52" s="12"/>
    </row>
    <row r="53" spans="1:9" s="13" customFormat="1" ht="18" customHeight="1">
      <c r="A53" s="28"/>
      <c r="B53" s="29"/>
      <c r="C53" s="14"/>
      <c r="D53" s="30"/>
      <c r="E53" s="30"/>
      <c r="F53" s="31"/>
      <c r="G53" s="31"/>
      <c r="H53" s="17"/>
    </row>
    <row r="54" spans="1:9" s="13" customFormat="1" ht="18" customHeight="1">
      <c r="A54" s="23"/>
      <c r="B54" s="24"/>
      <c r="C54" s="18"/>
      <c r="D54" s="25"/>
      <c r="E54" s="25"/>
      <c r="F54" s="26"/>
      <c r="G54" s="26"/>
    </row>
    <row r="55" spans="1:9" s="13" customFormat="1" ht="18" customHeight="1">
      <c r="A55" s="23"/>
      <c r="B55" s="24"/>
      <c r="C55" s="18"/>
      <c r="D55" s="25"/>
      <c r="E55" s="25"/>
      <c r="F55" s="26"/>
      <c r="G55" s="26"/>
    </row>
    <row r="56" spans="1:9" s="13" customFormat="1" ht="18" customHeight="1">
      <c r="A56" s="23"/>
      <c r="B56" s="24"/>
      <c r="C56" s="18"/>
      <c r="D56" s="25"/>
      <c r="E56" s="25"/>
      <c r="F56" s="26"/>
      <c r="G56" s="26"/>
    </row>
    <row r="57" spans="1:9" s="13" customFormat="1" ht="18" customHeight="1">
      <c r="A57" s="23"/>
      <c r="B57" s="24"/>
      <c r="C57" s="18"/>
      <c r="D57" s="25"/>
      <c r="E57" s="25"/>
      <c r="F57" s="26"/>
      <c r="G57" s="26"/>
    </row>
    <row r="58" spans="1:9" s="13" customFormat="1" ht="18" customHeight="1">
      <c r="A58" s="23"/>
      <c r="B58" s="24"/>
      <c r="C58" s="18"/>
      <c r="D58" s="25"/>
      <c r="E58" s="25"/>
      <c r="F58" s="26"/>
      <c r="G58" s="26"/>
      <c r="H58" s="27"/>
    </row>
    <row r="59" spans="1:9" s="13" customFormat="1" ht="18" customHeight="1">
      <c r="A59" s="23"/>
      <c r="B59" s="24"/>
      <c r="C59" s="18"/>
      <c r="D59" s="25"/>
      <c r="E59" s="25"/>
      <c r="F59" s="26"/>
      <c r="G59" s="26"/>
      <c r="H59" s="27"/>
    </row>
    <row r="60" spans="1:9" s="13" customFormat="1" ht="18" customHeight="1">
      <c r="A60" s="23"/>
      <c r="B60" s="24"/>
      <c r="C60" s="18"/>
      <c r="D60" s="25"/>
      <c r="E60" s="25"/>
      <c r="F60" s="26"/>
      <c r="G60" s="26"/>
      <c r="H60" s="27"/>
    </row>
    <row r="61" spans="1:9" s="13" customFormat="1" ht="18" customHeight="1">
      <c r="A61" s="23"/>
      <c r="B61" s="24"/>
      <c r="C61" s="18"/>
      <c r="D61" s="25"/>
      <c r="E61" s="25"/>
      <c r="F61" s="26"/>
      <c r="G61" s="26"/>
      <c r="H61" s="27"/>
    </row>
    <row r="62" spans="1:9" s="13" customFormat="1" ht="18" customHeight="1">
      <c r="A62" s="23"/>
      <c r="B62" s="24"/>
      <c r="C62" s="18"/>
      <c r="D62" s="25"/>
      <c r="E62" s="25"/>
      <c r="F62" s="26"/>
      <c r="G62" s="26"/>
      <c r="H62" s="27"/>
    </row>
    <row r="63" spans="1:9" s="13" customFormat="1" ht="18" customHeight="1">
      <c r="A63" s="23"/>
      <c r="B63" s="24"/>
      <c r="C63" s="18"/>
      <c r="D63" s="25"/>
      <c r="E63" s="25"/>
      <c r="F63" s="26"/>
      <c r="G63" s="26"/>
      <c r="H63" s="27"/>
    </row>
    <row r="64" spans="1:9" s="13" customFormat="1" ht="18" customHeight="1">
      <c r="A64" s="23"/>
      <c r="B64" s="24"/>
      <c r="C64" s="18"/>
      <c r="D64" s="25"/>
      <c r="E64" s="25"/>
      <c r="F64" s="26"/>
      <c r="G64" s="26"/>
      <c r="H64" s="27"/>
    </row>
    <row r="65" spans="1:8" s="13" customFormat="1" ht="18" customHeight="1">
      <c r="A65" s="23"/>
      <c r="B65" s="24"/>
      <c r="C65" s="18"/>
      <c r="D65" s="25"/>
      <c r="E65" s="25"/>
      <c r="F65" s="26"/>
      <c r="G65" s="26"/>
      <c r="H65" s="27"/>
    </row>
    <row r="66" spans="1:8" s="13" customFormat="1" ht="18" customHeight="1">
      <c r="A66" s="23"/>
      <c r="B66" s="24"/>
      <c r="C66" s="18"/>
      <c r="D66" s="25"/>
      <c r="E66" s="25"/>
      <c r="F66" s="26"/>
      <c r="G66" s="26"/>
      <c r="H66" s="27"/>
    </row>
    <row r="67" spans="1:8" s="13" customFormat="1" ht="18" customHeight="1">
      <c r="A67" s="23"/>
      <c r="B67" s="24"/>
      <c r="C67" s="18"/>
      <c r="D67" s="25"/>
      <c r="E67" s="25"/>
      <c r="F67" s="26"/>
      <c r="G67" s="26"/>
      <c r="H67" s="27"/>
    </row>
    <row r="68" spans="1:8" s="13" customFormat="1" ht="18" customHeight="1">
      <c r="A68" s="23"/>
      <c r="B68" s="24"/>
      <c r="C68" s="18"/>
      <c r="D68" s="25"/>
      <c r="E68" s="25"/>
      <c r="F68" s="26"/>
      <c r="G68" s="26"/>
      <c r="H68" s="27"/>
    </row>
    <row r="69" spans="1:8" s="13" customFormat="1" ht="18" customHeight="1">
      <c r="A69" s="23"/>
      <c r="B69" s="24"/>
      <c r="C69" s="18"/>
      <c r="D69" s="25"/>
      <c r="E69" s="25"/>
      <c r="F69" s="26"/>
      <c r="G69" s="26"/>
      <c r="H69" s="27"/>
    </row>
    <row r="70" spans="1:8" s="13" customFormat="1" ht="18" customHeight="1">
      <c r="A70" s="23"/>
      <c r="B70" s="24"/>
      <c r="C70" s="18"/>
      <c r="D70" s="25"/>
      <c r="E70" s="25"/>
      <c r="F70" s="26"/>
      <c r="G70" s="26"/>
      <c r="H70" s="27"/>
    </row>
    <row r="71" spans="1:8" s="13" customFormat="1" ht="18" customHeight="1">
      <c r="A71" s="23"/>
      <c r="B71" s="24"/>
      <c r="C71" s="18"/>
      <c r="D71" s="25"/>
      <c r="E71" s="25"/>
      <c r="F71" s="26"/>
      <c r="G71" s="26"/>
      <c r="H71" s="27"/>
    </row>
    <row r="72" spans="1:8" s="13" customFormat="1" ht="18" customHeight="1">
      <c r="A72" s="23"/>
      <c r="B72" s="24"/>
      <c r="C72" s="18"/>
      <c r="D72" s="25"/>
      <c r="E72" s="25"/>
      <c r="F72" s="26"/>
      <c r="G72" s="26"/>
      <c r="H72" s="27"/>
    </row>
    <row r="73" spans="1:8" s="13" customFormat="1" ht="18" customHeight="1">
      <c r="A73" s="23"/>
      <c r="B73" s="24"/>
      <c r="C73" s="18"/>
      <c r="D73" s="25"/>
      <c r="E73" s="25"/>
      <c r="F73" s="26"/>
      <c r="G73" s="26"/>
      <c r="H73" s="27"/>
    </row>
    <row r="74" spans="1:8" s="13" customFormat="1" ht="18" customHeight="1">
      <c r="A74" s="23"/>
      <c r="B74" s="24"/>
      <c r="C74" s="18"/>
      <c r="D74" s="25"/>
      <c r="E74" s="25"/>
      <c r="F74" s="26"/>
      <c r="G74" s="26"/>
      <c r="H74" s="27"/>
    </row>
    <row r="75" spans="1:8" s="13" customFormat="1" ht="18" customHeight="1">
      <c r="A75" s="23"/>
      <c r="B75" s="24"/>
      <c r="C75" s="18"/>
      <c r="D75" s="25"/>
      <c r="E75" s="25"/>
      <c r="F75" s="26"/>
      <c r="G75" s="26"/>
      <c r="H75" s="27"/>
    </row>
    <row r="76" spans="1:8" s="13" customFormat="1" ht="18" customHeight="1">
      <c r="A76" s="23"/>
      <c r="B76" s="24"/>
      <c r="C76" s="18"/>
      <c r="D76" s="25"/>
      <c r="E76" s="25"/>
      <c r="F76" s="26"/>
      <c r="G76" s="26"/>
      <c r="H76" s="27"/>
    </row>
    <row r="77" spans="1:8" s="13" customFormat="1" ht="18" customHeight="1">
      <c r="A77" s="23"/>
      <c r="B77" s="24"/>
      <c r="C77" s="18"/>
      <c r="D77" s="25"/>
      <c r="E77" s="25"/>
      <c r="F77" s="26"/>
      <c r="G77" s="26"/>
      <c r="H77" s="27"/>
    </row>
    <row r="78" spans="1:8" s="13" customFormat="1" ht="18" customHeight="1">
      <c r="A78" s="23"/>
      <c r="B78" s="24"/>
      <c r="C78" s="18"/>
      <c r="D78" s="25"/>
      <c r="E78" s="25"/>
      <c r="F78" s="26"/>
      <c r="G78" s="26"/>
      <c r="H78" s="27"/>
    </row>
    <row r="79" spans="1:8" s="13" customFormat="1" ht="18" customHeight="1">
      <c r="A79" s="23"/>
      <c r="B79" s="24"/>
      <c r="C79" s="18"/>
      <c r="D79" s="25"/>
      <c r="E79" s="25"/>
      <c r="F79" s="26"/>
      <c r="G79" s="26"/>
      <c r="H79" s="27"/>
    </row>
    <row r="80" spans="1:8" s="13" customFormat="1" ht="18" customHeight="1">
      <c r="A80" s="23"/>
      <c r="B80" s="24"/>
      <c r="C80" s="18"/>
      <c r="D80" s="25"/>
      <c r="E80" s="25"/>
      <c r="F80" s="26"/>
      <c r="G80" s="26"/>
      <c r="H80" s="27"/>
    </row>
    <row r="81" spans="1:8" s="13" customFormat="1" ht="18" customHeight="1">
      <c r="A81" s="23"/>
      <c r="B81" s="24"/>
      <c r="C81" s="18"/>
      <c r="D81" s="25"/>
      <c r="E81" s="25"/>
      <c r="F81" s="26"/>
      <c r="G81" s="26"/>
      <c r="H81" s="27"/>
    </row>
    <row r="82" spans="1:8" s="13" customFormat="1" ht="18" customHeight="1">
      <c r="A82" s="23"/>
      <c r="B82" s="24"/>
      <c r="C82" s="18"/>
      <c r="D82" s="25"/>
      <c r="E82" s="25"/>
      <c r="F82" s="26"/>
      <c r="G82" s="26"/>
      <c r="H82" s="27"/>
    </row>
    <row r="83" spans="1:8" s="13" customFormat="1" ht="18" customHeight="1">
      <c r="A83" s="23"/>
      <c r="B83" s="24"/>
      <c r="C83" s="18"/>
      <c r="D83" s="25"/>
      <c r="E83" s="25"/>
      <c r="F83" s="26"/>
      <c r="G83" s="26"/>
      <c r="H83" s="27"/>
    </row>
    <row r="84" spans="1:8" s="13" customFormat="1" ht="18" customHeight="1">
      <c r="A84" s="23"/>
      <c r="B84" s="24"/>
      <c r="C84" s="18"/>
      <c r="D84" s="25"/>
      <c r="E84" s="25"/>
      <c r="F84" s="26"/>
      <c r="G84" s="26"/>
      <c r="H84" s="27"/>
    </row>
    <row r="85" spans="1:8" s="13" customFormat="1" ht="18" customHeight="1">
      <c r="A85" s="23"/>
      <c r="B85" s="24"/>
      <c r="C85" s="18"/>
      <c r="D85" s="25"/>
      <c r="E85" s="25"/>
      <c r="F85" s="26"/>
      <c r="G85" s="26"/>
      <c r="H85" s="27"/>
    </row>
    <row r="86" spans="1:8" s="13" customFormat="1" ht="18" customHeight="1">
      <c r="A86" s="23"/>
      <c r="B86" s="24"/>
      <c r="C86" s="18"/>
      <c r="D86" s="25"/>
      <c r="E86" s="25"/>
      <c r="F86" s="26"/>
      <c r="G86" s="26"/>
      <c r="H86" s="27"/>
    </row>
    <row r="87" spans="1:8" s="13" customFormat="1" ht="18" customHeight="1">
      <c r="A87" s="23"/>
      <c r="B87" s="24"/>
      <c r="C87" s="18"/>
      <c r="D87" s="25"/>
      <c r="E87" s="25"/>
      <c r="F87" s="26"/>
      <c r="G87" s="26"/>
      <c r="H87" s="27"/>
    </row>
    <row r="88" spans="1:8" s="13" customFormat="1" ht="18" customHeight="1">
      <c r="A88" s="23"/>
      <c r="B88" s="24"/>
      <c r="C88" s="18"/>
      <c r="D88" s="25"/>
      <c r="E88" s="25"/>
      <c r="F88" s="26"/>
      <c r="G88" s="26"/>
      <c r="H88" s="27"/>
    </row>
    <row r="89" spans="1:8" s="13" customFormat="1" ht="18" customHeight="1">
      <c r="A89" s="23"/>
      <c r="B89" s="24"/>
      <c r="C89" s="18"/>
      <c r="D89" s="25"/>
      <c r="E89" s="25"/>
      <c r="F89" s="26"/>
      <c r="G89" s="26"/>
      <c r="H89" s="27"/>
    </row>
    <row r="90" spans="1:8" s="13" customFormat="1" ht="18" customHeight="1">
      <c r="A90" s="23"/>
      <c r="B90" s="24"/>
      <c r="C90" s="18"/>
      <c r="D90" s="25"/>
      <c r="E90" s="25"/>
      <c r="F90" s="26"/>
      <c r="G90" s="26"/>
      <c r="H90" s="27"/>
    </row>
    <row r="91" spans="1:8" s="13" customFormat="1" ht="18" customHeight="1">
      <c r="A91" s="23"/>
      <c r="B91" s="24"/>
      <c r="C91" s="18"/>
      <c r="D91" s="25"/>
      <c r="E91" s="25"/>
      <c r="F91" s="26"/>
      <c r="G91" s="26"/>
      <c r="H91" s="27"/>
    </row>
    <row r="92" spans="1:8" s="13" customFormat="1" ht="18" customHeight="1">
      <c r="A92" s="23"/>
      <c r="B92" s="24"/>
      <c r="C92" s="18"/>
      <c r="D92" s="25"/>
      <c r="E92" s="25"/>
      <c r="F92" s="26"/>
      <c r="G92" s="26"/>
      <c r="H92" s="27"/>
    </row>
    <row r="93" spans="1:8" s="13" customFormat="1" ht="18" customHeight="1">
      <c r="A93" s="23"/>
      <c r="B93" s="24"/>
      <c r="C93" s="18"/>
      <c r="D93" s="25"/>
      <c r="E93" s="25"/>
      <c r="F93" s="26"/>
      <c r="G93" s="26"/>
      <c r="H93" s="27"/>
    </row>
    <row r="94" spans="1:8" s="13" customFormat="1" ht="18" customHeight="1">
      <c r="A94" s="23"/>
      <c r="B94" s="24"/>
      <c r="C94" s="18"/>
      <c r="D94" s="25"/>
      <c r="E94" s="25"/>
      <c r="F94" s="26"/>
      <c r="G94" s="26"/>
      <c r="H94" s="27"/>
    </row>
    <row r="95" spans="1:8" s="13" customFormat="1" ht="18" customHeight="1">
      <c r="A95" s="23"/>
      <c r="B95" s="24"/>
      <c r="C95" s="18"/>
      <c r="D95" s="25"/>
      <c r="E95" s="25"/>
      <c r="F95" s="26"/>
      <c r="G95" s="26"/>
      <c r="H95" s="27"/>
    </row>
    <row r="96" spans="1:8" s="13" customFormat="1" ht="18" customHeight="1">
      <c r="A96" s="23"/>
      <c r="B96" s="24"/>
      <c r="C96" s="18"/>
      <c r="D96" s="25"/>
      <c r="E96" s="25"/>
      <c r="F96" s="26"/>
      <c r="G96" s="26"/>
      <c r="H96" s="27"/>
    </row>
    <row r="97" spans="1:8" s="13" customFormat="1" ht="18" customHeight="1">
      <c r="A97" s="23"/>
      <c r="B97" s="24"/>
      <c r="C97" s="18"/>
      <c r="D97" s="25"/>
      <c r="E97" s="25"/>
      <c r="F97" s="26"/>
      <c r="G97" s="26"/>
      <c r="H97" s="27"/>
    </row>
    <row r="98" spans="1:8" s="13" customFormat="1" ht="18" customHeight="1">
      <c r="A98" s="23"/>
      <c r="B98" s="24"/>
      <c r="C98" s="18"/>
      <c r="D98" s="25"/>
      <c r="E98" s="25"/>
      <c r="F98" s="26"/>
      <c r="G98" s="26"/>
      <c r="H98" s="27"/>
    </row>
    <row r="99" spans="1:8" s="13" customFormat="1" ht="18" customHeight="1">
      <c r="A99" s="23"/>
      <c r="B99" s="24"/>
      <c r="C99" s="18"/>
      <c r="D99" s="25"/>
      <c r="E99" s="25"/>
      <c r="F99" s="26"/>
      <c r="G99" s="26"/>
      <c r="H99" s="27"/>
    </row>
    <row r="100" spans="1:8" s="13" customFormat="1" ht="18" customHeight="1">
      <c r="A100" s="23"/>
      <c r="B100" s="24"/>
      <c r="C100" s="18"/>
      <c r="D100" s="25"/>
      <c r="E100" s="25"/>
      <c r="F100" s="26"/>
      <c r="G100" s="26"/>
      <c r="H100" s="27"/>
    </row>
    <row r="101" spans="1:8" s="13" customFormat="1" ht="18" customHeight="1">
      <c r="A101" s="23"/>
      <c r="B101" s="24"/>
      <c r="C101" s="18"/>
      <c r="D101" s="25"/>
      <c r="E101" s="25"/>
      <c r="F101" s="26"/>
      <c r="G101" s="26"/>
      <c r="H101" s="27"/>
    </row>
    <row r="102" spans="1:8" s="13" customFormat="1" ht="18" customHeight="1">
      <c r="A102" s="23"/>
      <c r="B102" s="24"/>
      <c r="C102" s="18"/>
      <c r="D102" s="25"/>
      <c r="E102" s="25"/>
      <c r="F102" s="26"/>
      <c r="G102" s="26"/>
      <c r="H102" s="27"/>
    </row>
    <row r="103" spans="1:8" s="13" customFormat="1" ht="18" customHeight="1">
      <c r="A103" s="23"/>
      <c r="B103" s="24"/>
      <c r="C103" s="18"/>
      <c r="D103" s="25"/>
      <c r="E103" s="25"/>
      <c r="F103" s="26"/>
      <c r="G103" s="26"/>
      <c r="H103" s="27"/>
    </row>
    <row r="104" spans="1:8" s="13" customFormat="1" ht="18" customHeight="1">
      <c r="A104" s="23"/>
      <c r="B104" s="24"/>
      <c r="C104" s="18"/>
      <c r="D104" s="25"/>
      <c r="E104" s="25"/>
      <c r="F104" s="26"/>
      <c r="G104" s="26"/>
      <c r="H104" s="27"/>
    </row>
    <row r="105" spans="1:8" s="13" customFormat="1" ht="18" customHeight="1">
      <c r="A105" s="23"/>
      <c r="B105" s="24"/>
      <c r="C105" s="18"/>
      <c r="D105" s="25"/>
      <c r="E105" s="25"/>
      <c r="F105" s="26"/>
      <c r="G105" s="26"/>
      <c r="H105" s="27"/>
    </row>
    <row r="106" spans="1:8" s="13" customFormat="1" ht="18" customHeight="1">
      <c r="A106" s="23"/>
      <c r="B106" s="24"/>
      <c r="C106" s="18"/>
      <c r="D106" s="25"/>
      <c r="E106" s="25"/>
      <c r="F106" s="26"/>
      <c r="G106" s="26"/>
      <c r="H106" s="27"/>
    </row>
    <row r="107" spans="1:8" s="13" customFormat="1" ht="18" customHeight="1">
      <c r="A107" s="23"/>
      <c r="B107" s="24"/>
      <c r="C107" s="18"/>
      <c r="D107" s="25"/>
      <c r="E107" s="25"/>
      <c r="F107" s="26"/>
      <c r="G107" s="26"/>
      <c r="H107" s="27"/>
    </row>
    <row r="108" spans="1:8" s="13" customFormat="1" ht="18" customHeight="1">
      <c r="A108" s="23"/>
      <c r="B108" s="24"/>
      <c r="C108" s="18"/>
      <c r="D108" s="25"/>
      <c r="E108" s="25"/>
      <c r="F108" s="26"/>
      <c r="G108" s="26"/>
      <c r="H108" s="27"/>
    </row>
    <row r="109" spans="1:8" s="13" customFormat="1" ht="18" customHeight="1">
      <c r="A109" s="23"/>
      <c r="B109" s="24"/>
      <c r="C109" s="18"/>
      <c r="D109" s="25"/>
      <c r="E109" s="25"/>
      <c r="F109" s="26"/>
      <c r="G109" s="26"/>
      <c r="H109" s="27"/>
    </row>
    <row r="110" spans="1:8" s="13" customFormat="1" ht="18" customHeight="1">
      <c r="A110" s="23"/>
      <c r="B110" s="24"/>
      <c r="C110" s="18"/>
      <c r="D110" s="25"/>
      <c r="E110" s="25"/>
      <c r="F110" s="26"/>
      <c r="G110" s="26"/>
      <c r="H110" s="27"/>
    </row>
    <row r="111" spans="1:8" s="13" customFormat="1" ht="18" customHeight="1">
      <c r="A111" s="23"/>
      <c r="B111" s="24"/>
      <c r="C111" s="18"/>
      <c r="D111" s="25"/>
      <c r="E111" s="25"/>
      <c r="F111" s="26"/>
      <c r="G111" s="26"/>
      <c r="H111" s="27"/>
    </row>
    <row r="112" spans="1:8" s="13" customFormat="1" ht="18" customHeight="1">
      <c r="A112" s="23"/>
      <c r="B112" s="24"/>
      <c r="C112" s="18"/>
      <c r="D112" s="25"/>
      <c r="E112" s="25"/>
      <c r="F112" s="26"/>
      <c r="G112" s="26"/>
      <c r="H112" s="27"/>
    </row>
    <row r="113" spans="1:8" s="13" customFormat="1" ht="18" customHeight="1">
      <c r="A113" s="23"/>
      <c r="B113" s="24"/>
      <c r="C113" s="18"/>
      <c r="D113" s="25"/>
      <c r="E113" s="25"/>
      <c r="F113" s="26"/>
      <c r="G113" s="26"/>
      <c r="H113" s="27"/>
    </row>
    <row r="114" spans="1:8" s="13" customFormat="1" ht="18" customHeight="1">
      <c r="A114" s="23"/>
      <c r="B114" s="24"/>
      <c r="C114" s="18"/>
      <c r="D114" s="25"/>
      <c r="E114" s="25"/>
      <c r="F114" s="26"/>
      <c r="G114" s="26"/>
      <c r="H114" s="27"/>
    </row>
    <row r="115" spans="1:8" s="13" customFormat="1" ht="18" customHeight="1">
      <c r="A115" s="23"/>
      <c r="B115" s="24"/>
      <c r="C115" s="18"/>
      <c r="D115" s="25"/>
      <c r="E115" s="25"/>
      <c r="F115" s="26"/>
      <c r="G115" s="26"/>
      <c r="H115" s="27"/>
    </row>
    <row r="116" spans="1:8" s="13" customFormat="1" ht="18" customHeight="1">
      <c r="A116" s="23"/>
      <c r="B116" s="24"/>
      <c r="C116" s="18"/>
      <c r="D116" s="25"/>
      <c r="E116" s="25"/>
      <c r="F116" s="26"/>
      <c r="G116" s="26"/>
      <c r="H116" s="27"/>
    </row>
    <row r="117" spans="1:8" s="13" customFormat="1" ht="18" customHeight="1">
      <c r="A117" s="23"/>
      <c r="B117" s="24"/>
      <c r="C117" s="18"/>
      <c r="D117" s="25"/>
      <c r="E117" s="25"/>
      <c r="F117" s="26"/>
      <c r="G117" s="26"/>
      <c r="H117" s="27"/>
    </row>
    <row r="118" spans="1:8" s="13" customFormat="1" ht="18" customHeight="1">
      <c r="A118" s="23"/>
      <c r="B118" s="24"/>
      <c r="C118" s="18"/>
      <c r="D118" s="25"/>
      <c r="E118" s="25"/>
      <c r="F118" s="26"/>
      <c r="G118" s="26"/>
      <c r="H118" s="27"/>
    </row>
    <row r="119" spans="1:8" s="13" customFormat="1" ht="18" customHeight="1">
      <c r="A119" s="23"/>
      <c r="B119" s="24"/>
      <c r="C119" s="18"/>
      <c r="D119" s="25"/>
      <c r="E119" s="25"/>
      <c r="F119" s="26"/>
      <c r="G119" s="26"/>
      <c r="H119" s="27"/>
    </row>
    <row r="120" spans="1:8" s="13" customFormat="1" ht="18" customHeight="1">
      <c r="A120" s="23"/>
      <c r="B120" s="24"/>
      <c r="C120" s="18"/>
      <c r="D120" s="25"/>
      <c r="E120" s="25"/>
      <c r="F120" s="26"/>
      <c r="G120" s="26"/>
      <c r="H120" s="27"/>
    </row>
    <row r="121" spans="1:8" s="13" customFormat="1" ht="18" customHeight="1">
      <c r="A121" s="23"/>
      <c r="B121" s="24"/>
      <c r="C121" s="18"/>
      <c r="D121" s="25"/>
      <c r="E121" s="25"/>
      <c r="F121" s="26"/>
      <c r="G121" s="26"/>
      <c r="H121" s="27"/>
    </row>
    <row r="122" spans="1:8" s="13" customFormat="1" ht="18" customHeight="1">
      <c r="A122" s="23"/>
      <c r="B122" s="24"/>
      <c r="C122" s="18"/>
      <c r="D122" s="25"/>
      <c r="E122" s="25"/>
      <c r="F122" s="26"/>
      <c r="G122" s="26"/>
      <c r="H122" s="27"/>
    </row>
    <row r="123" spans="1:8" s="13" customFormat="1" ht="18" customHeight="1">
      <c r="A123" s="23"/>
      <c r="B123" s="24"/>
      <c r="C123" s="18"/>
      <c r="D123" s="25"/>
      <c r="E123" s="25"/>
      <c r="F123" s="26"/>
      <c r="G123" s="26"/>
      <c r="H123" s="27"/>
    </row>
    <row r="124" spans="1:8" s="13" customFormat="1" ht="18" customHeight="1">
      <c r="A124" s="23"/>
      <c r="B124" s="24"/>
      <c r="C124" s="18"/>
      <c r="D124" s="25"/>
      <c r="E124" s="25"/>
      <c r="F124" s="26"/>
      <c r="G124" s="26"/>
      <c r="H124" s="27"/>
    </row>
    <row r="125" spans="1:8" s="13" customFormat="1" ht="18" customHeight="1">
      <c r="A125" s="23"/>
      <c r="B125" s="24"/>
      <c r="C125" s="18"/>
      <c r="D125" s="25"/>
      <c r="E125" s="25"/>
      <c r="F125" s="26"/>
      <c r="G125" s="26"/>
      <c r="H125" s="27"/>
    </row>
    <row r="126" spans="1:8" s="13" customFormat="1" ht="18" customHeight="1">
      <c r="A126" s="23"/>
      <c r="B126" s="24"/>
      <c r="C126" s="18"/>
      <c r="D126" s="25"/>
      <c r="E126" s="25"/>
      <c r="F126" s="26"/>
      <c r="G126" s="26"/>
      <c r="H126" s="27"/>
    </row>
    <row r="127" spans="1:8" s="13" customFormat="1" ht="18" customHeight="1">
      <c r="A127" s="23"/>
      <c r="B127" s="24"/>
      <c r="C127" s="18"/>
      <c r="D127" s="25"/>
      <c r="E127" s="25"/>
      <c r="F127" s="26"/>
      <c r="G127" s="26"/>
      <c r="H127" s="27"/>
    </row>
    <row r="128" spans="1:8" s="13" customFormat="1" ht="18" customHeight="1">
      <c r="A128" s="23"/>
      <c r="B128" s="24"/>
      <c r="C128" s="18"/>
      <c r="D128" s="25"/>
      <c r="E128" s="25"/>
      <c r="F128" s="26"/>
      <c r="G128" s="26"/>
      <c r="H128" s="27"/>
    </row>
    <row r="129" spans="1:8" s="13" customFormat="1" ht="18" customHeight="1">
      <c r="A129" s="23"/>
      <c r="B129" s="24"/>
      <c r="C129" s="18"/>
      <c r="D129" s="25"/>
      <c r="E129" s="25"/>
      <c r="F129" s="26"/>
      <c r="G129" s="26"/>
      <c r="H129" s="27"/>
    </row>
    <row r="130" spans="1:8" s="13" customFormat="1" ht="18" customHeight="1">
      <c r="A130" s="23"/>
      <c r="B130" s="24"/>
      <c r="C130" s="18"/>
      <c r="D130" s="25"/>
      <c r="E130" s="25"/>
      <c r="F130" s="26"/>
      <c r="G130" s="26"/>
      <c r="H130" s="27"/>
    </row>
    <row r="131" spans="1:8" s="13" customFormat="1" ht="18" customHeight="1">
      <c r="A131" s="23"/>
      <c r="B131" s="24"/>
      <c r="C131" s="18"/>
      <c r="D131" s="25"/>
      <c r="E131" s="25"/>
      <c r="F131" s="26"/>
      <c r="G131" s="26"/>
      <c r="H131" s="27"/>
    </row>
    <row r="132" spans="1:8" s="13" customFormat="1" ht="18" customHeight="1">
      <c r="A132" s="23"/>
      <c r="B132" s="24"/>
      <c r="C132" s="18"/>
      <c r="D132" s="25"/>
      <c r="E132" s="25"/>
      <c r="F132" s="26"/>
      <c r="G132" s="26"/>
      <c r="H132" s="27"/>
    </row>
    <row r="133" spans="1:8" s="13" customFormat="1" ht="18" customHeight="1">
      <c r="A133" s="23"/>
      <c r="B133" s="24"/>
      <c r="C133" s="18"/>
      <c r="D133" s="25"/>
      <c r="E133" s="25"/>
      <c r="F133" s="26"/>
      <c r="G133" s="26"/>
      <c r="H133" s="27"/>
    </row>
    <row r="134" spans="1:8" s="13" customFormat="1" ht="18" customHeight="1">
      <c r="A134" s="23"/>
      <c r="B134" s="24"/>
      <c r="C134" s="18"/>
      <c r="D134" s="25"/>
      <c r="E134" s="25"/>
      <c r="F134" s="26"/>
      <c r="G134" s="26"/>
      <c r="H134" s="27"/>
    </row>
    <row r="135" spans="1:8" s="13" customFormat="1" ht="18" customHeight="1">
      <c r="A135" s="23"/>
      <c r="B135" s="24"/>
      <c r="C135" s="18"/>
      <c r="D135" s="25"/>
      <c r="E135" s="25"/>
      <c r="F135" s="26"/>
      <c r="G135" s="26"/>
      <c r="H135" s="27"/>
    </row>
    <row r="136" spans="1:8" s="13" customFormat="1" ht="18" customHeight="1">
      <c r="A136" s="23"/>
      <c r="B136" s="24"/>
      <c r="C136" s="18"/>
      <c r="D136" s="25"/>
      <c r="E136" s="25"/>
      <c r="F136" s="26"/>
      <c r="G136" s="26"/>
      <c r="H136" s="27"/>
    </row>
    <row r="137" spans="1:8" s="13" customFormat="1" ht="18" customHeight="1">
      <c r="A137" s="23"/>
      <c r="B137" s="24"/>
      <c r="C137" s="18"/>
      <c r="D137" s="25"/>
      <c r="E137" s="25"/>
      <c r="F137" s="26"/>
      <c r="G137" s="26"/>
      <c r="H137" s="27"/>
    </row>
    <row r="138" spans="1:8" s="13" customFormat="1" ht="18" customHeight="1">
      <c r="A138" s="23"/>
      <c r="B138" s="24"/>
      <c r="C138" s="18"/>
      <c r="D138" s="25"/>
      <c r="E138" s="25"/>
      <c r="F138" s="26"/>
      <c r="G138" s="26"/>
      <c r="H138" s="27"/>
    </row>
    <row r="139" spans="1:8" s="13" customFormat="1" ht="18" customHeight="1">
      <c r="A139" s="23"/>
      <c r="B139" s="24"/>
      <c r="C139" s="18"/>
      <c r="D139" s="25"/>
      <c r="E139" s="25"/>
      <c r="F139" s="26"/>
      <c r="G139" s="26"/>
      <c r="H139" s="27"/>
    </row>
    <row r="140" spans="1:8" s="13" customFormat="1" ht="18" customHeight="1">
      <c r="A140" s="23"/>
      <c r="B140" s="24"/>
      <c r="C140" s="18"/>
      <c r="D140" s="25"/>
      <c r="E140" s="25"/>
      <c r="F140" s="26"/>
      <c r="G140" s="26"/>
      <c r="H140" s="27"/>
    </row>
    <row r="141" spans="1:8" s="13" customFormat="1" ht="18" customHeight="1">
      <c r="A141" s="23"/>
      <c r="B141" s="24"/>
      <c r="C141" s="18"/>
      <c r="D141" s="25"/>
      <c r="E141" s="25"/>
      <c r="F141" s="26"/>
      <c r="G141" s="26"/>
      <c r="H141" s="27"/>
    </row>
    <row r="142" spans="1:8" s="13" customFormat="1" ht="18" customHeight="1">
      <c r="A142" s="23"/>
      <c r="B142" s="24"/>
      <c r="C142" s="18"/>
      <c r="D142" s="25"/>
      <c r="E142" s="25"/>
      <c r="F142" s="26"/>
      <c r="G142" s="26"/>
      <c r="H142" s="27"/>
    </row>
    <row r="143" spans="1:8" s="13" customFormat="1" ht="18" customHeight="1">
      <c r="A143" s="23"/>
      <c r="B143" s="24"/>
      <c r="C143" s="18"/>
      <c r="D143" s="25"/>
      <c r="E143" s="25"/>
      <c r="F143" s="26"/>
      <c r="G143" s="26"/>
      <c r="H143" s="27"/>
    </row>
    <row r="144" spans="1:8" s="13" customFormat="1" ht="18" customHeight="1">
      <c r="A144" s="23"/>
      <c r="B144" s="24"/>
      <c r="C144" s="18"/>
      <c r="D144" s="25"/>
      <c r="E144" s="25"/>
      <c r="F144" s="26"/>
      <c r="G144" s="26"/>
      <c r="H144" s="27"/>
    </row>
    <row r="145" spans="1:8" s="13" customFormat="1" ht="18" customHeight="1">
      <c r="A145" s="23"/>
      <c r="B145" s="24"/>
      <c r="C145" s="18"/>
      <c r="D145" s="25"/>
      <c r="E145" s="25"/>
      <c r="F145" s="26"/>
      <c r="G145" s="26"/>
      <c r="H145" s="27"/>
    </row>
    <row r="146" spans="1:8" s="13" customFormat="1" ht="18" customHeight="1">
      <c r="A146" s="23"/>
      <c r="B146" s="24"/>
      <c r="C146" s="18"/>
      <c r="D146" s="25"/>
      <c r="E146" s="25"/>
      <c r="F146" s="26"/>
      <c r="G146" s="26"/>
      <c r="H146" s="27"/>
    </row>
    <row r="147" spans="1:8" s="13" customFormat="1" ht="18" customHeight="1">
      <c r="A147" s="23"/>
      <c r="B147" s="24"/>
      <c r="C147" s="18"/>
      <c r="D147" s="25"/>
      <c r="E147" s="25"/>
      <c r="F147" s="27"/>
      <c r="G147" s="27"/>
      <c r="H147" s="27"/>
    </row>
    <row r="148" spans="1:8" s="13" customFormat="1" ht="18" customHeight="1">
      <c r="A148" s="23"/>
      <c r="B148" s="24"/>
      <c r="C148" s="18"/>
      <c r="D148" s="25"/>
      <c r="E148" s="25"/>
      <c r="F148" s="27"/>
      <c r="G148" s="27"/>
      <c r="H148" s="27"/>
    </row>
    <row r="149" spans="1:8" s="13" customFormat="1" ht="18" customHeight="1">
      <c r="A149" s="23"/>
      <c r="B149" s="24"/>
      <c r="C149" s="18"/>
      <c r="D149" s="25"/>
      <c r="E149" s="25"/>
      <c r="F149" s="27"/>
      <c r="G149" s="27"/>
      <c r="H149" s="27"/>
    </row>
    <row r="150" spans="1:8" s="13" customFormat="1" ht="18" customHeight="1">
      <c r="A150" s="23"/>
      <c r="B150" s="24"/>
      <c r="C150" s="18"/>
      <c r="D150" s="25"/>
      <c r="E150" s="25"/>
      <c r="F150" s="27"/>
      <c r="G150" s="27"/>
      <c r="H150" s="27"/>
    </row>
    <row r="151" spans="1:8" s="13" customFormat="1" ht="18" customHeight="1">
      <c r="A151" s="23"/>
      <c r="B151" s="24"/>
      <c r="C151" s="18"/>
      <c r="D151" s="25"/>
      <c r="E151" s="25"/>
      <c r="F151" s="27"/>
      <c r="G151" s="27"/>
      <c r="H151" s="27"/>
    </row>
    <row r="152" spans="1:8" s="13" customFormat="1" ht="18" customHeight="1">
      <c r="A152" s="23"/>
      <c r="B152" s="24"/>
      <c r="C152" s="18"/>
      <c r="D152" s="25"/>
      <c r="E152" s="25"/>
      <c r="F152" s="27"/>
      <c r="G152" s="27"/>
      <c r="H152" s="27"/>
    </row>
    <row r="153" spans="1:8" s="13" customFormat="1" ht="18" customHeight="1">
      <c r="A153" s="23"/>
      <c r="B153" s="24"/>
      <c r="C153" s="18"/>
      <c r="D153" s="25"/>
      <c r="E153" s="25"/>
      <c r="F153" s="27"/>
      <c r="G153" s="27"/>
      <c r="H153" s="27"/>
    </row>
    <row r="154" spans="1:8" s="13" customFormat="1" ht="18" customHeight="1">
      <c r="A154" s="23"/>
      <c r="B154" s="24"/>
      <c r="C154" s="18"/>
      <c r="D154" s="25"/>
      <c r="E154" s="25"/>
      <c r="F154" s="27"/>
      <c r="G154" s="27"/>
      <c r="H154" s="27"/>
    </row>
    <row r="155" spans="1:8" s="13" customFormat="1" ht="18" customHeight="1">
      <c r="A155" s="23"/>
      <c r="B155" s="24"/>
      <c r="C155" s="18"/>
      <c r="D155" s="25"/>
      <c r="E155" s="25"/>
      <c r="F155" s="27"/>
      <c r="G155" s="27"/>
      <c r="H155" s="27"/>
    </row>
    <row r="156" spans="1:8" s="13" customFormat="1" ht="18" customHeight="1">
      <c r="A156" s="23"/>
      <c r="B156" s="24"/>
      <c r="C156" s="18"/>
      <c r="D156" s="25"/>
      <c r="E156" s="25"/>
      <c r="F156" s="27"/>
      <c r="G156" s="27"/>
      <c r="H156" s="27"/>
    </row>
    <row r="157" spans="1:8" s="13" customFormat="1" ht="18" customHeight="1">
      <c r="A157" s="23"/>
      <c r="B157" s="24"/>
      <c r="C157" s="18"/>
      <c r="D157" s="25"/>
      <c r="E157" s="25"/>
      <c r="F157" s="27"/>
      <c r="G157" s="27"/>
      <c r="H157" s="27"/>
    </row>
    <row r="158" spans="1:8" s="13" customFormat="1" ht="18" customHeight="1">
      <c r="A158" s="23"/>
      <c r="B158" s="24"/>
      <c r="C158" s="18"/>
      <c r="D158" s="25"/>
      <c r="E158" s="25"/>
      <c r="F158" s="27"/>
      <c r="G158" s="27"/>
      <c r="H158" s="27"/>
    </row>
    <row r="159" spans="1:8" s="13" customFormat="1" ht="18" customHeight="1">
      <c r="A159" s="23"/>
      <c r="B159" s="24"/>
      <c r="C159" s="18"/>
      <c r="D159" s="25"/>
      <c r="E159" s="25"/>
      <c r="F159" s="27"/>
      <c r="G159" s="27"/>
      <c r="H159" s="27"/>
    </row>
    <row r="160" spans="1:8" s="13" customFormat="1" ht="18" customHeight="1">
      <c r="A160" s="23"/>
      <c r="B160" s="24"/>
      <c r="C160" s="18"/>
      <c r="D160" s="25"/>
      <c r="E160" s="25"/>
      <c r="F160" s="27"/>
      <c r="G160" s="27"/>
      <c r="H160" s="27"/>
    </row>
    <row r="161" spans="1:8" s="13" customFormat="1" ht="18" customHeight="1">
      <c r="A161" s="23"/>
      <c r="B161" s="24"/>
      <c r="C161" s="18"/>
      <c r="D161" s="25"/>
      <c r="E161" s="25"/>
      <c r="F161" s="27"/>
      <c r="G161" s="27"/>
      <c r="H161" s="27"/>
    </row>
    <row r="162" spans="1:8" s="13" customFormat="1" ht="18" customHeight="1">
      <c r="A162" s="23"/>
      <c r="B162" s="24"/>
      <c r="C162" s="18"/>
      <c r="D162" s="25"/>
      <c r="E162" s="25"/>
      <c r="F162" s="27"/>
      <c r="G162" s="27"/>
      <c r="H162" s="27"/>
    </row>
    <row r="163" spans="1:8" s="13" customFormat="1" ht="18" customHeight="1">
      <c r="A163" s="23"/>
      <c r="B163" s="24"/>
      <c r="C163" s="18"/>
      <c r="D163" s="25"/>
      <c r="E163" s="25"/>
      <c r="F163" s="27"/>
      <c r="G163" s="27"/>
      <c r="H163" s="27"/>
    </row>
    <row r="164" spans="1:8" s="13" customFormat="1" ht="18" customHeight="1">
      <c r="A164" s="23"/>
      <c r="B164" s="24"/>
      <c r="C164" s="18"/>
      <c r="D164" s="25"/>
      <c r="E164" s="25"/>
      <c r="F164" s="27"/>
      <c r="G164" s="27"/>
      <c r="H164" s="27"/>
    </row>
    <row r="165" spans="1:8" s="13" customFormat="1" ht="18" customHeight="1">
      <c r="A165" s="23"/>
      <c r="B165" s="24"/>
      <c r="C165" s="18"/>
      <c r="D165" s="25"/>
      <c r="E165" s="25"/>
      <c r="F165" s="27"/>
      <c r="G165" s="27"/>
      <c r="H165" s="27"/>
    </row>
    <row r="166" spans="1:8" s="13" customFormat="1" ht="18" customHeight="1">
      <c r="A166" s="23"/>
      <c r="B166" s="24"/>
      <c r="C166" s="18"/>
      <c r="D166" s="25"/>
      <c r="E166" s="25"/>
      <c r="F166" s="27"/>
      <c r="G166" s="27"/>
      <c r="H166" s="27"/>
    </row>
    <row r="167" spans="1:8" s="13" customFormat="1" ht="18" customHeight="1">
      <c r="A167" s="23"/>
      <c r="B167" s="24"/>
      <c r="C167" s="18"/>
      <c r="D167" s="25"/>
      <c r="E167" s="25"/>
      <c r="F167" s="27"/>
      <c r="G167" s="27"/>
      <c r="H167" s="27"/>
    </row>
    <row r="168" spans="1:8" s="13" customFormat="1" ht="18" customHeight="1">
      <c r="A168" s="23"/>
      <c r="B168" s="24"/>
      <c r="C168" s="18"/>
      <c r="D168" s="25"/>
      <c r="E168" s="25"/>
      <c r="F168" s="27"/>
      <c r="G168" s="27"/>
      <c r="H168" s="27"/>
    </row>
    <row r="169" spans="1:8" s="13" customFormat="1" ht="18" customHeight="1">
      <c r="A169" s="23"/>
      <c r="B169" s="24"/>
      <c r="C169" s="18"/>
      <c r="D169" s="25"/>
      <c r="E169" s="25"/>
      <c r="F169" s="27"/>
      <c r="G169" s="27"/>
      <c r="H169" s="27"/>
    </row>
    <row r="170" spans="1:8" s="13" customFormat="1" ht="18" customHeight="1">
      <c r="A170" s="23"/>
      <c r="B170" s="24"/>
      <c r="C170" s="18"/>
      <c r="D170" s="25"/>
      <c r="E170" s="25"/>
      <c r="F170" s="27"/>
      <c r="G170" s="27"/>
      <c r="H170" s="27"/>
    </row>
    <row r="171" spans="1:8" s="13" customFormat="1" ht="18" customHeight="1">
      <c r="A171" s="23"/>
      <c r="B171" s="24"/>
      <c r="C171" s="18"/>
      <c r="D171" s="25"/>
      <c r="E171" s="25"/>
      <c r="F171" s="27"/>
      <c r="G171" s="27"/>
      <c r="H171" s="27"/>
    </row>
    <row r="172" spans="1:8" s="13" customFormat="1" ht="18" customHeight="1">
      <c r="A172" s="23"/>
      <c r="B172" s="24"/>
      <c r="C172" s="18"/>
      <c r="D172" s="25"/>
      <c r="E172" s="25"/>
      <c r="F172" s="27"/>
      <c r="G172" s="27"/>
      <c r="H172" s="27"/>
    </row>
    <row r="173" spans="1:8" s="13" customFormat="1" ht="18" customHeight="1">
      <c r="A173" s="23"/>
      <c r="B173" s="24"/>
      <c r="C173" s="18"/>
      <c r="D173" s="25"/>
      <c r="E173" s="25"/>
      <c r="F173" s="27"/>
      <c r="G173" s="27"/>
      <c r="H173" s="27"/>
    </row>
    <row r="174" spans="1:8" s="13" customFormat="1" ht="18" customHeight="1">
      <c r="A174" s="23"/>
      <c r="B174" s="24"/>
      <c r="C174" s="18"/>
      <c r="D174" s="25"/>
      <c r="E174" s="25"/>
      <c r="F174" s="27"/>
      <c r="G174" s="27"/>
      <c r="H174" s="27"/>
    </row>
    <row r="175" spans="1:8" s="13" customFormat="1" ht="18" customHeight="1">
      <c r="A175" s="23"/>
      <c r="B175" s="24"/>
      <c r="C175" s="18"/>
      <c r="D175" s="25"/>
      <c r="E175" s="25"/>
      <c r="F175" s="27"/>
      <c r="G175" s="27"/>
      <c r="H175" s="27"/>
    </row>
    <row r="176" spans="1:8" s="13" customFormat="1" ht="18" customHeight="1">
      <c r="A176" s="23"/>
      <c r="B176" s="24"/>
      <c r="C176" s="18"/>
      <c r="D176" s="25"/>
      <c r="E176" s="25"/>
      <c r="F176" s="27"/>
      <c r="G176" s="27"/>
      <c r="H176" s="27"/>
    </row>
    <row r="177" spans="1:8" s="13" customFormat="1" ht="18" customHeight="1">
      <c r="A177" s="23"/>
      <c r="B177" s="24"/>
      <c r="C177" s="18"/>
      <c r="D177" s="25"/>
      <c r="E177" s="25"/>
      <c r="F177" s="27"/>
      <c r="G177" s="27"/>
      <c r="H177" s="27"/>
    </row>
    <row r="178" spans="1:8" s="13" customFormat="1" ht="18" customHeight="1">
      <c r="A178" s="23"/>
      <c r="B178" s="24"/>
      <c r="C178" s="18"/>
      <c r="D178" s="25"/>
      <c r="E178" s="25"/>
      <c r="F178" s="27"/>
      <c r="G178" s="27"/>
      <c r="H178" s="27"/>
    </row>
    <row r="179" spans="1:8" s="13" customFormat="1" ht="18" customHeight="1">
      <c r="A179" s="23"/>
      <c r="B179" s="24"/>
      <c r="C179" s="18"/>
      <c r="D179" s="25"/>
      <c r="E179" s="25"/>
      <c r="F179" s="27"/>
      <c r="G179" s="27"/>
      <c r="H179" s="27"/>
    </row>
    <row r="180" spans="1:8" s="13" customFormat="1" ht="18" customHeight="1">
      <c r="A180" s="23"/>
      <c r="B180" s="24"/>
      <c r="C180" s="18"/>
      <c r="D180" s="25"/>
      <c r="E180" s="25"/>
      <c r="F180" s="27"/>
      <c r="G180" s="27"/>
      <c r="H180" s="27"/>
    </row>
    <row r="181" spans="1:8" s="13" customFormat="1" ht="18" customHeight="1">
      <c r="A181" s="23"/>
      <c r="B181" s="24"/>
      <c r="C181" s="18"/>
      <c r="D181" s="25"/>
      <c r="E181" s="25"/>
      <c r="F181" s="27"/>
      <c r="G181" s="27"/>
      <c r="H181" s="27"/>
    </row>
    <row r="182" spans="1:8" s="13" customFormat="1" ht="18" customHeight="1">
      <c r="A182" s="23"/>
      <c r="B182" s="24"/>
      <c r="C182" s="18"/>
      <c r="D182" s="25"/>
      <c r="E182" s="25"/>
      <c r="F182" s="27"/>
      <c r="G182" s="27"/>
      <c r="H182" s="27"/>
    </row>
    <row r="183" spans="1:8" s="13" customFormat="1" ht="18" customHeight="1">
      <c r="A183" s="23"/>
      <c r="B183" s="24"/>
      <c r="C183" s="18"/>
      <c r="D183" s="25"/>
      <c r="E183" s="25"/>
      <c r="F183" s="27"/>
      <c r="G183" s="27"/>
      <c r="H183" s="27"/>
    </row>
    <row r="184" spans="1:8" s="13" customFormat="1" ht="18" customHeight="1">
      <c r="A184" s="23"/>
      <c r="B184" s="24"/>
      <c r="C184" s="18"/>
      <c r="D184" s="25"/>
      <c r="E184" s="25"/>
      <c r="F184" s="27"/>
      <c r="G184" s="27"/>
      <c r="H184" s="27"/>
    </row>
    <row r="185" spans="1:8" s="13" customFormat="1" ht="18" customHeight="1">
      <c r="A185" s="23"/>
      <c r="B185" s="24"/>
      <c r="C185" s="18"/>
      <c r="D185" s="25"/>
      <c r="E185" s="25"/>
      <c r="F185" s="27"/>
      <c r="G185" s="27"/>
      <c r="H185" s="27"/>
    </row>
    <row r="186" spans="1:8" s="13" customFormat="1" ht="18" customHeight="1">
      <c r="A186" s="23"/>
      <c r="B186" s="24"/>
      <c r="C186" s="18"/>
      <c r="D186" s="25"/>
      <c r="E186" s="25"/>
      <c r="F186" s="27"/>
      <c r="G186" s="27"/>
      <c r="H186" s="27"/>
    </row>
    <row r="187" spans="1:8" s="13" customFormat="1" ht="18" customHeight="1">
      <c r="A187" s="23"/>
      <c r="B187" s="24"/>
      <c r="C187" s="18"/>
      <c r="D187" s="25"/>
      <c r="E187" s="25"/>
      <c r="F187" s="27"/>
      <c r="G187" s="27"/>
      <c r="H187" s="27"/>
    </row>
    <row r="188" spans="1:8" s="13" customFormat="1" ht="18" customHeight="1">
      <c r="A188" s="23"/>
      <c r="B188" s="24"/>
      <c r="C188" s="18"/>
      <c r="D188" s="25"/>
      <c r="E188" s="25"/>
      <c r="F188" s="27"/>
      <c r="G188" s="27"/>
      <c r="H188" s="27"/>
    </row>
    <row r="189" spans="1:8" s="13" customFormat="1" ht="18" customHeight="1">
      <c r="A189" s="23"/>
      <c r="B189" s="24"/>
      <c r="C189" s="18"/>
      <c r="D189" s="25"/>
      <c r="E189" s="25"/>
      <c r="F189" s="27"/>
      <c r="G189" s="27"/>
      <c r="H189" s="27"/>
    </row>
    <row r="190" spans="1:8" s="13" customFormat="1" ht="18" customHeight="1">
      <c r="A190" s="23"/>
      <c r="B190" s="24"/>
      <c r="C190" s="18"/>
      <c r="D190" s="25"/>
      <c r="E190" s="25"/>
      <c r="F190" s="27"/>
      <c r="G190" s="27"/>
      <c r="H190" s="27"/>
    </row>
    <row r="191" spans="1:8" s="13" customFormat="1" ht="18" customHeight="1">
      <c r="A191" s="23"/>
      <c r="B191" s="24"/>
      <c r="C191" s="18"/>
      <c r="D191" s="25"/>
      <c r="E191" s="25"/>
      <c r="F191" s="27"/>
      <c r="G191" s="27"/>
      <c r="H191" s="27"/>
    </row>
    <row r="192" spans="1:8" s="13" customFormat="1" ht="18" customHeight="1">
      <c r="A192" s="23"/>
      <c r="B192" s="24"/>
      <c r="C192" s="18"/>
      <c r="D192" s="25"/>
      <c r="E192" s="25"/>
      <c r="F192" s="27"/>
      <c r="G192" s="27"/>
      <c r="H192" s="27"/>
    </row>
    <row r="193" spans="1:8" s="13" customFormat="1" ht="18" customHeight="1">
      <c r="A193" s="23"/>
      <c r="B193" s="24"/>
      <c r="C193" s="18"/>
      <c r="D193" s="25"/>
      <c r="E193" s="25"/>
      <c r="F193" s="27"/>
      <c r="G193" s="27"/>
      <c r="H193" s="27"/>
    </row>
    <row r="194" spans="1:8" s="13" customFormat="1" ht="18" customHeight="1">
      <c r="A194" s="23"/>
      <c r="B194" s="24"/>
      <c r="C194" s="18"/>
      <c r="D194" s="25"/>
      <c r="E194" s="25"/>
      <c r="F194" s="27"/>
      <c r="G194" s="27"/>
      <c r="H194" s="27"/>
    </row>
    <row r="195" spans="1:8" s="13" customFormat="1" ht="18" customHeight="1">
      <c r="A195" s="23"/>
      <c r="B195" s="24"/>
      <c r="C195" s="18"/>
      <c r="D195" s="25"/>
      <c r="E195" s="25"/>
      <c r="F195" s="27"/>
      <c r="G195" s="27"/>
      <c r="H195" s="27"/>
    </row>
    <row r="196" spans="1:8" s="13" customFormat="1" ht="18" customHeight="1">
      <c r="A196" s="23"/>
      <c r="B196" s="24"/>
      <c r="C196" s="18"/>
      <c r="D196" s="25"/>
      <c r="E196" s="25"/>
      <c r="F196" s="27"/>
      <c r="G196" s="27"/>
      <c r="H196" s="27"/>
    </row>
    <row r="197" spans="1:8" s="13" customFormat="1" ht="18" customHeight="1">
      <c r="A197" s="23"/>
      <c r="B197" s="24"/>
      <c r="C197" s="18"/>
      <c r="D197" s="25"/>
      <c r="E197" s="25"/>
      <c r="F197" s="27"/>
      <c r="G197" s="27"/>
      <c r="H197" s="27"/>
    </row>
    <row r="198" spans="1:8" s="13" customFormat="1" ht="18" customHeight="1">
      <c r="A198" s="23"/>
      <c r="B198" s="24"/>
      <c r="C198" s="18"/>
      <c r="D198" s="25"/>
      <c r="E198" s="25"/>
      <c r="F198" s="27"/>
      <c r="G198" s="27"/>
      <c r="H198" s="27"/>
    </row>
    <row r="199" spans="1:8" s="13" customFormat="1" ht="18" customHeight="1">
      <c r="A199" s="23"/>
      <c r="B199" s="24"/>
      <c r="C199" s="18"/>
      <c r="D199" s="25"/>
      <c r="E199" s="25"/>
      <c r="F199" s="27"/>
      <c r="G199" s="27"/>
      <c r="H199" s="27"/>
    </row>
    <row r="200" spans="1:8" s="13" customFormat="1" ht="18" customHeight="1">
      <c r="A200" s="23"/>
      <c r="B200" s="24"/>
      <c r="C200" s="18"/>
      <c r="D200" s="25"/>
      <c r="E200" s="25"/>
      <c r="F200" s="27"/>
      <c r="G200" s="27"/>
      <c r="H200" s="27"/>
    </row>
    <row r="201" spans="1:8" s="13" customFormat="1" ht="18" customHeight="1">
      <c r="A201" s="23"/>
      <c r="B201" s="24"/>
      <c r="C201" s="18"/>
      <c r="D201" s="25"/>
      <c r="E201" s="25"/>
      <c r="F201" s="27"/>
      <c r="G201" s="27"/>
      <c r="H201" s="27"/>
    </row>
    <row r="202" spans="1:8" s="13" customFormat="1" ht="18" customHeight="1">
      <c r="A202" s="23"/>
      <c r="B202" s="24"/>
      <c r="C202" s="18"/>
      <c r="D202" s="25"/>
      <c r="E202" s="25"/>
      <c r="F202" s="27"/>
      <c r="G202" s="27"/>
      <c r="H202" s="27"/>
    </row>
    <row r="203" spans="1:8" s="13" customFormat="1" ht="18" customHeight="1">
      <c r="A203" s="23"/>
      <c r="B203" s="24"/>
      <c r="C203" s="18"/>
      <c r="D203" s="25"/>
      <c r="E203" s="25"/>
      <c r="F203" s="27"/>
      <c r="G203" s="27"/>
      <c r="H203" s="27"/>
    </row>
    <row r="204" spans="1:8" s="13" customFormat="1" ht="18" customHeight="1">
      <c r="A204" s="23"/>
      <c r="B204" s="24"/>
      <c r="C204" s="18"/>
      <c r="D204" s="25"/>
      <c r="E204" s="25"/>
      <c r="F204" s="27"/>
      <c r="G204" s="27"/>
      <c r="H204" s="27"/>
    </row>
    <row r="205" spans="1:8" s="13" customFormat="1" ht="18" customHeight="1">
      <c r="A205" s="23"/>
      <c r="B205" s="24"/>
      <c r="C205" s="18"/>
      <c r="D205" s="25"/>
      <c r="E205" s="25"/>
      <c r="F205" s="27"/>
      <c r="G205" s="27"/>
      <c r="H205" s="27"/>
    </row>
    <row r="206" spans="1:8" s="13" customFormat="1" ht="18" customHeight="1">
      <c r="A206" s="23"/>
      <c r="B206" s="24"/>
      <c r="C206" s="18"/>
      <c r="D206" s="25"/>
      <c r="E206" s="25"/>
      <c r="F206" s="27"/>
      <c r="G206" s="27"/>
      <c r="H206" s="27"/>
    </row>
    <row r="207" spans="1:8" s="13" customFormat="1" ht="18" customHeight="1">
      <c r="A207" s="23"/>
      <c r="B207" s="24"/>
      <c r="C207" s="18"/>
      <c r="D207" s="25"/>
      <c r="E207" s="25"/>
      <c r="F207" s="27"/>
      <c r="G207" s="27"/>
      <c r="H207" s="27"/>
    </row>
    <row r="208" spans="1:8" s="13" customFormat="1" ht="18" customHeight="1">
      <c r="A208" s="23"/>
      <c r="B208" s="24"/>
      <c r="C208" s="18"/>
      <c r="D208" s="25"/>
      <c r="E208" s="25"/>
      <c r="F208" s="27"/>
      <c r="G208" s="27"/>
      <c r="H208" s="27"/>
    </row>
    <row r="209" spans="1:8" s="13" customFormat="1" ht="18" customHeight="1">
      <c r="A209" s="23"/>
      <c r="B209" s="24"/>
      <c r="C209" s="18"/>
      <c r="D209" s="25"/>
      <c r="E209" s="25"/>
      <c r="F209" s="27"/>
      <c r="G209" s="27"/>
      <c r="H209" s="27"/>
    </row>
    <row r="210" spans="1:8" s="13" customFormat="1" ht="18" customHeight="1">
      <c r="A210" s="23"/>
      <c r="B210" s="24"/>
      <c r="C210" s="18"/>
      <c r="D210" s="25"/>
      <c r="E210" s="25"/>
      <c r="F210" s="27"/>
      <c r="G210" s="27"/>
      <c r="H210" s="27"/>
    </row>
    <row r="211" spans="1:8" s="13" customFormat="1" ht="18" customHeight="1">
      <c r="A211" s="23"/>
      <c r="B211" s="24"/>
      <c r="C211" s="18"/>
      <c r="D211" s="25"/>
      <c r="E211" s="25"/>
      <c r="F211" s="27"/>
      <c r="G211" s="27"/>
      <c r="H211" s="27"/>
    </row>
    <row r="212" spans="1:8" s="13" customFormat="1" ht="18" customHeight="1">
      <c r="A212" s="23"/>
      <c r="B212" s="24"/>
      <c r="C212" s="18"/>
      <c r="D212" s="25"/>
      <c r="E212" s="25"/>
      <c r="F212" s="27"/>
      <c r="G212" s="27"/>
      <c r="H212" s="27"/>
    </row>
    <row r="213" spans="1:8" s="13" customFormat="1" ht="18" customHeight="1">
      <c r="A213" s="23"/>
      <c r="B213" s="24"/>
      <c r="C213" s="18"/>
      <c r="D213" s="25"/>
      <c r="E213" s="25"/>
      <c r="F213" s="27"/>
      <c r="G213" s="27"/>
      <c r="H213" s="27"/>
    </row>
    <row r="214" spans="1:8" s="13" customFormat="1" ht="18" customHeight="1">
      <c r="A214" s="23"/>
      <c r="B214" s="24"/>
      <c r="C214" s="18"/>
      <c r="D214" s="25"/>
      <c r="E214" s="25"/>
      <c r="F214" s="27"/>
      <c r="G214" s="27"/>
      <c r="H214" s="27"/>
    </row>
    <row r="215" spans="1:8" s="13" customFormat="1" ht="18" customHeight="1">
      <c r="A215" s="23"/>
      <c r="B215" s="24"/>
      <c r="C215" s="18"/>
      <c r="D215" s="25"/>
      <c r="E215" s="25"/>
      <c r="F215" s="27"/>
      <c r="G215" s="27"/>
      <c r="H215" s="27"/>
    </row>
    <row r="216" spans="1:8" s="13" customFormat="1" ht="18" customHeight="1">
      <c r="A216" s="23"/>
      <c r="B216" s="24"/>
      <c r="C216" s="18"/>
      <c r="D216" s="25"/>
      <c r="E216" s="25"/>
      <c r="F216" s="27"/>
      <c r="G216" s="27"/>
      <c r="H216" s="27"/>
    </row>
    <row r="217" spans="1:8" s="13" customFormat="1" ht="18" customHeight="1">
      <c r="A217" s="23"/>
      <c r="B217" s="24"/>
      <c r="C217" s="18"/>
      <c r="D217" s="25"/>
      <c r="E217" s="25"/>
      <c r="F217" s="27"/>
      <c r="G217" s="27"/>
      <c r="H217" s="27"/>
    </row>
    <row r="218" spans="1:8" s="13" customFormat="1" ht="18" customHeight="1">
      <c r="A218" s="23"/>
      <c r="B218" s="24"/>
      <c r="C218" s="18"/>
      <c r="D218" s="25"/>
      <c r="E218" s="25"/>
      <c r="F218" s="27"/>
      <c r="G218" s="27"/>
      <c r="H218" s="27"/>
    </row>
    <row r="219" spans="1:8" s="13" customFormat="1" ht="18" customHeight="1">
      <c r="A219" s="23"/>
      <c r="B219" s="24"/>
      <c r="C219" s="18"/>
      <c r="D219" s="25"/>
      <c r="E219" s="25"/>
      <c r="F219" s="27"/>
      <c r="G219" s="27"/>
      <c r="H219" s="27"/>
    </row>
    <row r="220" spans="1:8" s="13" customFormat="1" ht="18" customHeight="1">
      <c r="A220" s="23"/>
      <c r="B220" s="24"/>
      <c r="C220" s="18"/>
      <c r="D220" s="25"/>
      <c r="E220" s="25"/>
      <c r="F220" s="27"/>
      <c r="G220" s="27"/>
      <c r="H220" s="27"/>
    </row>
    <row r="221" spans="1:8" s="13" customFormat="1" ht="18" customHeight="1">
      <c r="A221" s="23"/>
      <c r="B221" s="24"/>
      <c r="C221" s="18"/>
      <c r="D221" s="25"/>
      <c r="E221" s="25"/>
      <c r="F221" s="27"/>
      <c r="G221" s="27"/>
      <c r="H221" s="27"/>
    </row>
    <row r="222" spans="1:8" s="13" customFormat="1" ht="18" customHeight="1">
      <c r="A222" s="23"/>
      <c r="B222" s="24"/>
      <c r="C222" s="18"/>
      <c r="D222" s="25"/>
      <c r="E222" s="25"/>
      <c r="F222" s="27"/>
      <c r="G222" s="27"/>
      <c r="H222" s="27"/>
    </row>
    <row r="223" spans="1:8" s="13" customFormat="1" ht="18" customHeight="1">
      <c r="A223" s="23"/>
      <c r="B223" s="24"/>
      <c r="C223" s="18"/>
      <c r="D223" s="27"/>
      <c r="E223" s="27"/>
      <c r="F223" s="27"/>
      <c r="G223" s="27"/>
      <c r="H223" s="27"/>
    </row>
    <row r="224" spans="1:8" s="13" customFormat="1" ht="18" customHeight="1">
      <c r="A224" s="19"/>
      <c r="B224" s="20"/>
      <c r="C224" s="18"/>
    </row>
    <row r="225" spans="1:3" s="13" customFormat="1" ht="18" customHeight="1">
      <c r="A225" s="19"/>
      <c r="B225" s="20"/>
      <c r="C225" s="18"/>
    </row>
    <row r="226" spans="1:3" s="13" customFormat="1" ht="18" customHeight="1">
      <c r="A226" s="19"/>
      <c r="B226" s="20"/>
      <c r="C226" s="18"/>
    </row>
    <row r="227" spans="1:3" s="13" customFormat="1" ht="18" customHeight="1">
      <c r="A227" s="19"/>
      <c r="B227" s="20"/>
      <c r="C227" s="18"/>
    </row>
    <row r="228" spans="1:3" s="13" customFormat="1" ht="18" customHeight="1">
      <c r="A228" s="19"/>
      <c r="B228" s="20"/>
      <c r="C228" s="18"/>
    </row>
    <row r="229" spans="1:3" s="13" customFormat="1" ht="18" customHeight="1">
      <c r="A229" s="19"/>
      <c r="B229" s="20"/>
      <c r="C229" s="18"/>
    </row>
    <row r="230" spans="1:3" s="13" customFormat="1" ht="18" customHeight="1">
      <c r="A230" s="19"/>
      <c r="B230" s="20"/>
      <c r="C230" s="18"/>
    </row>
    <row r="231" spans="1:3" s="13" customFormat="1" ht="18" customHeight="1">
      <c r="A231" s="19"/>
      <c r="B231" s="20"/>
      <c r="C231" s="18"/>
    </row>
    <row r="232" spans="1:3" s="13" customFormat="1" ht="18" customHeight="1">
      <c r="A232" s="19"/>
      <c r="B232" s="20"/>
      <c r="C232" s="18"/>
    </row>
    <row r="233" spans="1:3" s="13" customFormat="1" ht="18" customHeight="1">
      <c r="A233" s="19"/>
      <c r="B233" s="20"/>
      <c r="C233" s="18"/>
    </row>
    <row r="234" spans="1:3" s="13" customFormat="1" ht="18" customHeight="1">
      <c r="A234" s="19"/>
      <c r="B234" s="20"/>
      <c r="C234" s="18"/>
    </row>
    <row r="235" spans="1:3" s="13" customFormat="1" ht="18" customHeight="1">
      <c r="A235" s="19"/>
      <c r="B235" s="20"/>
      <c r="C235" s="18"/>
    </row>
    <row r="236" spans="1:3" s="13" customFormat="1" ht="18" customHeight="1">
      <c r="A236" s="19"/>
      <c r="B236" s="20"/>
      <c r="C236" s="18"/>
    </row>
    <row r="237" spans="1:3" s="13" customFormat="1" ht="18" customHeight="1">
      <c r="A237" s="19"/>
      <c r="B237" s="20"/>
      <c r="C237" s="18"/>
    </row>
    <row r="238" spans="1:3" s="13" customFormat="1" ht="18" customHeight="1">
      <c r="A238" s="19"/>
      <c r="B238" s="20"/>
      <c r="C238" s="18"/>
    </row>
    <row r="239" spans="1:3" s="13" customFormat="1" ht="18" customHeight="1">
      <c r="A239" s="19"/>
      <c r="B239" s="20"/>
      <c r="C239" s="18"/>
    </row>
    <row r="240" spans="1:3" s="13" customFormat="1" ht="18" customHeight="1">
      <c r="A240" s="19"/>
      <c r="B240" s="20"/>
      <c r="C240" s="18"/>
    </row>
    <row r="241" spans="1:3" s="13" customFormat="1" ht="18" customHeight="1">
      <c r="A241" s="19"/>
      <c r="B241" s="20"/>
      <c r="C241" s="18"/>
    </row>
    <row r="242" spans="1:3" s="13" customFormat="1" ht="18" customHeight="1">
      <c r="A242" s="19"/>
      <c r="B242" s="20"/>
      <c r="C242" s="18"/>
    </row>
    <row r="243" spans="1:3" s="13" customFormat="1" ht="18" customHeight="1">
      <c r="A243" s="19"/>
      <c r="B243" s="20"/>
      <c r="C243" s="18"/>
    </row>
    <row r="244" spans="1:3" s="13" customFormat="1" ht="18" customHeight="1">
      <c r="A244" s="19"/>
      <c r="B244" s="20"/>
      <c r="C244" s="18"/>
    </row>
    <row r="245" spans="1:3" s="13" customFormat="1" ht="18" customHeight="1">
      <c r="A245" s="19"/>
      <c r="B245" s="20"/>
      <c r="C245" s="18"/>
    </row>
    <row r="246" spans="1:3" s="13" customFormat="1" ht="18" customHeight="1">
      <c r="A246" s="19"/>
      <c r="B246" s="20"/>
      <c r="C246" s="18"/>
    </row>
    <row r="247" spans="1:3" s="13" customFormat="1" ht="18" customHeight="1">
      <c r="A247" s="19"/>
      <c r="B247" s="20"/>
      <c r="C247" s="18"/>
    </row>
    <row r="248" spans="1:3" s="13" customFormat="1" ht="18" customHeight="1">
      <c r="A248" s="19"/>
      <c r="B248" s="20"/>
      <c r="C248" s="18"/>
    </row>
    <row r="249" spans="1:3" s="13" customFormat="1" ht="18" customHeight="1">
      <c r="A249" s="19"/>
      <c r="B249" s="20"/>
      <c r="C249" s="18"/>
    </row>
    <row r="250" spans="1:3" s="13" customFormat="1" ht="18" customHeight="1">
      <c r="A250" s="19"/>
      <c r="B250" s="20"/>
      <c r="C250" s="18"/>
    </row>
    <row r="251" spans="1:3" s="13" customFormat="1" ht="18" customHeight="1">
      <c r="A251" s="19"/>
      <c r="B251" s="20"/>
      <c r="C251" s="18"/>
    </row>
    <row r="252" spans="1:3" s="13" customFormat="1" ht="18" customHeight="1">
      <c r="A252" s="19"/>
      <c r="B252" s="20"/>
      <c r="C252" s="18"/>
    </row>
    <row r="253" spans="1:3" s="13" customFormat="1" ht="18" customHeight="1">
      <c r="A253" s="19"/>
      <c r="B253" s="20"/>
      <c r="C253" s="18"/>
    </row>
    <row r="254" spans="1:3" s="13" customFormat="1" ht="18" customHeight="1">
      <c r="A254" s="19"/>
      <c r="B254" s="20"/>
      <c r="C254" s="18"/>
    </row>
    <row r="255" spans="1:3" s="13" customFormat="1" ht="18" customHeight="1">
      <c r="A255" s="19"/>
      <c r="B255" s="20"/>
      <c r="C255" s="18"/>
    </row>
    <row r="256" spans="1:3" s="13" customFormat="1" ht="18" customHeight="1">
      <c r="A256" s="19"/>
      <c r="B256" s="20"/>
      <c r="C256" s="18"/>
    </row>
    <row r="257" spans="1:3" s="13" customFormat="1" ht="18" customHeight="1">
      <c r="A257" s="19"/>
      <c r="B257" s="20"/>
      <c r="C257" s="18"/>
    </row>
    <row r="258" spans="1:3" s="13" customFormat="1" ht="18" customHeight="1">
      <c r="A258" s="19"/>
      <c r="B258" s="20"/>
      <c r="C258" s="18"/>
    </row>
    <row r="259" spans="1:3" s="13" customFormat="1" ht="18" customHeight="1">
      <c r="A259" s="19"/>
      <c r="B259" s="20"/>
      <c r="C259" s="18"/>
    </row>
    <row r="260" spans="1:3" s="13" customFormat="1" ht="18" customHeight="1">
      <c r="A260" s="19"/>
      <c r="B260" s="20"/>
      <c r="C260" s="18"/>
    </row>
    <row r="261" spans="1:3" s="13" customFormat="1" ht="18" customHeight="1">
      <c r="A261" s="19"/>
      <c r="B261" s="20"/>
      <c r="C261" s="18"/>
    </row>
    <row r="262" spans="1:3" s="13" customFormat="1" ht="18" customHeight="1">
      <c r="A262" s="19"/>
      <c r="B262" s="20"/>
      <c r="C262" s="18"/>
    </row>
    <row r="263" spans="1:3" s="13" customFormat="1" ht="18" customHeight="1">
      <c r="A263" s="19"/>
      <c r="B263" s="20"/>
      <c r="C263" s="18"/>
    </row>
    <row r="264" spans="1:3" s="13" customFormat="1" ht="18" customHeight="1">
      <c r="A264" s="19"/>
      <c r="B264" s="20"/>
      <c r="C264" s="18"/>
    </row>
    <row r="265" spans="1:3" s="13" customFormat="1" ht="18" customHeight="1">
      <c r="A265" s="19"/>
      <c r="B265" s="20"/>
      <c r="C265" s="18"/>
    </row>
    <row r="266" spans="1:3" s="13" customFormat="1" ht="18" customHeight="1">
      <c r="A266" s="19"/>
      <c r="B266" s="20"/>
      <c r="C266" s="18"/>
    </row>
    <row r="267" spans="1:3" s="13" customFormat="1" ht="18" customHeight="1">
      <c r="A267" s="19"/>
      <c r="B267" s="20"/>
      <c r="C267" s="18"/>
    </row>
    <row r="268" spans="1:3" s="13" customFormat="1" ht="18" customHeight="1">
      <c r="A268" s="19"/>
      <c r="B268" s="20"/>
      <c r="C268" s="18"/>
    </row>
    <row r="269" spans="1:3" s="13" customFormat="1" ht="18" customHeight="1">
      <c r="A269" s="19"/>
      <c r="B269" s="20"/>
      <c r="C269" s="18"/>
    </row>
    <row r="270" spans="1:3" s="13" customFormat="1" ht="18" customHeight="1">
      <c r="A270" s="19"/>
      <c r="B270" s="20"/>
      <c r="C270" s="18"/>
    </row>
    <row r="271" spans="1:3" s="13" customFormat="1" ht="18" customHeight="1">
      <c r="A271" s="19"/>
      <c r="B271" s="20"/>
      <c r="C271" s="18"/>
    </row>
    <row r="272" spans="1:3" s="13" customFormat="1" ht="18" customHeight="1">
      <c r="A272" s="19"/>
      <c r="B272" s="20"/>
      <c r="C272" s="18"/>
    </row>
    <row r="273" spans="1:3" s="13" customFormat="1" ht="18" customHeight="1">
      <c r="A273" s="19"/>
      <c r="B273" s="20"/>
      <c r="C273" s="18"/>
    </row>
    <row r="274" spans="1:3" s="13" customFormat="1" ht="18" customHeight="1">
      <c r="A274" s="19"/>
      <c r="B274" s="20"/>
      <c r="C274" s="18"/>
    </row>
    <row r="275" spans="1:3" s="13" customFormat="1" ht="18" customHeight="1">
      <c r="A275" s="19"/>
      <c r="B275" s="20"/>
      <c r="C275" s="18"/>
    </row>
    <row r="276" spans="1:3" s="13" customFormat="1" ht="18" customHeight="1">
      <c r="A276" s="19"/>
      <c r="B276" s="20"/>
      <c r="C276" s="18"/>
    </row>
    <row r="277" spans="1:3" s="13" customFormat="1" ht="18" customHeight="1">
      <c r="A277" s="19"/>
      <c r="B277" s="20"/>
      <c r="C277" s="18"/>
    </row>
    <row r="278" spans="1:3" s="13" customFormat="1" ht="18" customHeight="1">
      <c r="A278" s="19"/>
      <c r="B278" s="20"/>
      <c r="C278" s="18"/>
    </row>
    <row r="279" spans="1:3" s="13" customFormat="1" ht="18" customHeight="1">
      <c r="A279" s="19"/>
      <c r="B279" s="20"/>
      <c r="C279" s="18"/>
    </row>
    <row r="280" spans="1:3" s="13" customFormat="1" ht="18" customHeight="1">
      <c r="A280" s="19"/>
      <c r="B280" s="20"/>
      <c r="C280" s="18"/>
    </row>
    <row r="281" spans="1:3" s="13" customFormat="1" ht="18" customHeight="1">
      <c r="A281" s="19"/>
      <c r="B281" s="20"/>
      <c r="C281" s="18"/>
    </row>
    <row r="282" spans="1:3" s="13" customFormat="1" ht="18" customHeight="1">
      <c r="A282" s="19"/>
      <c r="B282" s="20"/>
      <c r="C282" s="18"/>
    </row>
    <row r="283" spans="1:3" s="13" customFormat="1" ht="18" customHeight="1">
      <c r="A283" s="19"/>
      <c r="B283" s="20"/>
      <c r="C283" s="18"/>
    </row>
    <row r="284" spans="1:3" s="13" customFormat="1" ht="18" customHeight="1">
      <c r="A284" s="19"/>
      <c r="B284" s="20"/>
      <c r="C284" s="18"/>
    </row>
    <row r="285" spans="1:3" s="13" customFormat="1" ht="18" customHeight="1">
      <c r="A285" s="19"/>
      <c r="B285" s="20"/>
      <c r="C285" s="18"/>
    </row>
    <row r="286" spans="1:3" s="13" customFormat="1" ht="18" customHeight="1">
      <c r="A286" s="19"/>
      <c r="B286" s="20"/>
      <c r="C286" s="18"/>
    </row>
    <row r="287" spans="1:3" s="13" customFormat="1" ht="18" customHeight="1">
      <c r="A287" s="19"/>
      <c r="B287" s="20"/>
      <c r="C287" s="18"/>
    </row>
    <row r="288" spans="1:3" s="13" customFormat="1" ht="18" customHeight="1">
      <c r="A288" s="19"/>
      <c r="B288" s="20"/>
      <c r="C288" s="18"/>
    </row>
    <row r="289" spans="1:3" s="13" customFormat="1" ht="18" customHeight="1">
      <c r="A289" s="19"/>
      <c r="B289" s="20"/>
      <c r="C289" s="18"/>
    </row>
    <row r="290" spans="1:3" s="13" customFormat="1" ht="18" customHeight="1">
      <c r="A290" s="19"/>
      <c r="B290" s="20"/>
      <c r="C290" s="18"/>
    </row>
    <row r="291" spans="1:3" s="13" customFormat="1" ht="18" customHeight="1">
      <c r="A291" s="19"/>
      <c r="B291" s="20"/>
      <c r="C291" s="18"/>
    </row>
    <row r="292" spans="1:3" s="13" customFormat="1" ht="18" customHeight="1">
      <c r="A292" s="19"/>
      <c r="B292" s="20"/>
      <c r="C292" s="18"/>
    </row>
    <row r="293" spans="1:3" s="13" customFormat="1" ht="18" customHeight="1">
      <c r="A293" s="19"/>
      <c r="B293" s="20"/>
      <c r="C293" s="18"/>
    </row>
    <row r="294" spans="1:3" s="13" customFormat="1" ht="18" customHeight="1">
      <c r="A294" s="19"/>
      <c r="B294" s="20"/>
      <c r="C294" s="18"/>
    </row>
    <row r="295" spans="1:3" s="13" customFormat="1" ht="18" customHeight="1">
      <c r="A295" s="19"/>
      <c r="B295" s="20"/>
      <c r="C295" s="18"/>
    </row>
    <row r="296" spans="1:3" s="13" customFormat="1" ht="18" customHeight="1">
      <c r="A296" s="19"/>
      <c r="B296" s="20"/>
      <c r="C296" s="18"/>
    </row>
    <row r="297" spans="1:3" s="13" customFormat="1" ht="18" customHeight="1">
      <c r="A297" s="19"/>
      <c r="B297" s="20"/>
      <c r="C297" s="18"/>
    </row>
    <row r="298" spans="1:3" s="13" customFormat="1" ht="18" customHeight="1">
      <c r="A298" s="19"/>
      <c r="B298" s="20"/>
      <c r="C298" s="18"/>
    </row>
    <row r="299" spans="1:3" s="13" customFormat="1" ht="18" customHeight="1">
      <c r="A299" s="19"/>
      <c r="B299" s="20"/>
      <c r="C299" s="18"/>
    </row>
    <row r="300" spans="1:3" s="13" customFormat="1" ht="18" customHeight="1">
      <c r="A300" s="19"/>
      <c r="B300" s="20"/>
      <c r="C300" s="18"/>
    </row>
    <row r="301" spans="1:3" s="13" customFormat="1" ht="18" customHeight="1">
      <c r="A301" s="19"/>
      <c r="B301" s="20"/>
      <c r="C301" s="18"/>
    </row>
    <row r="302" spans="1:3" s="13" customFormat="1" ht="18" customHeight="1">
      <c r="A302" s="19"/>
      <c r="B302" s="20"/>
      <c r="C302" s="18"/>
    </row>
    <row r="303" spans="1:3" s="13" customFormat="1" ht="18" customHeight="1">
      <c r="A303" s="19"/>
      <c r="B303" s="20"/>
      <c r="C303" s="18"/>
    </row>
    <row r="304" spans="1:3" s="13" customFormat="1" ht="18" customHeight="1">
      <c r="A304" s="19"/>
      <c r="B304" s="20"/>
      <c r="C304" s="18"/>
    </row>
    <row r="305" spans="1:3" s="13" customFormat="1" ht="18" customHeight="1">
      <c r="A305" s="19"/>
      <c r="B305" s="20"/>
      <c r="C305" s="18"/>
    </row>
    <row r="306" spans="1:3" s="13" customFormat="1" ht="18" customHeight="1">
      <c r="A306" s="19"/>
      <c r="B306" s="20"/>
      <c r="C306" s="18"/>
    </row>
    <row r="307" spans="1:3" s="13" customFormat="1" ht="18" customHeight="1">
      <c r="A307" s="19"/>
      <c r="B307" s="20"/>
      <c r="C307" s="18"/>
    </row>
    <row r="308" spans="1:3" s="13" customFormat="1" ht="18" customHeight="1">
      <c r="A308" s="19"/>
      <c r="B308" s="20"/>
      <c r="C308" s="18"/>
    </row>
    <row r="309" spans="1:3" s="13" customFormat="1" ht="18" customHeight="1">
      <c r="A309" s="19"/>
      <c r="B309" s="20"/>
      <c r="C309" s="18"/>
    </row>
    <row r="310" spans="1:3" s="13" customFormat="1" ht="18" customHeight="1">
      <c r="A310" s="19"/>
      <c r="B310" s="20"/>
      <c r="C310" s="18"/>
    </row>
    <row r="311" spans="1:3" s="13" customFormat="1" ht="18" customHeight="1">
      <c r="A311" s="19"/>
      <c r="B311" s="20"/>
      <c r="C311" s="18"/>
    </row>
    <row r="312" spans="1:3" s="13" customFormat="1" ht="18" customHeight="1">
      <c r="A312" s="19"/>
      <c r="B312" s="20"/>
      <c r="C312" s="18"/>
    </row>
    <row r="313" spans="1:3" s="13" customFormat="1" ht="18" customHeight="1">
      <c r="A313" s="19"/>
      <c r="B313" s="20"/>
      <c r="C313" s="18"/>
    </row>
    <row r="314" spans="1:3" s="13" customFormat="1" ht="18" customHeight="1">
      <c r="A314" s="19"/>
      <c r="B314" s="20"/>
      <c r="C314" s="18"/>
    </row>
    <row r="315" spans="1:3" s="13" customFormat="1" ht="18" customHeight="1">
      <c r="A315" s="19"/>
      <c r="B315" s="20"/>
      <c r="C315" s="18"/>
    </row>
    <row r="316" spans="1:3" s="13" customFormat="1" ht="18" customHeight="1">
      <c r="A316" s="19"/>
      <c r="B316" s="20"/>
      <c r="C316" s="18"/>
    </row>
    <row r="317" spans="1:3" s="13" customFormat="1" ht="18" customHeight="1">
      <c r="A317" s="19"/>
      <c r="B317" s="20"/>
      <c r="C317" s="18"/>
    </row>
    <row r="318" spans="1:3" s="13" customFormat="1" ht="18" customHeight="1">
      <c r="A318" s="19"/>
      <c r="B318" s="20"/>
      <c r="C318" s="18"/>
    </row>
    <row r="319" spans="1:3" s="13" customFormat="1" ht="18" customHeight="1">
      <c r="A319" s="19"/>
      <c r="B319" s="20"/>
      <c r="C319" s="18"/>
    </row>
    <row r="320" spans="1:3" s="13" customFormat="1" ht="18" customHeight="1">
      <c r="A320" s="19"/>
      <c r="B320" s="20"/>
      <c r="C320" s="18"/>
    </row>
    <row r="321" spans="1:3" s="13" customFormat="1" ht="18" customHeight="1">
      <c r="A321" s="19"/>
      <c r="B321" s="20"/>
      <c r="C321" s="18"/>
    </row>
    <row r="322" spans="1:3" s="13" customFormat="1" ht="18" customHeight="1">
      <c r="A322" s="19"/>
      <c r="B322" s="20"/>
      <c r="C322" s="18"/>
    </row>
    <row r="323" spans="1:3" s="13" customFormat="1" ht="18" customHeight="1">
      <c r="A323" s="19"/>
      <c r="B323" s="20"/>
      <c r="C323" s="18"/>
    </row>
    <row r="324" spans="1:3" s="13" customFormat="1" ht="18" customHeight="1">
      <c r="A324" s="19"/>
      <c r="B324" s="20"/>
      <c r="C324" s="18"/>
    </row>
    <row r="325" spans="1:3" s="13" customFormat="1" ht="18" customHeight="1">
      <c r="A325" s="19"/>
      <c r="B325" s="20"/>
      <c r="C325" s="18"/>
    </row>
    <row r="326" spans="1:3" s="13" customFormat="1" ht="18" customHeight="1">
      <c r="A326" s="19"/>
      <c r="B326" s="20"/>
      <c r="C326" s="18"/>
    </row>
    <row r="327" spans="1:3" s="13" customFormat="1" ht="18" customHeight="1">
      <c r="A327" s="19"/>
      <c r="B327" s="20"/>
      <c r="C327" s="18"/>
    </row>
    <row r="328" spans="1:3" s="13" customFormat="1" ht="18" customHeight="1">
      <c r="A328" s="19"/>
      <c r="B328" s="20"/>
      <c r="C328" s="18"/>
    </row>
    <row r="329" spans="1:3" s="13" customFormat="1" ht="18" customHeight="1">
      <c r="A329" s="19"/>
      <c r="B329" s="20"/>
      <c r="C329" s="18"/>
    </row>
    <row r="330" spans="1:3" s="13" customFormat="1" ht="18" customHeight="1">
      <c r="A330" s="19"/>
      <c r="B330" s="20"/>
      <c r="C330" s="18"/>
    </row>
    <row r="331" spans="1:3" s="13" customFormat="1" ht="18" customHeight="1">
      <c r="A331" s="19"/>
      <c r="B331" s="20"/>
      <c r="C331" s="18"/>
    </row>
    <row r="332" spans="1:3" s="13" customFormat="1" ht="18" customHeight="1">
      <c r="A332" s="19"/>
      <c r="B332" s="20"/>
      <c r="C332" s="18"/>
    </row>
    <row r="333" spans="1:3" s="13" customFormat="1" ht="18" customHeight="1">
      <c r="A333" s="19"/>
      <c r="B333" s="20"/>
      <c r="C333" s="18"/>
    </row>
    <row r="334" spans="1:3" s="13" customFormat="1" ht="18" customHeight="1">
      <c r="A334" s="19"/>
      <c r="B334" s="20"/>
      <c r="C334" s="18"/>
    </row>
    <row r="335" spans="1:3" s="13" customFormat="1" ht="18" customHeight="1">
      <c r="A335" s="19"/>
      <c r="B335" s="20"/>
      <c r="C335" s="18"/>
    </row>
    <row r="336" spans="1:3" s="13" customFormat="1" ht="18" customHeight="1">
      <c r="A336" s="19"/>
      <c r="B336" s="20"/>
      <c r="C336" s="18"/>
    </row>
    <row r="337" spans="1:3" s="13" customFormat="1" ht="18" customHeight="1">
      <c r="A337" s="19"/>
      <c r="B337" s="20"/>
      <c r="C337" s="18"/>
    </row>
    <row r="338" spans="1:3" s="13" customFormat="1" ht="18" customHeight="1">
      <c r="A338" s="19"/>
      <c r="B338" s="20"/>
      <c r="C338" s="18"/>
    </row>
    <row r="339" spans="1:3" s="13" customFormat="1" ht="18" customHeight="1">
      <c r="A339" s="19"/>
      <c r="B339" s="20"/>
      <c r="C339" s="18"/>
    </row>
    <row r="340" spans="1:3" s="13" customFormat="1" ht="18" customHeight="1">
      <c r="A340" s="19"/>
      <c r="B340" s="20"/>
      <c r="C340" s="18"/>
    </row>
    <row r="341" spans="1:3" s="13" customFormat="1" ht="18" customHeight="1">
      <c r="A341" s="19"/>
      <c r="B341" s="20"/>
      <c r="C341" s="18"/>
    </row>
    <row r="342" spans="1:3" s="13" customFormat="1" ht="18" customHeight="1">
      <c r="A342" s="19"/>
      <c r="B342" s="20"/>
      <c r="C342" s="18"/>
    </row>
    <row r="343" spans="1:3" s="13" customFormat="1" ht="18" customHeight="1">
      <c r="A343" s="19"/>
      <c r="B343" s="20"/>
      <c r="C343" s="18"/>
    </row>
    <row r="344" spans="1:3" s="13" customFormat="1" ht="18" customHeight="1">
      <c r="A344" s="19"/>
      <c r="B344" s="20"/>
      <c r="C344" s="18"/>
    </row>
    <row r="345" spans="1:3" s="13" customFormat="1" ht="18" customHeight="1">
      <c r="A345" s="19"/>
      <c r="B345" s="20"/>
      <c r="C345" s="18"/>
    </row>
    <row r="346" spans="1:3" s="13" customFormat="1" ht="18" customHeight="1">
      <c r="A346" s="19"/>
      <c r="B346" s="20"/>
      <c r="C346" s="18"/>
    </row>
    <row r="347" spans="1:3" s="13" customFormat="1" ht="18" customHeight="1">
      <c r="A347" s="19"/>
      <c r="B347" s="20"/>
      <c r="C347" s="18"/>
    </row>
    <row r="348" spans="1:3" s="13" customFormat="1" ht="18" customHeight="1">
      <c r="A348" s="19"/>
      <c r="B348" s="20"/>
      <c r="C348" s="18"/>
    </row>
    <row r="349" spans="1:3" s="13" customFormat="1" ht="18" customHeight="1">
      <c r="A349" s="19"/>
      <c r="B349" s="20"/>
      <c r="C349" s="18"/>
    </row>
    <row r="350" spans="1:3" s="13" customFormat="1" ht="18" customHeight="1">
      <c r="A350" s="19"/>
      <c r="B350" s="20"/>
      <c r="C350" s="18"/>
    </row>
    <row r="351" spans="1:3" s="13" customFormat="1" ht="18" customHeight="1">
      <c r="A351" s="19"/>
      <c r="B351" s="20"/>
      <c r="C351" s="18"/>
    </row>
    <row r="352" spans="1:3" s="13" customFormat="1" ht="18" customHeight="1">
      <c r="A352" s="19"/>
      <c r="B352" s="20"/>
      <c r="C352" s="18"/>
    </row>
    <row r="353" spans="1:3" s="13" customFormat="1" ht="18" customHeight="1">
      <c r="A353" s="19"/>
      <c r="B353" s="20"/>
      <c r="C353" s="18"/>
    </row>
    <row r="354" spans="1:3" s="13" customFormat="1" ht="18" customHeight="1">
      <c r="A354" s="19"/>
      <c r="B354" s="20"/>
      <c r="C354" s="18"/>
    </row>
    <row r="355" spans="1:3" s="13" customFormat="1" ht="18" customHeight="1">
      <c r="A355" s="19"/>
      <c r="B355" s="20"/>
      <c r="C355" s="18"/>
    </row>
    <row r="356" spans="1:3" s="13" customFormat="1" ht="18" customHeight="1">
      <c r="A356" s="19"/>
      <c r="B356" s="20"/>
      <c r="C356" s="18"/>
    </row>
    <row r="357" spans="1:3" s="13" customFormat="1" ht="18" customHeight="1">
      <c r="A357" s="19"/>
      <c r="B357" s="20"/>
      <c r="C357" s="18"/>
    </row>
    <row r="358" spans="1:3" s="13" customFormat="1" ht="18" customHeight="1">
      <c r="A358" s="19"/>
      <c r="B358" s="20"/>
      <c r="C358" s="18"/>
    </row>
    <row r="359" spans="1:3" s="13" customFormat="1" ht="18" customHeight="1">
      <c r="A359" s="19"/>
      <c r="B359" s="20"/>
      <c r="C359" s="18"/>
    </row>
    <row r="360" spans="1:3" s="13" customFormat="1" ht="18" customHeight="1">
      <c r="A360" s="19"/>
      <c r="B360" s="20"/>
      <c r="C360" s="18"/>
    </row>
    <row r="361" spans="1:3" s="13" customFormat="1" ht="18" customHeight="1">
      <c r="A361" s="19"/>
      <c r="B361" s="20"/>
      <c r="C361" s="18"/>
    </row>
    <row r="362" spans="1:3" s="13" customFormat="1" ht="18" customHeight="1">
      <c r="A362" s="19"/>
      <c r="B362" s="20"/>
      <c r="C362" s="18"/>
    </row>
    <row r="363" spans="1:3" s="13" customFormat="1" ht="18" customHeight="1">
      <c r="A363" s="19"/>
      <c r="B363" s="20"/>
      <c r="C363" s="18"/>
    </row>
    <row r="364" spans="1:3" s="13" customFormat="1" ht="18" customHeight="1">
      <c r="A364" s="19"/>
      <c r="B364" s="20"/>
      <c r="C364" s="18"/>
    </row>
    <row r="365" spans="1:3" s="13" customFormat="1" ht="18" customHeight="1">
      <c r="A365" s="19"/>
      <c r="B365" s="20"/>
      <c r="C365" s="18"/>
    </row>
    <row r="366" spans="1:3" s="13" customFormat="1" ht="18" customHeight="1">
      <c r="A366" s="19"/>
      <c r="B366" s="20"/>
      <c r="C366" s="18"/>
    </row>
    <row r="367" spans="1:3" s="13" customFormat="1" ht="18" customHeight="1">
      <c r="A367" s="19"/>
      <c r="B367" s="20"/>
      <c r="C367" s="18"/>
    </row>
    <row r="368" spans="1:3" s="13" customFormat="1" ht="18" customHeight="1">
      <c r="A368" s="19"/>
      <c r="B368" s="20"/>
      <c r="C368" s="18"/>
    </row>
    <row r="369" spans="1:3" s="13" customFormat="1" ht="18" customHeight="1">
      <c r="A369" s="19"/>
      <c r="B369" s="20"/>
      <c r="C369" s="18"/>
    </row>
    <row r="370" spans="1:3" s="13" customFormat="1" ht="18" customHeight="1">
      <c r="A370" s="19"/>
      <c r="B370" s="20"/>
      <c r="C370" s="18"/>
    </row>
    <row r="371" spans="1:3" s="13" customFormat="1" ht="18" customHeight="1">
      <c r="A371" s="19"/>
      <c r="B371" s="20"/>
      <c r="C371" s="18"/>
    </row>
    <row r="372" spans="1:3" s="13" customFormat="1" ht="18" customHeight="1">
      <c r="A372" s="19"/>
      <c r="B372" s="20"/>
      <c r="C372" s="18"/>
    </row>
    <row r="373" spans="1:3" s="13" customFormat="1" ht="18" customHeight="1">
      <c r="A373" s="19"/>
      <c r="B373" s="20"/>
      <c r="C373" s="18"/>
    </row>
    <row r="374" spans="1:3" s="13" customFormat="1" ht="18" customHeight="1">
      <c r="A374" s="19"/>
      <c r="B374" s="20"/>
      <c r="C374" s="18"/>
    </row>
    <row r="375" spans="1:3" s="13" customFormat="1" ht="18" customHeight="1">
      <c r="A375" s="19"/>
      <c r="B375" s="20"/>
      <c r="C375" s="18"/>
    </row>
    <row r="376" spans="1:3" s="13" customFormat="1" ht="18" customHeight="1">
      <c r="A376" s="19"/>
      <c r="B376" s="20"/>
      <c r="C376" s="18"/>
    </row>
    <row r="377" spans="1:3" s="13" customFormat="1" ht="18" customHeight="1">
      <c r="A377" s="19"/>
      <c r="B377" s="20"/>
      <c r="C377" s="18"/>
    </row>
    <row r="378" spans="1:3" s="13" customFormat="1" ht="18" customHeight="1">
      <c r="A378" s="19"/>
      <c r="B378" s="20"/>
      <c r="C378" s="18"/>
    </row>
    <row r="379" spans="1:3" s="13" customFormat="1" ht="18" customHeight="1">
      <c r="A379" s="19"/>
      <c r="B379" s="20"/>
      <c r="C379" s="18"/>
    </row>
    <row r="380" spans="1:3" s="13" customFormat="1" ht="18" customHeight="1">
      <c r="A380" s="19"/>
      <c r="B380" s="20"/>
      <c r="C380" s="18"/>
    </row>
    <row r="381" spans="1:3" s="13" customFormat="1" ht="18" customHeight="1">
      <c r="A381" s="19"/>
      <c r="B381" s="20"/>
      <c r="C381" s="18"/>
    </row>
    <row r="382" spans="1:3" s="13" customFormat="1" ht="18" customHeight="1">
      <c r="A382" s="19"/>
      <c r="B382" s="20"/>
      <c r="C382" s="18"/>
    </row>
    <row r="383" spans="1:3" s="13" customFormat="1" ht="18" customHeight="1">
      <c r="A383" s="19"/>
      <c r="B383" s="20"/>
      <c r="C383" s="18"/>
    </row>
    <row r="384" spans="1:3" s="13" customFormat="1" ht="18" customHeight="1">
      <c r="A384" s="19"/>
      <c r="B384" s="20"/>
      <c r="C384" s="18"/>
    </row>
    <row r="385" spans="1:3" s="13" customFormat="1" ht="18" customHeight="1">
      <c r="A385" s="19"/>
      <c r="B385" s="20"/>
      <c r="C385" s="18"/>
    </row>
    <row r="386" spans="1:3" s="13" customFormat="1" ht="18" customHeight="1">
      <c r="A386" s="19"/>
      <c r="B386" s="20"/>
      <c r="C386" s="18"/>
    </row>
    <row r="387" spans="1:3" s="13" customFormat="1" ht="18" customHeight="1">
      <c r="A387" s="19"/>
      <c r="B387" s="20"/>
      <c r="C387" s="18"/>
    </row>
    <row r="388" spans="1:3" s="13" customFormat="1" ht="18" customHeight="1">
      <c r="A388" s="19"/>
      <c r="B388" s="20"/>
      <c r="C388" s="18"/>
    </row>
    <row r="389" spans="1:3" s="13" customFormat="1" ht="18" customHeight="1">
      <c r="A389" s="19"/>
      <c r="B389" s="20"/>
      <c r="C389" s="18"/>
    </row>
    <row r="390" spans="1:3" s="13" customFormat="1" ht="18" customHeight="1">
      <c r="A390" s="19"/>
      <c r="B390" s="20"/>
      <c r="C390" s="18"/>
    </row>
    <row r="391" spans="1:3" s="13" customFormat="1" ht="18" customHeight="1">
      <c r="A391" s="19"/>
      <c r="B391" s="20"/>
      <c r="C391" s="18"/>
    </row>
    <row r="392" spans="1:3" s="13" customFormat="1" ht="18" customHeight="1">
      <c r="A392" s="19"/>
      <c r="B392" s="20"/>
      <c r="C392" s="18"/>
    </row>
    <row r="393" spans="1:3" s="13" customFormat="1" ht="18" customHeight="1">
      <c r="A393" s="19"/>
      <c r="B393" s="20"/>
      <c r="C393" s="18"/>
    </row>
    <row r="394" spans="1:3" s="13" customFormat="1" ht="18" customHeight="1">
      <c r="A394" s="19"/>
      <c r="B394" s="20"/>
      <c r="C394" s="18"/>
    </row>
    <row r="395" spans="1:3" s="13" customFormat="1" ht="18" customHeight="1">
      <c r="A395" s="19"/>
      <c r="B395" s="20"/>
      <c r="C395" s="18"/>
    </row>
    <row r="396" spans="1:3" s="13" customFormat="1" ht="18" customHeight="1">
      <c r="A396" s="19"/>
      <c r="B396" s="20"/>
      <c r="C396" s="18"/>
    </row>
    <row r="397" spans="1:3" s="13" customFormat="1" ht="18" customHeight="1">
      <c r="A397" s="19"/>
      <c r="B397" s="20"/>
      <c r="C397" s="18"/>
    </row>
    <row r="398" spans="1:3" s="13" customFormat="1" ht="18" customHeight="1">
      <c r="A398" s="19"/>
      <c r="B398" s="20"/>
      <c r="C398" s="18"/>
    </row>
    <row r="399" spans="1:3" s="13" customFormat="1" ht="18" customHeight="1">
      <c r="A399" s="19"/>
      <c r="B399" s="20"/>
      <c r="C399" s="18"/>
    </row>
    <row r="400" spans="1:3" s="13" customFormat="1" ht="18" customHeight="1">
      <c r="A400" s="19"/>
      <c r="B400" s="20"/>
      <c r="C400" s="18"/>
    </row>
    <row r="401" spans="1:3" s="13" customFormat="1" ht="18" customHeight="1">
      <c r="A401" s="19"/>
      <c r="B401" s="20"/>
      <c r="C401" s="18"/>
    </row>
    <row r="402" spans="1:3" s="13" customFormat="1" ht="18" customHeight="1">
      <c r="A402" s="19"/>
      <c r="B402" s="20"/>
      <c r="C402" s="18"/>
    </row>
    <row r="403" spans="1:3" s="13" customFormat="1" ht="18" customHeight="1">
      <c r="A403" s="19"/>
      <c r="B403" s="20"/>
      <c r="C403" s="18"/>
    </row>
    <row r="404" spans="1:3" s="13" customFormat="1" ht="18" customHeight="1">
      <c r="A404" s="19"/>
      <c r="B404" s="20"/>
      <c r="C404" s="18"/>
    </row>
    <row r="405" spans="1:3" s="13" customFormat="1" ht="18" customHeight="1">
      <c r="A405" s="19"/>
      <c r="B405" s="20"/>
      <c r="C405" s="18"/>
    </row>
    <row r="406" spans="1:3" s="13" customFormat="1" ht="18" customHeight="1">
      <c r="A406" s="19"/>
      <c r="B406" s="20"/>
      <c r="C406" s="18"/>
    </row>
    <row r="407" spans="1:3" s="13" customFormat="1" ht="18" customHeight="1">
      <c r="A407" s="19"/>
      <c r="B407" s="20"/>
      <c r="C407" s="18"/>
    </row>
    <row r="408" spans="1:3" s="13" customFormat="1" ht="18" customHeight="1">
      <c r="A408" s="19"/>
      <c r="B408" s="20"/>
      <c r="C408" s="18"/>
    </row>
    <row r="409" spans="1:3" s="13" customFormat="1" ht="18" customHeight="1">
      <c r="A409" s="19"/>
      <c r="B409" s="20"/>
      <c r="C409" s="18"/>
    </row>
    <row r="410" spans="1:3" s="13" customFormat="1" ht="18" customHeight="1">
      <c r="A410" s="19"/>
      <c r="B410" s="20"/>
      <c r="C410" s="18"/>
    </row>
    <row r="411" spans="1:3" s="13" customFormat="1" ht="18" customHeight="1">
      <c r="A411" s="19"/>
      <c r="B411" s="20"/>
      <c r="C411" s="18"/>
    </row>
    <row r="412" spans="1:3" s="13" customFormat="1" ht="18" customHeight="1">
      <c r="A412" s="19"/>
      <c r="B412" s="20"/>
      <c r="C412" s="18"/>
    </row>
    <row r="413" spans="1:3" s="13" customFormat="1" ht="18" customHeight="1">
      <c r="A413" s="19"/>
      <c r="B413" s="20"/>
      <c r="C413" s="18"/>
    </row>
    <row r="414" spans="1:3" s="13" customFormat="1" ht="18" customHeight="1">
      <c r="A414" s="19"/>
      <c r="B414" s="20"/>
      <c r="C414" s="18"/>
    </row>
    <row r="415" spans="1:3" s="13" customFormat="1" ht="18" customHeight="1">
      <c r="A415" s="19"/>
      <c r="B415" s="20"/>
      <c r="C415" s="18"/>
    </row>
    <row r="416" spans="1:3" s="13" customFormat="1" ht="18" customHeight="1">
      <c r="A416" s="19"/>
      <c r="B416" s="20"/>
      <c r="C416" s="18"/>
    </row>
    <row r="417" spans="1:3" s="13" customFormat="1" ht="18" customHeight="1">
      <c r="A417" s="19"/>
      <c r="B417" s="20"/>
      <c r="C417" s="18"/>
    </row>
    <row r="418" spans="1:3" s="13" customFormat="1" ht="18" customHeight="1">
      <c r="A418" s="19"/>
      <c r="B418" s="20"/>
      <c r="C418" s="18"/>
    </row>
    <row r="419" spans="1:3" s="13" customFormat="1" ht="18" customHeight="1">
      <c r="A419" s="19"/>
      <c r="B419" s="20"/>
      <c r="C419" s="18"/>
    </row>
    <row r="420" spans="1:3" s="13" customFormat="1" ht="18" customHeight="1">
      <c r="A420" s="19"/>
      <c r="B420" s="20"/>
      <c r="C420" s="18"/>
    </row>
    <row r="421" spans="1:3" s="13" customFormat="1" ht="18" customHeight="1">
      <c r="A421" s="19"/>
      <c r="B421" s="20"/>
      <c r="C421" s="18"/>
    </row>
    <row r="422" spans="1:3" s="13" customFormat="1" ht="18" customHeight="1">
      <c r="A422" s="19"/>
      <c r="B422" s="20"/>
      <c r="C422" s="18"/>
    </row>
    <row r="423" spans="1:3" s="13" customFormat="1" ht="18" customHeight="1">
      <c r="A423" s="19"/>
      <c r="B423" s="20"/>
      <c r="C423" s="18"/>
    </row>
    <row r="424" spans="1:3" s="13" customFormat="1" ht="18" customHeight="1">
      <c r="A424" s="19"/>
      <c r="B424" s="20"/>
      <c r="C424" s="18"/>
    </row>
    <row r="425" spans="1:3" s="13" customFormat="1" ht="18" customHeight="1">
      <c r="A425" s="19"/>
      <c r="B425" s="20"/>
      <c r="C425" s="18"/>
    </row>
    <row r="426" spans="1:3" s="13" customFormat="1" ht="18" customHeight="1">
      <c r="A426" s="19"/>
      <c r="B426" s="20"/>
      <c r="C426" s="18"/>
    </row>
    <row r="427" spans="1:3" s="13" customFormat="1" ht="18" customHeight="1">
      <c r="A427" s="19"/>
      <c r="B427" s="20"/>
      <c r="C427" s="18"/>
    </row>
    <row r="428" spans="1:3" s="13" customFormat="1" ht="18" customHeight="1">
      <c r="A428" s="19"/>
      <c r="B428" s="20"/>
      <c r="C428" s="18"/>
    </row>
    <row r="429" spans="1:3" s="13" customFormat="1" ht="18" customHeight="1">
      <c r="A429" s="19"/>
      <c r="B429" s="20"/>
      <c r="C429" s="18"/>
    </row>
    <row r="430" spans="1:3" s="13" customFormat="1" ht="18" customHeight="1">
      <c r="A430" s="19"/>
      <c r="B430" s="20"/>
      <c r="C430" s="18"/>
    </row>
    <row r="431" spans="1:3" s="13" customFormat="1" ht="18" customHeight="1">
      <c r="A431" s="19"/>
      <c r="B431" s="20"/>
      <c r="C431" s="18"/>
    </row>
    <row r="432" spans="1:3" s="13" customFormat="1" ht="18" customHeight="1">
      <c r="A432" s="19"/>
      <c r="B432" s="20"/>
      <c r="C432" s="18"/>
    </row>
    <row r="433" spans="1:3" s="13" customFormat="1" ht="18" customHeight="1">
      <c r="A433" s="19"/>
      <c r="B433" s="20"/>
      <c r="C433" s="18"/>
    </row>
    <row r="434" spans="1:3" s="13" customFormat="1" ht="18" customHeight="1">
      <c r="A434" s="19"/>
      <c r="B434" s="20"/>
      <c r="C434" s="18"/>
    </row>
    <row r="435" spans="1:3" s="13" customFormat="1" ht="18" customHeight="1">
      <c r="A435" s="19"/>
      <c r="B435" s="20"/>
      <c r="C435" s="18"/>
    </row>
    <row r="436" spans="1:3" s="13" customFormat="1" ht="18" customHeight="1">
      <c r="A436" s="19"/>
      <c r="B436" s="20"/>
      <c r="C436" s="18"/>
    </row>
    <row r="437" spans="1:3" s="13" customFormat="1" ht="18" customHeight="1">
      <c r="A437" s="19"/>
      <c r="B437" s="20"/>
      <c r="C437" s="18"/>
    </row>
    <row r="438" spans="1:3" s="13" customFormat="1" ht="18" customHeight="1">
      <c r="A438" s="19"/>
      <c r="B438" s="20"/>
      <c r="C438" s="18"/>
    </row>
    <row r="439" spans="1:3" s="13" customFormat="1" ht="18" customHeight="1">
      <c r="A439" s="19"/>
      <c r="B439" s="20"/>
      <c r="C439" s="18"/>
    </row>
    <row r="440" spans="1:3" s="13" customFormat="1" ht="18" customHeight="1">
      <c r="A440" s="19"/>
      <c r="B440" s="20"/>
      <c r="C440" s="18"/>
    </row>
    <row r="441" spans="1:3" s="13" customFormat="1" ht="18" customHeight="1">
      <c r="A441" s="19"/>
      <c r="B441" s="20"/>
      <c r="C441" s="18"/>
    </row>
    <row r="442" spans="1:3" s="13" customFormat="1" ht="18" customHeight="1">
      <c r="A442" s="19"/>
      <c r="B442" s="20"/>
      <c r="C442" s="18"/>
    </row>
    <row r="443" spans="1:3" s="13" customFormat="1" ht="18" customHeight="1">
      <c r="A443" s="19"/>
      <c r="B443" s="20"/>
      <c r="C443" s="18"/>
    </row>
    <row r="444" spans="1:3" s="13" customFormat="1" ht="18" customHeight="1">
      <c r="A444" s="19"/>
      <c r="B444" s="20"/>
      <c r="C444" s="18"/>
    </row>
    <row r="445" spans="1:3" s="13" customFormat="1" ht="18" customHeight="1">
      <c r="A445" s="19"/>
      <c r="B445" s="20"/>
      <c r="C445" s="18"/>
    </row>
    <row r="446" spans="1:3" s="13" customFormat="1" ht="18" customHeight="1">
      <c r="A446" s="19"/>
      <c r="B446" s="20"/>
      <c r="C446" s="18"/>
    </row>
    <row r="447" spans="1:3" s="13" customFormat="1" ht="18" customHeight="1">
      <c r="A447" s="19"/>
      <c r="B447" s="20"/>
      <c r="C447" s="18"/>
    </row>
    <row r="448" spans="1:3" s="13" customFormat="1" ht="18" customHeight="1">
      <c r="A448" s="19"/>
      <c r="B448" s="20"/>
      <c r="C448" s="18"/>
    </row>
    <row r="449" spans="1:3" s="13" customFormat="1" ht="18" customHeight="1">
      <c r="A449" s="19"/>
      <c r="B449" s="20"/>
      <c r="C449" s="18"/>
    </row>
    <row r="450" spans="1:3" s="13" customFormat="1" ht="18" customHeight="1">
      <c r="A450" s="19"/>
      <c r="B450" s="20"/>
      <c r="C450" s="18"/>
    </row>
    <row r="451" spans="1:3" s="13" customFormat="1" ht="18" customHeight="1">
      <c r="A451" s="19"/>
      <c r="B451" s="20"/>
      <c r="C451" s="18"/>
    </row>
    <row r="452" spans="1:3" s="13" customFormat="1" ht="18" customHeight="1">
      <c r="A452" s="19"/>
      <c r="B452" s="20"/>
      <c r="C452" s="18"/>
    </row>
    <row r="453" spans="1:3" s="13" customFormat="1" ht="18" customHeight="1">
      <c r="A453" s="19"/>
      <c r="B453" s="20"/>
      <c r="C453" s="18"/>
    </row>
    <row r="454" spans="1:3" s="13" customFormat="1" ht="18" customHeight="1">
      <c r="A454" s="19"/>
      <c r="B454" s="20"/>
      <c r="C454" s="18"/>
    </row>
    <row r="455" spans="1:3" s="13" customFormat="1" ht="18" customHeight="1">
      <c r="A455" s="19"/>
      <c r="B455" s="20"/>
      <c r="C455" s="18"/>
    </row>
    <row r="456" spans="1:3" s="13" customFormat="1" ht="18" customHeight="1">
      <c r="A456" s="19"/>
      <c r="B456" s="20"/>
      <c r="C456" s="18"/>
    </row>
    <row r="457" spans="1:3" s="13" customFormat="1" ht="18" customHeight="1">
      <c r="A457" s="19"/>
      <c r="B457" s="20"/>
      <c r="C457" s="18"/>
    </row>
    <row r="458" spans="1:3" s="13" customFormat="1" ht="18" customHeight="1">
      <c r="A458" s="19"/>
      <c r="B458" s="20"/>
      <c r="C458" s="18"/>
    </row>
    <row r="459" spans="1:3" s="13" customFormat="1" ht="18" customHeight="1">
      <c r="A459" s="19"/>
      <c r="B459" s="20"/>
      <c r="C459" s="18"/>
    </row>
    <row r="460" spans="1:3" s="13" customFormat="1" ht="18" customHeight="1">
      <c r="A460" s="19"/>
      <c r="B460" s="20"/>
      <c r="C460" s="18"/>
    </row>
    <row r="461" spans="1:3" s="13" customFormat="1" ht="18" customHeight="1">
      <c r="A461" s="19"/>
      <c r="B461" s="20"/>
      <c r="C461" s="18"/>
    </row>
    <row r="462" spans="1:3" s="13" customFormat="1" ht="18" customHeight="1">
      <c r="A462" s="19"/>
      <c r="B462" s="20"/>
      <c r="C462" s="18"/>
    </row>
    <row r="463" spans="1:3" s="13" customFormat="1" ht="18" customHeight="1">
      <c r="A463" s="19"/>
      <c r="B463" s="20"/>
      <c r="C463" s="18"/>
    </row>
    <row r="464" spans="1:3" s="13" customFormat="1" ht="18" customHeight="1">
      <c r="A464" s="19"/>
      <c r="B464" s="20"/>
      <c r="C464" s="18"/>
    </row>
    <row r="465" spans="1:3" s="13" customFormat="1" ht="18" customHeight="1">
      <c r="A465" s="19"/>
      <c r="B465" s="20"/>
      <c r="C465" s="18"/>
    </row>
    <row r="466" spans="1:3" s="13" customFormat="1" ht="18" customHeight="1">
      <c r="A466" s="19"/>
      <c r="B466" s="20"/>
      <c r="C466" s="18"/>
    </row>
    <row r="467" spans="1:3" s="13" customFormat="1" ht="18" customHeight="1">
      <c r="A467" s="19"/>
      <c r="B467" s="20"/>
      <c r="C467" s="18"/>
    </row>
    <row r="468" spans="1:3" s="13" customFormat="1" ht="18" customHeight="1">
      <c r="A468" s="19"/>
      <c r="B468" s="20"/>
      <c r="C468" s="18"/>
    </row>
    <row r="469" spans="1:3" s="13" customFormat="1" ht="18" customHeight="1">
      <c r="A469" s="19"/>
      <c r="B469" s="20"/>
      <c r="C469" s="18"/>
    </row>
    <row r="470" spans="1:3" s="13" customFormat="1" ht="18" customHeight="1">
      <c r="A470" s="19"/>
      <c r="B470" s="20"/>
      <c r="C470" s="18"/>
    </row>
    <row r="471" spans="1:3" s="13" customFormat="1" ht="18" customHeight="1">
      <c r="A471" s="19"/>
      <c r="B471" s="20"/>
      <c r="C471" s="18"/>
    </row>
    <row r="472" spans="1:3" s="13" customFormat="1" ht="18" customHeight="1">
      <c r="A472" s="19"/>
      <c r="B472" s="20"/>
      <c r="C472" s="18"/>
    </row>
    <row r="473" spans="1:3" s="13" customFormat="1" ht="18" customHeight="1">
      <c r="A473" s="19"/>
      <c r="B473" s="20"/>
      <c r="C473" s="18"/>
    </row>
    <row r="474" spans="1:3" s="13" customFormat="1" ht="18" customHeight="1">
      <c r="A474" s="19"/>
      <c r="B474" s="20"/>
      <c r="C474" s="18"/>
    </row>
    <row r="475" spans="1:3" s="13" customFormat="1" ht="18" customHeight="1">
      <c r="A475" s="19"/>
      <c r="B475" s="20"/>
      <c r="C475" s="18"/>
    </row>
    <row r="476" spans="1:3" s="13" customFormat="1" ht="18" customHeight="1">
      <c r="A476" s="19"/>
      <c r="B476" s="20"/>
      <c r="C476" s="18"/>
    </row>
    <row r="477" spans="1:3" s="13" customFormat="1" ht="18" customHeight="1">
      <c r="A477" s="19"/>
      <c r="B477" s="20"/>
      <c r="C477" s="18"/>
    </row>
    <row r="478" spans="1:3" s="13" customFormat="1" ht="18" customHeight="1">
      <c r="A478" s="19"/>
      <c r="B478" s="20"/>
      <c r="C478" s="18"/>
    </row>
    <row r="479" spans="1:3" s="13" customFormat="1" ht="18" customHeight="1">
      <c r="A479" s="19"/>
      <c r="B479" s="20"/>
      <c r="C479" s="18"/>
    </row>
    <row r="480" spans="1:3" s="13" customFormat="1" ht="18" customHeight="1">
      <c r="A480" s="19"/>
      <c r="B480" s="20"/>
      <c r="C480" s="18"/>
    </row>
    <row r="481" spans="1:3" s="13" customFormat="1" ht="18" customHeight="1">
      <c r="A481" s="19"/>
      <c r="B481" s="20"/>
      <c r="C481" s="18"/>
    </row>
    <row r="482" spans="1:3" s="13" customFormat="1" ht="18" customHeight="1">
      <c r="A482" s="19"/>
      <c r="B482" s="20"/>
      <c r="C482" s="18"/>
    </row>
    <row r="483" spans="1:3" s="13" customFormat="1" ht="18" customHeight="1">
      <c r="A483" s="19"/>
      <c r="B483" s="20"/>
      <c r="C483" s="18"/>
    </row>
    <row r="484" spans="1:3" s="13" customFormat="1" ht="18" customHeight="1">
      <c r="A484" s="19"/>
      <c r="B484" s="20"/>
      <c r="C484" s="18"/>
    </row>
    <row r="485" spans="1:3" s="13" customFormat="1" ht="18" customHeight="1">
      <c r="A485" s="19"/>
      <c r="B485" s="20"/>
      <c r="C485" s="18"/>
    </row>
    <row r="486" spans="1:3" s="13" customFormat="1" ht="18" customHeight="1">
      <c r="A486" s="19"/>
      <c r="B486" s="20"/>
      <c r="C486" s="18"/>
    </row>
    <row r="487" spans="1:3" s="13" customFormat="1" ht="18" customHeight="1">
      <c r="A487" s="19"/>
      <c r="B487" s="20"/>
      <c r="C487" s="18"/>
    </row>
    <row r="488" spans="1:3" s="13" customFormat="1" ht="18" customHeight="1">
      <c r="A488" s="19"/>
      <c r="B488" s="20"/>
      <c r="C488" s="18"/>
    </row>
    <row r="489" spans="1:3" s="13" customFormat="1" ht="18" customHeight="1">
      <c r="A489" s="19"/>
      <c r="B489" s="20"/>
      <c r="C489" s="18"/>
    </row>
    <row r="490" spans="1:3" s="13" customFormat="1" ht="18" customHeight="1">
      <c r="A490" s="19"/>
      <c r="B490" s="20"/>
      <c r="C490" s="18"/>
    </row>
    <row r="491" spans="1:3" s="13" customFormat="1" ht="18" customHeight="1">
      <c r="A491" s="19"/>
      <c r="B491" s="20"/>
      <c r="C491" s="18"/>
    </row>
    <row r="492" spans="1:3" s="13" customFormat="1" ht="18" customHeight="1">
      <c r="A492" s="19"/>
      <c r="B492" s="20"/>
      <c r="C492" s="18"/>
    </row>
    <row r="493" spans="1:3" s="13" customFormat="1" ht="18" customHeight="1">
      <c r="A493" s="19"/>
      <c r="B493" s="20"/>
      <c r="C493" s="18"/>
    </row>
    <row r="494" spans="1:3" s="13" customFormat="1" ht="18" customHeight="1">
      <c r="A494" s="19"/>
      <c r="B494" s="20"/>
      <c r="C494" s="18"/>
    </row>
    <row r="495" spans="1:3" s="13" customFormat="1" ht="18" customHeight="1">
      <c r="A495" s="19"/>
      <c r="B495" s="20"/>
      <c r="C495" s="18"/>
    </row>
    <row r="496" spans="1:3" s="13" customFormat="1" ht="18" customHeight="1">
      <c r="A496" s="19"/>
      <c r="B496" s="20"/>
      <c r="C496" s="18"/>
    </row>
    <row r="497" spans="1:3" s="13" customFormat="1" ht="18" customHeight="1">
      <c r="A497" s="19"/>
      <c r="B497" s="20"/>
      <c r="C497" s="18"/>
    </row>
    <row r="498" spans="1:3" s="13" customFormat="1" ht="18" customHeight="1">
      <c r="A498" s="19"/>
      <c r="B498" s="20"/>
      <c r="C498" s="18"/>
    </row>
    <row r="499" spans="1:3" s="13" customFormat="1" ht="18" customHeight="1">
      <c r="A499" s="19"/>
      <c r="B499" s="20"/>
      <c r="C499" s="18"/>
    </row>
    <row r="500" spans="1:3" s="13" customFormat="1" ht="18" customHeight="1">
      <c r="A500" s="19"/>
      <c r="B500" s="20"/>
      <c r="C500" s="18"/>
    </row>
    <row r="501" spans="1:3" s="13" customFormat="1" ht="18" customHeight="1">
      <c r="A501" s="19"/>
      <c r="B501" s="20"/>
      <c r="C501" s="18"/>
    </row>
    <row r="502" spans="1:3" s="13" customFormat="1" ht="18" customHeight="1">
      <c r="A502" s="19"/>
      <c r="B502" s="20"/>
      <c r="C502" s="18"/>
    </row>
    <row r="503" spans="1:3" s="13" customFormat="1" ht="18" customHeight="1">
      <c r="A503" s="19"/>
      <c r="B503" s="20"/>
      <c r="C503" s="18"/>
    </row>
    <row r="504" spans="1:3" s="13" customFormat="1" ht="18" customHeight="1">
      <c r="A504" s="19"/>
      <c r="B504" s="20"/>
      <c r="C504" s="18"/>
    </row>
    <row r="505" spans="1:3" s="13" customFormat="1" ht="18" customHeight="1">
      <c r="A505" s="19"/>
      <c r="B505" s="20"/>
      <c r="C505" s="18"/>
    </row>
    <row r="506" spans="1:3" s="13" customFormat="1" ht="18" customHeight="1">
      <c r="A506" s="19"/>
      <c r="B506" s="20"/>
      <c r="C506" s="18"/>
    </row>
    <row r="507" spans="1:3" s="13" customFormat="1" ht="18" customHeight="1">
      <c r="A507" s="19"/>
      <c r="B507" s="20"/>
      <c r="C507" s="18"/>
    </row>
    <row r="508" spans="1:3" s="13" customFormat="1" ht="18" customHeight="1">
      <c r="A508" s="19"/>
      <c r="B508" s="20"/>
      <c r="C508" s="18"/>
    </row>
    <row r="509" spans="1:3" s="13" customFormat="1" ht="18" customHeight="1">
      <c r="A509" s="19"/>
      <c r="B509" s="20"/>
      <c r="C509" s="18"/>
    </row>
    <row r="510" spans="1:3" s="13" customFormat="1" ht="18" customHeight="1">
      <c r="A510" s="19"/>
      <c r="B510" s="20"/>
      <c r="C510" s="18"/>
    </row>
    <row r="511" spans="1:3" s="13" customFormat="1" ht="18" customHeight="1">
      <c r="A511" s="19"/>
      <c r="B511" s="20"/>
      <c r="C511" s="18"/>
    </row>
    <row r="512" spans="1:3" s="13" customFormat="1" ht="18" customHeight="1">
      <c r="A512" s="19"/>
      <c r="B512" s="20"/>
      <c r="C512" s="18"/>
    </row>
    <row r="513" spans="1:3" s="13" customFormat="1" ht="18" customHeight="1">
      <c r="A513" s="19"/>
      <c r="B513" s="20"/>
      <c r="C513" s="18"/>
    </row>
    <row r="514" spans="1:3" s="13" customFormat="1" ht="18" customHeight="1">
      <c r="A514" s="19"/>
      <c r="B514" s="20"/>
      <c r="C514" s="18"/>
    </row>
    <row r="515" spans="1:3" s="13" customFormat="1" ht="18" customHeight="1">
      <c r="A515" s="19"/>
      <c r="B515" s="20"/>
      <c r="C515" s="18"/>
    </row>
    <row r="516" spans="1:3" s="13" customFormat="1" ht="18" customHeight="1">
      <c r="A516" s="19"/>
      <c r="B516" s="20"/>
      <c r="C516" s="18"/>
    </row>
    <row r="517" spans="1:3" s="13" customFormat="1" ht="18" customHeight="1">
      <c r="A517" s="19"/>
      <c r="B517" s="20"/>
      <c r="C517" s="18"/>
    </row>
    <row r="518" spans="1:3" s="13" customFormat="1" ht="18" customHeight="1">
      <c r="A518" s="19"/>
      <c r="B518" s="20"/>
      <c r="C518" s="18"/>
    </row>
    <row r="519" spans="1:3" s="13" customFormat="1" ht="18" customHeight="1">
      <c r="A519" s="19"/>
      <c r="B519" s="20"/>
      <c r="C519" s="18"/>
    </row>
    <row r="520" spans="1:3" s="13" customFormat="1" ht="18" customHeight="1">
      <c r="A520" s="19"/>
      <c r="B520" s="20"/>
      <c r="C520" s="18"/>
    </row>
    <row r="521" spans="1:3" s="13" customFormat="1" ht="18" customHeight="1">
      <c r="A521" s="19"/>
      <c r="B521" s="20"/>
      <c r="C521" s="18"/>
    </row>
    <row r="522" spans="1:3" s="13" customFormat="1" ht="18" customHeight="1">
      <c r="A522" s="19"/>
      <c r="B522" s="20"/>
      <c r="C522" s="18"/>
    </row>
    <row r="523" spans="1:3" s="13" customFormat="1" ht="18" customHeight="1">
      <c r="A523" s="19"/>
      <c r="B523" s="20"/>
      <c r="C523" s="18"/>
    </row>
    <row r="524" spans="1:3" s="13" customFormat="1" ht="18" customHeight="1">
      <c r="A524" s="19"/>
      <c r="B524" s="20"/>
      <c r="C524" s="18"/>
    </row>
    <row r="525" spans="1:3" s="13" customFormat="1" ht="18" customHeight="1">
      <c r="A525" s="19"/>
      <c r="B525" s="20"/>
      <c r="C525" s="18"/>
    </row>
    <row r="526" spans="1:3" s="13" customFormat="1" ht="25.05" customHeight="1">
      <c r="A526" s="19"/>
      <c r="B526" s="20"/>
      <c r="C526" s="18"/>
    </row>
    <row r="527" spans="1:3" s="13" customFormat="1" ht="25.05" customHeight="1">
      <c r="A527" s="19"/>
      <c r="B527" s="20"/>
      <c r="C527" s="18"/>
    </row>
    <row r="528" spans="1:3" s="13" customFormat="1" ht="25.05" customHeight="1">
      <c r="A528" s="19"/>
      <c r="B528" s="20"/>
      <c r="C528" s="18"/>
    </row>
    <row r="529" spans="1:3" s="13" customFormat="1" ht="25.05" customHeight="1">
      <c r="A529" s="19"/>
      <c r="B529" s="20"/>
      <c r="C529" s="18"/>
    </row>
    <row r="530" spans="1:3" s="13" customFormat="1" ht="25.05" customHeight="1">
      <c r="A530" s="19"/>
      <c r="B530" s="20"/>
      <c r="C530" s="18"/>
    </row>
    <row r="531" spans="1:3" s="13" customFormat="1" ht="25.05" customHeight="1">
      <c r="A531" s="19"/>
      <c r="B531" s="20"/>
      <c r="C531" s="18"/>
    </row>
    <row r="532" spans="1:3" s="13" customFormat="1" ht="25.05" customHeight="1">
      <c r="A532" s="19"/>
      <c r="B532" s="20"/>
      <c r="C532" s="18"/>
    </row>
    <row r="533" spans="1:3" s="13" customFormat="1" ht="25.05" customHeight="1">
      <c r="A533" s="19"/>
      <c r="B533" s="20"/>
      <c r="C533" s="18"/>
    </row>
    <row r="534" spans="1:3" s="13" customFormat="1" ht="25.05" customHeight="1">
      <c r="A534" s="19"/>
      <c r="B534" s="20"/>
      <c r="C534" s="18"/>
    </row>
    <row r="535" spans="1:3" s="13" customFormat="1" ht="25.05" customHeight="1">
      <c r="A535" s="19"/>
      <c r="B535" s="20"/>
      <c r="C535" s="18"/>
    </row>
    <row r="536" spans="1:3" s="13" customFormat="1" ht="25.05" customHeight="1">
      <c r="A536" s="19"/>
      <c r="B536" s="20"/>
      <c r="C536" s="18"/>
    </row>
    <row r="537" spans="1:3" s="13" customFormat="1" ht="25.05" customHeight="1">
      <c r="A537" s="19"/>
      <c r="B537" s="20"/>
      <c r="C537" s="18"/>
    </row>
    <row r="538" spans="1:3" s="13" customFormat="1" ht="25.05" customHeight="1">
      <c r="A538" s="19"/>
      <c r="B538" s="20"/>
      <c r="C538" s="18"/>
    </row>
    <row r="539" spans="1:3" s="13" customFormat="1" ht="25.05" customHeight="1">
      <c r="A539" s="19"/>
      <c r="B539" s="20"/>
      <c r="C539" s="18"/>
    </row>
    <row r="540" spans="1:3" s="13" customFormat="1" ht="25.05" customHeight="1">
      <c r="A540" s="19"/>
      <c r="B540" s="20"/>
      <c r="C540" s="18"/>
    </row>
    <row r="541" spans="1:3" s="13" customFormat="1" ht="25.05" customHeight="1">
      <c r="A541" s="19"/>
      <c r="B541" s="20"/>
      <c r="C541" s="18"/>
    </row>
    <row r="542" spans="1:3" s="13" customFormat="1" ht="25.05" customHeight="1">
      <c r="A542" s="19"/>
      <c r="B542" s="20"/>
      <c r="C542" s="18"/>
    </row>
    <row r="543" spans="1:3" s="13" customFormat="1" ht="25.05" customHeight="1">
      <c r="A543" s="19"/>
      <c r="B543" s="20"/>
      <c r="C543" s="18"/>
    </row>
    <row r="544" spans="1:3" s="13" customFormat="1" ht="25.05" customHeight="1">
      <c r="A544" s="19"/>
      <c r="B544" s="20"/>
      <c r="C544" s="18"/>
    </row>
    <row r="545" spans="1:3" s="13" customFormat="1" ht="25.05" customHeight="1">
      <c r="A545" s="19"/>
      <c r="B545" s="20"/>
      <c r="C545" s="18"/>
    </row>
    <row r="546" spans="1:3" s="13" customFormat="1" ht="25.05" customHeight="1">
      <c r="A546" s="19"/>
      <c r="B546" s="20"/>
      <c r="C546" s="18"/>
    </row>
    <row r="547" spans="1:3" s="13" customFormat="1" ht="25.05" customHeight="1">
      <c r="A547" s="19"/>
      <c r="B547" s="20"/>
      <c r="C547" s="18"/>
    </row>
    <row r="548" spans="1:3" s="13" customFormat="1" ht="25.05" customHeight="1">
      <c r="A548" s="19"/>
      <c r="B548" s="20"/>
      <c r="C548" s="18"/>
    </row>
    <row r="549" spans="1:3" s="13" customFormat="1" ht="25.05" customHeight="1">
      <c r="A549" s="19"/>
      <c r="B549" s="20"/>
      <c r="C549" s="18"/>
    </row>
    <row r="550" spans="1:3" s="13" customFormat="1" ht="25.05" customHeight="1">
      <c r="A550" s="19"/>
      <c r="B550" s="20"/>
      <c r="C550" s="18"/>
    </row>
    <row r="551" spans="1:3" s="13" customFormat="1" ht="25.05" customHeight="1">
      <c r="A551" s="19"/>
      <c r="B551" s="20"/>
      <c r="C551" s="18"/>
    </row>
    <row r="552" spans="1:3" s="13" customFormat="1" ht="25.05" customHeight="1">
      <c r="A552" s="19"/>
      <c r="B552" s="20"/>
      <c r="C552" s="18"/>
    </row>
    <row r="553" spans="1:3" s="13" customFormat="1" ht="25.05" customHeight="1">
      <c r="A553" s="19"/>
      <c r="B553" s="20"/>
      <c r="C553" s="18"/>
    </row>
    <row r="554" spans="1:3" s="13" customFormat="1" ht="25.05" customHeight="1">
      <c r="A554" s="19"/>
      <c r="B554" s="20"/>
      <c r="C554" s="18"/>
    </row>
    <row r="555" spans="1:3" s="13" customFormat="1" ht="25.05" customHeight="1">
      <c r="A555" s="19"/>
      <c r="B555" s="20"/>
      <c r="C555" s="18"/>
    </row>
    <row r="556" spans="1:3" s="13" customFormat="1" ht="25.05" customHeight="1">
      <c r="A556" s="19"/>
      <c r="B556" s="20"/>
      <c r="C556" s="18"/>
    </row>
    <row r="557" spans="1:3" s="13" customFormat="1" ht="25.05" customHeight="1">
      <c r="A557" s="19"/>
      <c r="B557" s="20"/>
      <c r="C557" s="18"/>
    </row>
    <row r="558" spans="1:3" s="13" customFormat="1" ht="25.05" customHeight="1">
      <c r="A558" s="19"/>
      <c r="B558" s="20"/>
      <c r="C558" s="18"/>
    </row>
    <row r="559" spans="1:3" s="13" customFormat="1" ht="25.05" customHeight="1">
      <c r="A559" s="19"/>
      <c r="B559" s="20"/>
      <c r="C559" s="18"/>
    </row>
    <row r="560" spans="1:3" s="13" customFormat="1" ht="25.05" customHeight="1">
      <c r="A560" s="19"/>
      <c r="B560" s="20"/>
      <c r="C560" s="18"/>
    </row>
    <row r="561" spans="1:3" s="13" customFormat="1" ht="25.05" customHeight="1">
      <c r="A561" s="19"/>
      <c r="B561" s="20"/>
      <c r="C561" s="18"/>
    </row>
    <row r="562" spans="1:3" s="13" customFormat="1" ht="25.05" customHeight="1">
      <c r="A562" s="19"/>
      <c r="B562" s="20"/>
      <c r="C562" s="18"/>
    </row>
    <row r="563" spans="1:3" s="13" customFormat="1" ht="25.05" customHeight="1">
      <c r="A563" s="19"/>
      <c r="B563" s="20"/>
      <c r="C563" s="18"/>
    </row>
    <row r="564" spans="1:3" s="13" customFormat="1" ht="25.05" customHeight="1">
      <c r="A564" s="19"/>
      <c r="B564" s="20"/>
      <c r="C564" s="18"/>
    </row>
    <row r="565" spans="1:3" s="13" customFormat="1" ht="25.05" customHeight="1">
      <c r="A565" s="19"/>
      <c r="B565" s="20"/>
      <c r="C565" s="18"/>
    </row>
    <row r="566" spans="1:3" s="13" customFormat="1" ht="25.05" customHeight="1">
      <c r="A566" s="19"/>
      <c r="B566" s="20"/>
      <c r="C566" s="18"/>
    </row>
    <row r="567" spans="1:3" s="13" customFormat="1" ht="25.05" customHeight="1">
      <c r="A567" s="19"/>
      <c r="B567" s="20"/>
      <c r="C567" s="18"/>
    </row>
    <row r="568" spans="1:3" s="13" customFormat="1" ht="25.05" customHeight="1">
      <c r="A568" s="19"/>
      <c r="B568" s="20"/>
      <c r="C568" s="18"/>
    </row>
    <row r="569" spans="1:3" s="13" customFormat="1" ht="25.05" customHeight="1">
      <c r="A569" s="19"/>
      <c r="B569" s="20"/>
      <c r="C569" s="18"/>
    </row>
    <row r="570" spans="1:3" s="13" customFormat="1" ht="25.05" customHeight="1">
      <c r="A570" s="19"/>
      <c r="B570" s="20"/>
      <c r="C570" s="18"/>
    </row>
    <row r="571" spans="1:3" s="13" customFormat="1" ht="25.05" customHeight="1">
      <c r="A571" s="19"/>
      <c r="B571" s="20"/>
      <c r="C571" s="18"/>
    </row>
    <row r="572" spans="1:3" s="13" customFormat="1" ht="25.05" customHeight="1">
      <c r="A572" s="19"/>
      <c r="B572" s="20"/>
      <c r="C572" s="18"/>
    </row>
    <row r="573" spans="1:3" s="13" customFormat="1" ht="25.05" customHeight="1">
      <c r="A573" s="19"/>
      <c r="B573" s="20"/>
      <c r="C573" s="18"/>
    </row>
    <row r="574" spans="1:3" s="13" customFormat="1" ht="25.05" customHeight="1">
      <c r="A574" s="19"/>
      <c r="B574" s="20"/>
      <c r="C574" s="18"/>
    </row>
    <row r="575" spans="1:3" s="13" customFormat="1" ht="25.05" customHeight="1">
      <c r="A575" s="19"/>
      <c r="B575" s="20"/>
      <c r="C575" s="18"/>
    </row>
    <row r="576" spans="1:3" s="13" customFormat="1" ht="25.05" customHeight="1">
      <c r="A576" s="19"/>
      <c r="B576" s="20"/>
      <c r="C576" s="18"/>
    </row>
    <row r="577" spans="1:3" s="13" customFormat="1" ht="25.05" customHeight="1">
      <c r="A577" s="19"/>
      <c r="B577" s="20"/>
      <c r="C577" s="18"/>
    </row>
    <row r="578" spans="1:3" s="13" customFormat="1" ht="25.05" customHeight="1">
      <c r="A578" s="19"/>
      <c r="B578" s="20"/>
      <c r="C578" s="18"/>
    </row>
    <row r="579" spans="1:3" s="13" customFormat="1" ht="25.05" customHeight="1">
      <c r="A579" s="19"/>
      <c r="B579" s="20"/>
      <c r="C579" s="18"/>
    </row>
    <row r="580" spans="1:3" s="13" customFormat="1" ht="25.05" customHeight="1">
      <c r="A580" s="19"/>
      <c r="B580" s="20"/>
      <c r="C580" s="18"/>
    </row>
    <row r="581" spans="1:3" s="13" customFormat="1" ht="25.05" customHeight="1">
      <c r="A581" s="19"/>
      <c r="B581" s="20"/>
      <c r="C581" s="18"/>
    </row>
    <row r="582" spans="1:3" s="13" customFormat="1" ht="25.05" customHeight="1">
      <c r="A582" s="19"/>
      <c r="B582" s="20"/>
      <c r="C582" s="18"/>
    </row>
    <row r="583" spans="1:3" s="13" customFormat="1" ht="25.05" customHeight="1">
      <c r="A583" s="19"/>
      <c r="B583" s="20"/>
      <c r="C583" s="18"/>
    </row>
    <row r="584" spans="1:3" s="13" customFormat="1" ht="25.05" customHeight="1">
      <c r="A584" s="19"/>
      <c r="B584" s="20"/>
      <c r="C584" s="18"/>
    </row>
    <row r="585" spans="1:3" s="13" customFormat="1" ht="25.05" customHeight="1">
      <c r="A585" s="19"/>
      <c r="B585" s="20"/>
      <c r="C585" s="18"/>
    </row>
    <row r="586" spans="1:3" s="13" customFormat="1" ht="25.05" customHeight="1">
      <c r="A586" s="19"/>
      <c r="B586" s="20"/>
      <c r="C586" s="18"/>
    </row>
    <row r="587" spans="1:3" s="13" customFormat="1" ht="25.05" customHeight="1">
      <c r="A587" s="19"/>
      <c r="B587" s="20"/>
      <c r="C587" s="18"/>
    </row>
    <row r="588" spans="1:3" s="13" customFormat="1" ht="25.05" customHeight="1">
      <c r="A588" s="19"/>
      <c r="B588" s="20"/>
      <c r="C588" s="18"/>
    </row>
    <row r="589" spans="1:3" s="13" customFormat="1" ht="25.05" customHeight="1">
      <c r="A589" s="19"/>
      <c r="B589" s="20"/>
      <c r="C589" s="18"/>
    </row>
    <row r="590" spans="1:3" s="13" customFormat="1" ht="25.05" customHeight="1">
      <c r="A590" s="19"/>
      <c r="B590" s="20"/>
      <c r="C590" s="18"/>
    </row>
    <row r="591" spans="1:3" s="13" customFormat="1" ht="25.05" customHeight="1">
      <c r="A591" s="19"/>
      <c r="B591" s="20"/>
      <c r="C591" s="18"/>
    </row>
    <row r="592" spans="1:3" s="13" customFormat="1" ht="25.05" customHeight="1">
      <c r="A592" s="19"/>
      <c r="B592" s="20"/>
      <c r="C592" s="18"/>
    </row>
    <row r="593" spans="1:3" s="13" customFormat="1" ht="25.05" customHeight="1">
      <c r="A593" s="19"/>
      <c r="B593" s="20"/>
      <c r="C593" s="18"/>
    </row>
    <row r="594" spans="1:3" s="13" customFormat="1" ht="25.05" customHeight="1">
      <c r="A594" s="19"/>
      <c r="B594" s="20"/>
      <c r="C594" s="18"/>
    </row>
    <row r="595" spans="1:3" s="13" customFormat="1" ht="25.05" customHeight="1">
      <c r="A595" s="19"/>
      <c r="B595" s="20"/>
      <c r="C595" s="18"/>
    </row>
    <row r="596" spans="1:3" s="13" customFormat="1" ht="25.05" customHeight="1">
      <c r="A596" s="19"/>
      <c r="B596" s="20"/>
      <c r="C596" s="18"/>
    </row>
    <row r="597" spans="1:3" s="13" customFormat="1" ht="25.05" customHeight="1">
      <c r="A597" s="19"/>
      <c r="B597" s="20"/>
      <c r="C597" s="18"/>
    </row>
    <row r="598" spans="1:3" s="13" customFormat="1" ht="25.05" customHeight="1">
      <c r="A598" s="19"/>
      <c r="B598" s="20"/>
      <c r="C598" s="18"/>
    </row>
    <row r="599" spans="1:3" s="13" customFormat="1" ht="25.05" customHeight="1">
      <c r="A599" s="19"/>
      <c r="B599" s="20"/>
      <c r="C599" s="18"/>
    </row>
    <row r="600" spans="1:3" s="13" customFormat="1" ht="25.05" customHeight="1">
      <c r="A600" s="19"/>
      <c r="B600" s="20"/>
      <c r="C600" s="18"/>
    </row>
    <row r="601" spans="1:3" s="13" customFormat="1" ht="25.05" customHeight="1">
      <c r="A601" s="19"/>
      <c r="B601" s="20"/>
      <c r="C601" s="18"/>
    </row>
    <row r="602" spans="1:3" s="13" customFormat="1" ht="25.05" customHeight="1">
      <c r="A602" s="19"/>
      <c r="B602" s="20"/>
      <c r="C602" s="18"/>
    </row>
    <row r="603" spans="1:3" s="13" customFormat="1" ht="25.05" customHeight="1">
      <c r="A603" s="19"/>
      <c r="B603" s="20"/>
      <c r="C603" s="18"/>
    </row>
    <row r="604" spans="1:3" s="13" customFormat="1" ht="25.05" customHeight="1">
      <c r="A604" s="19"/>
      <c r="B604" s="20"/>
      <c r="C604" s="18"/>
    </row>
    <row r="605" spans="1:3" s="13" customFormat="1" ht="25.05" customHeight="1">
      <c r="A605" s="19"/>
      <c r="B605" s="20"/>
      <c r="C605" s="18"/>
    </row>
    <row r="606" spans="1:3" s="13" customFormat="1" ht="25.05" customHeight="1">
      <c r="A606" s="19"/>
      <c r="B606" s="20"/>
      <c r="C606" s="18"/>
    </row>
    <row r="607" spans="1:3" s="13" customFormat="1" ht="25.05" customHeight="1">
      <c r="A607" s="19"/>
      <c r="B607" s="20"/>
      <c r="C607" s="18"/>
    </row>
    <row r="608" spans="1:3" s="13" customFormat="1" ht="25.05" customHeight="1">
      <c r="A608" s="19"/>
      <c r="B608" s="20"/>
      <c r="C608" s="18"/>
    </row>
    <row r="609" spans="1:3" s="13" customFormat="1" ht="25.05" customHeight="1">
      <c r="A609" s="19"/>
      <c r="B609" s="20"/>
      <c r="C609" s="18"/>
    </row>
    <row r="610" spans="1:3" s="13" customFormat="1" ht="25.05" customHeight="1">
      <c r="A610" s="19"/>
      <c r="B610" s="20"/>
      <c r="C610" s="18"/>
    </row>
    <row r="611" spans="1:3" s="13" customFormat="1" ht="25.05" customHeight="1">
      <c r="A611" s="19"/>
      <c r="B611" s="20"/>
      <c r="C611" s="18"/>
    </row>
    <row r="612" spans="1:3" s="13" customFormat="1" ht="25.05" customHeight="1">
      <c r="A612" s="19"/>
      <c r="B612" s="20"/>
      <c r="C612" s="18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4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45"/>
  <sheetViews>
    <sheetView tabSelected="1" zoomScaleNormal="100" workbookViewId="0">
      <pane xSplit="6" ySplit="8" topLeftCell="G9" activePane="bottomRight" state="frozen"/>
      <selection pane="topRight" activeCell="H1" sqref="H1"/>
      <selection pane="bottomLeft" activeCell="A9" sqref="A9"/>
      <selection pane="bottomRight" activeCell="C3" sqref="C3:D3"/>
    </sheetView>
  </sheetViews>
  <sheetFormatPr defaultRowHeight="11.4"/>
  <cols>
    <col min="1" max="2" width="8.69921875" style="100" customWidth="1"/>
    <col min="3" max="3" width="4.69921875" style="93" customWidth="1"/>
    <col min="4" max="4" width="18.69921875" style="103" customWidth="1"/>
    <col min="5" max="5" width="18.69921875" style="103" hidden="1" customWidth="1"/>
    <col min="6" max="6" width="25.69921875" style="103" customWidth="1"/>
    <col min="7" max="7" width="20.69921875" style="103" customWidth="1"/>
    <col min="8" max="8" width="4.69921875" style="93" customWidth="1"/>
    <col min="9" max="9" width="30.69921875" style="103" customWidth="1"/>
    <col min="10" max="10" width="18.69921875" style="103" hidden="1" customWidth="1"/>
    <col min="11" max="11" width="12.69921875" style="103" hidden="1" customWidth="1"/>
    <col min="12" max="12" width="15.69921875" style="103" hidden="1" customWidth="1"/>
    <col min="13" max="13" width="15.69921875" style="93" customWidth="1"/>
    <col min="14" max="15" width="10.69921875" style="104" customWidth="1"/>
    <col min="16" max="17" width="11.19921875" style="105" customWidth="1"/>
    <col min="18" max="16384" width="8.796875" style="82"/>
  </cols>
  <sheetData>
    <row r="1" spans="1:25" s="49" customFormat="1" ht="30" customHeight="1">
      <c r="A1" s="44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47"/>
      <c r="P1" s="48"/>
      <c r="Q1" s="48"/>
    </row>
    <row r="2" spans="1:25" s="54" customFormat="1" ht="18" customHeight="1">
      <c r="A2" s="156" t="s">
        <v>73</v>
      </c>
      <c r="B2" s="163"/>
      <c r="C2" s="156" t="s">
        <v>150</v>
      </c>
      <c r="D2" s="156"/>
      <c r="E2" s="50"/>
      <c r="F2" s="51"/>
      <c r="G2" s="52"/>
      <c r="H2" s="49"/>
      <c r="I2" s="52"/>
      <c r="J2" s="50"/>
      <c r="K2" s="50"/>
      <c r="L2" s="50"/>
      <c r="M2" s="49"/>
      <c r="N2" s="53"/>
      <c r="O2" s="53"/>
      <c r="P2" s="48"/>
      <c r="Q2" s="48"/>
    </row>
    <row r="3" spans="1:25" s="54" customFormat="1" ht="18" customHeight="1" thickBot="1">
      <c r="A3" s="156" t="s">
        <v>1</v>
      </c>
      <c r="B3" s="163"/>
      <c r="C3" s="156" t="s">
        <v>152</v>
      </c>
      <c r="D3" s="156"/>
      <c r="E3" s="50"/>
      <c r="F3" s="51"/>
      <c r="G3" s="52"/>
      <c r="H3" s="49"/>
      <c r="I3" s="52"/>
      <c r="J3" s="50"/>
      <c r="K3" s="50"/>
      <c r="L3" s="50"/>
      <c r="M3" s="49"/>
      <c r="N3" s="55"/>
      <c r="O3" s="55"/>
      <c r="P3" s="48"/>
      <c r="Q3" s="48"/>
    </row>
    <row r="4" spans="1:25" s="54" customFormat="1" ht="18" customHeight="1">
      <c r="A4" s="156" t="s">
        <v>2</v>
      </c>
      <c r="B4" s="163"/>
      <c r="C4" s="156" t="s">
        <v>151</v>
      </c>
      <c r="D4" s="156"/>
      <c r="E4" s="50"/>
      <c r="F4" s="51"/>
      <c r="G4" s="52"/>
      <c r="H4" s="56">
        <f>H25</f>
        <v>25</v>
      </c>
      <c r="I4" s="57" t="s">
        <v>81</v>
      </c>
      <c r="J4" s="50"/>
      <c r="K4" s="50"/>
      <c r="L4" s="50"/>
      <c r="M4" s="49"/>
      <c r="N4" s="149" t="s">
        <v>21</v>
      </c>
      <c r="O4" s="150"/>
      <c r="P4" s="48"/>
      <c r="Q4" s="48"/>
    </row>
    <row r="5" spans="1:25" s="54" customFormat="1" ht="18" customHeight="1" thickBot="1">
      <c r="A5" s="156" t="s">
        <v>3</v>
      </c>
      <c r="B5" s="163"/>
      <c r="C5" s="156"/>
      <c r="D5" s="156"/>
      <c r="E5" s="50"/>
      <c r="F5" s="51"/>
      <c r="G5" s="52"/>
      <c r="H5" s="58">
        <v>1</v>
      </c>
      <c r="I5" s="59" t="s">
        <v>82</v>
      </c>
      <c r="J5" s="50"/>
      <c r="K5" s="50"/>
      <c r="L5" s="50"/>
      <c r="M5" s="49"/>
      <c r="N5" s="154">
        <f>O25</f>
        <v>0</v>
      </c>
      <c r="O5" s="155"/>
      <c r="P5" s="48"/>
      <c r="Q5" s="48"/>
    </row>
    <row r="6" spans="1:25" s="66" customFormat="1" ht="7.2" customHeight="1">
      <c r="A6" s="60"/>
      <c r="B6" s="60"/>
      <c r="C6" s="60"/>
      <c r="D6" s="157"/>
      <c r="E6" s="157"/>
      <c r="F6" s="157"/>
      <c r="G6" s="61"/>
      <c r="H6" s="62"/>
      <c r="I6" s="63"/>
      <c r="J6" s="63"/>
      <c r="K6" s="63"/>
      <c r="L6" s="63"/>
      <c r="M6" s="60"/>
      <c r="N6" s="64"/>
      <c r="O6" s="64"/>
      <c r="P6" s="65"/>
      <c r="Q6" s="65"/>
    </row>
    <row r="7" spans="1:25" s="66" customFormat="1" ht="15" customHeight="1">
      <c r="A7" s="164" t="s">
        <v>5</v>
      </c>
      <c r="B7" s="165" t="s">
        <v>6</v>
      </c>
      <c r="C7" s="153" t="s">
        <v>4</v>
      </c>
      <c r="D7" s="153" t="s">
        <v>7</v>
      </c>
      <c r="E7" s="153" t="s">
        <v>55</v>
      </c>
      <c r="F7" s="153" t="s">
        <v>8</v>
      </c>
      <c r="G7" s="153" t="s">
        <v>9</v>
      </c>
      <c r="H7" s="159" t="s">
        <v>10</v>
      </c>
      <c r="I7" s="153" t="s">
        <v>11</v>
      </c>
      <c r="J7" s="153" t="s">
        <v>56</v>
      </c>
      <c r="K7" s="153" t="s">
        <v>74</v>
      </c>
      <c r="L7" s="153" t="s">
        <v>75</v>
      </c>
      <c r="M7" s="153" t="s">
        <v>12</v>
      </c>
      <c r="N7" s="162" t="s">
        <v>18</v>
      </c>
      <c r="O7" s="162" t="s">
        <v>19</v>
      </c>
      <c r="P7" s="161" t="s">
        <v>16</v>
      </c>
      <c r="Q7" s="161" t="s">
        <v>17</v>
      </c>
    </row>
    <row r="8" spans="1:25" s="67" customFormat="1" ht="15" customHeight="1">
      <c r="A8" s="164"/>
      <c r="B8" s="165"/>
      <c r="C8" s="153"/>
      <c r="D8" s="153"/>
      <c r="E8" s="153"/>
      <c r="F8" s="153"/>
      <c r="G8" s="153"/>
      <c r="H8" s="159"/>
      <c r="I8" s="153"/>
      <c r="J8" s="153"/>
      <c r="K8" s="153"/>
      <c r="L8" s="153"/>
      <c r="M8" s="153"/>
      <c r="N8" s="162"/>
      <c r="O8" s="162"/>
      <c r="P8" s="161"/>
      <c r="Q8" s="161"/>
    </row>
    <row r="9" spans="1:25" ht="16.05" customHeight="1">
      <c r="A9" s="68"/>
      <c r="B9" s="69">
        <f t="shared" ref="B9:B23" si="0">(H9*$H$5)</f>
        <v>2</v>
      </c>
      <c r="C9" s="70">
        <v>1</v>
      </c>
      <c r="D9" s="71" t="s">
        <v>13</v>
      </c>
      <c r="E9" s="71" t="s">
        <v>57</v>
      </c>
      <c r="F9" s="72" t="s">
        <v>42</v>
      </c>
      <c r="G9" s="73" t="s">
        <v>59</v>
      </c>
      <c r="H9" s="74">
        <f>LEN(I9)-LEN(SUBSTITUTE(I9,",",""))+1</f>
        <v>2</v>
      </c>
      <c r="I9" s="75" t="s">
        <v>131</v>
      </c>
      <c r="J9" s="76" t="s">
        <v>58</v>
      </c>
      <c r="K9" s="76" t="s">
        <v>76</v>
      </c>
      <c r="L9" s="77" t="s">
        <v>83</v>
      </c>
      <c r="M9" s="78" t="s">
        <v>53</v>
      </c>
      <c r="N9" s="79">
        <v>0</v>
      </c>
      <c r="O9" s="79">
        <f t="shared" ref="O9" si="1">N9*H9</f>
        <v>0</v>
      </c>
      <c r="P9" s="80"/>
      <c r="Q9" s="81"/>
    </row>
    <row r="10" spans="1:25" ht="16.05" customHeight="1">
      <c r="A10" s="68"/>
      <c r="B10" s="69">
        <f t="shared" ref="B10:B11" si="2">(H10*$H$5)</f>
        <v>2</v>
      </c>
      <c r="C10" s="121">
        <v>2</v>
      </c>
      <c r="D10" s="122" t="s">
        <v>13</v>
      </c>
      <c r="E10" s="122" t="s">
        <v>57</v>
      </c>
      <c r="F10" s="123" t="s">
        <v>133</v>
      </c>
      <c r="G10" s="124" t="s">
        <v>59</v>
      </c>
      <c r="H10" s="125">
        <f>LEN(I10)-LEN(SUBSTITUTE(I10,",",""))+1</f>
        <v>2</v>
      </c>
      <c r="I10" s="126" t="s">
        <v>132</v>
      </c>
      <c r="J10" s="127" t="s">
        <v>58</v>
      </c>
      <c r="K10" s="127" t="s">
        <v>76</v>
      </c>
      <c r="L10" s="128" t="s">
        <v>83</v>
      </c>
      <c r="M10" s="129" t="s">
        <v>53</v>
      </c>
      <c r="N10" s="79">
        <v>0</v>
      </c>
      <c r="O10" s="79">
        <f t="shared" ref="O10:O11" si="3">N10*H10</f>
        <v>0</v>
      </c>
      <c r="P10" s="80"/>
      <c r="Q10" s="81"/>
    </row>
    <row r="11" spans="1:25" ht="16.05" customHeight="1">
      <c r="A11" s="68"/>
      <c r="B11" s="69">
        <f t="shared" si="2"/>
        <v>2</v>
      </c>
      <c r="C11" s="70">
        <v>3</v>
      </c>
      <c r="D11" s="71" t="s">
        <v>22</v>
      </c>
      <c r="E11" s="71" t="s">
        <v>60</v>
      </c>
      <c r="F11" s="72" t="s">
        <v>23</v>
      </c>
      <c r="G11" s="73" t="s">
        <v>62</v>
      </c>
      <c r="H11" s="74">
        <f t="shared" ref="H11" si="4">LEN(I11)-LEN(SUBSTITUTE(I11,",",""))+1</f>
        <v>2</v>
      </c>
      <c r="I11" s="75" t="s">
        <v>134</v>
      </c>
      <c r="J11" s="76" t="s">
        <v>61</v>
      </c>
      <c r="K11" s="76"/>
      <c r="L11" s="43" t="s">
        <v>77</v>
      </c>
      <c r="M11" s="78" t="s">
        <v>37</v>
      </c>
      <c r="N11" s="79">
        <v>0</v>
      </c>
      <c r="O11" s="79">
        <f t="shared" si="3"/>
        <v>0</v>
      </c>
      <c r="P11" s="80"/>
      <c r="Q11" s="81"/>
    </row>
    <row r="12" spans="1:25" ht="16.05" customHeight="1">
      <c r="A12" s="68"/>
      <c r="B12" s="69">
        <f t="shared" si="0"/>
        <v>2</v>
      </c>
      <c r="C12" s="121">
        <v>4</v>
      </c>
      <c r="D12" s="122" t="s">
        <v>22</v>
      </c>
      <c r="E12" s="122" t="s">
        <v>60</v>
      </c>
      <c r="F12" s="123" t="s">
        <v>108</v>
      </c>
      <c r="G12" s="124" t="s">
        <v>62</v>
      </c>
      <c r="H12" s="125">
        <f t="shared" ref="H12:H23" si="5">LEN(I12)-LEN(SUBSTITUTE(I12,",",""))+1</f>
        <v>2</v>
      </c>
      <c r="I12" s="126" t="s">
        <v>135</v>
      </c>
      <c r="J12" s="127" t="s">
        <v>61</v>
      </c>
      <c r="K12" s="127"/>
      <c r="L12" s="130" t="s">
        <v>77</v>
      </c>
      <c r="M12" s="129" t="s">
        <v>37</v>
      </c>
      <c r="N12" s="79">
        <v>0</v>
      </c>
      <c r="O12" s="79">
        <f t="shared" ref="O12:O23" si="6">N12*H12</f>
        <v>0</v>
      </c>
      <c r="P12" s="80"/>
      <c r="Q12" s="81"/>
    </row>
    <row r="13" spans="1:25" ht="16.05" customHeight="1">
      <c r="A13" s="68"/>
      <c r="B13" s="69">
        <f t="shared" si="0"/>
        <v>2</v>
      </c>
      <c r="C13" s="70">
        <v>5</v>
      </c>
      <c r="D13" s="71" t="s">
        <v>43</v>
      </c>
      <c r="E13" s="71" t="s">
        <v>63</v>
      </c>
      <c r="F13" s="120" t="s">
        <v>106</v>
      </c>
      <c r="G13" s="73"/>
      <c r="H13" s="74">
        <f t="shared" si="5"/>
        <v>2</v>
      </c>
      <c r="I13" s="75" t="s">
        <v>130</v>
      </c>
      <c r="J13" s="76" t="s">
        <v>64</v>
      </c>
      <c r="K13" s="76"/>
      <c r="L13" s="77"/>
      <c r="M13" s="78" t="s">
        <v>44</v>
      </c>
      <c r="N13" s="79">
        <v>0</v>
      </c>
      <c r="O13" s="79">
        <f t="shared" si="6"/>
        <v>0</v>
      </c>
      <c r="P13" s="80"/>
      <c r="Q13" s="81"/>
    </row>
    <row r="14" spans="1:25" ht="16.05" customHeight="1">
      <c r="A14" s="68"/>
      <c r="B14" s="69">
        <f t="shared" ref="B14:B15" si="7">(H14*$H$5)</f>
        <v>2</v>
      </c>
      <c r="C14" s="121">
        <v>6</v>
      </c>
      <c r="D14" s="122" t="s">
        <v>43</v>
      </c>
      <c r="E14" s="122" t="s">
        <v>63</v>
      </c>
      <c r="F14" s="131" t="s">
        <v>108</v>
      </c>
      <c r="G14" s="124"/>
      <c r="H14" s="125">
        <f t="shared" ref="H14:H15" si="8">LEN(I14)-LEN(SUBSTITUTE(I14,",",""))+1</f>
        <v>2</v>
      </c>
      <c r="I14" s="126" t="s">
        <v>129</v>
      </c>
      <c r="J14" s="127" t="s">
        <v>64</v>
      </c>
      <c r="K14" s="127"/>
      <c r="L14" s="128"/>
      <c r="M14" s="129" t="s">
        <v>44</v>
      </c>
      <c r="N14" s="79">
        <v>0</v>
      </c>
      <c r="O14" s="79">
        <f t="shared" ref="O14:O15" si="9">N14*H14</f>
        <v>0</v>
      </c>
      <c r="P14" s="80"/>
      <c r="Q14" s="81"/>
    </row>
    <row r="15" spans="1:25" s="83" customFormat="1" ht="16.05" customHeight="1">
      <c r="A15" s="68"/>
      <c r="B15" s="69">
        <f t="shared" si="7"/>
        <v>2</v>
      </c>
      <c r="C15" s="70">
        <v>7</v>
      </c>
      <c r="D15" s="71" t="s">
        <v>45</v>
      </c>
      <c r="E15" s="71" t="s">
        <v>65</v>
      </c>
      <c r="F15" s="120" t="s">
        <v>86</v>
      </c>
      <c r="G15" s="73" t="s">
        <v>98</v>
      </c>
      <c r="H15" s="74">
        <f t="shared" si="8"/>
        <v>2</v>
      </c>
      <c r="I15" s="75" t="s">
        <v>136</v>
      </c>
      <c r="J15" s="76" t="s">
        <v>85</v>
      </c>
      <c r="K15" s="76"/>
      <c r="L15" s="43" t="s">
        <v>78</v>
      </c>
      <c r="M15" s="78" t="s">
        <v>44</v>
      </c>
      <c r="N15" s="79">
        <v>0</v>
      </c>
      <c r="O15" s="79">
        <f t="shared" si="9"/>
        <v>0</v>
      </c>
      <c r="P15" s="80"/>
      <c r="Q15" s="81"/>
      <c r="R15" s="82"/>
      <c r="S15" s="82"/>
      <c r="T15" s="82"/>
      <c r="U15" s="82"/>
      <c r="V15" s="82"/>
      <c r="W15" s="82"/>
      <c r="X15" s="82"/>
      <c r="Y15" s="82"/>
    </row>
    <row r="16" spans="1:25" s="83" customFormat="1" ht="16.05" customHeight="1">
      <c r="A16" s="68"/>
      <c r="B16" s="69">
        <f t="shared" si="0"/>
        <v>2</v>
      </c>
      <c r="C16" s="121">
        <v>8</v>
      </c>
      <c r="D16" s="122" t="s">
        <v>45</v>
      </c>
      <c r="E16" s="122" t="s">
        <v>65</v>
      </c>
      <c r="F16" s="131" t="s">
        <v>133</v>
      </c>
      <c r="G16" s="124" t="s">
        <v>98</v>
      </c>
      <c r="H16" s="125">
        <f t="shared" si="5"/>
        <v>2</v>
      </c>
      <c r="I16" s="126" t="s">
        <v>137</v>
      </c>
      <c r="J16" s="127" t="s">
        <v>85</v>
      </c>
      <c r="K16" s="127"/>
      <c r="L16" s="130" t="s">
        <v>78</v>
      </c>
      <c r="M16" s="129" t="s">
        <v>44</v>
      </c>
      <c r="N16" s="79">
        <v>0</v>
      </c>
      <c r="O16" s="79">
        <f t="shared" si="6"/>
        <v>0</v>
      </c>
      <c r="P16" s="80"/>
      <c r="Q16" s="81"/>
      <c r="R16" s="82"/>
      <c r="S16" s="82"/>
      <c r="T16" s="82"/>
      <c r="U16" s="82"/>
      <c r="V16" s="82"/>
      <c r="W16" s="82"/>
      <c r="X16" s="82"/>
      <c r="Y16" s="82"/>
    </row>
    <row r="17" spans="1:25" s="83" customFormat="1" ht="16.05" customHeight="1">
      <c r="A17" s="68"/>
      <c r="B17" s="69">
        <f t="shared" ref="B17" si="10">(H17*$H$5)</f>
        <v>1</v>
      </c>
      <c r="C17" s="70">
        <v>9</v>
      </c>
      <c r="D17" s="71" t="s">
        <v>38</v>
      </c>
      <c r="E17" s="71" t="s">
        <v>66</v>
      </c>
      <c r="F17" s="120" t="s">
        <v>24</v>
      </c>
      <c r="G17" s="73"/>
      <c r="H17" s="74">
        <f t="shared" ref="H17" si="11">LEN(I17)-LEN(SUBSTITUTE(I17,",",""))+1</f>
        <v>1</v>
      </c>
      <c r="I17" s="75" t="s">
        <v>139</v>
      </c>
      <c r="J17" s="76" t="s">
        <v>38</v>
      </c>
      <c r="K17" s="76"/>
      <c r="L17" s="43" t="s">
        <v>78</v>
      </c>
      <c r="M17" s="84" t="s">
        <v>26</v>
      </c>
      <c r="N17" s="79">
        <v>0</v>
      </c>
      <c r="O17" s="79">
        <f t="shared" ref="O17" si="12">N17*H17</f>
        <v>0</v>
      </c>
      <c r="P17" s="80"/>
      <c r="Q17" s="81"/>
      <c r="R17" s="82"/>
      <c r="S17" s="82"/>
      <c r="T17" s="82"/>
      <c r="U17" s="82"/>
      <c r="V17" s="82"/>
      <c r="W17" s="82"/>
      <c r="X17" s="82"/>
      <c r="Y17" s="82"/>
    </row>
    <row r="18" spans="1:25" s="83" customFormat="1" ht="16.05" customHeight="1">
      <c r="A18" s="68"/>
      <c r="B18" s="69">
        <f t="shared" si="0"/>
        <v>1</v>
      </c>
      <c r="C18" s="121">
        <v>10</v>
      </c>
      <c r="D18" s="122" t="s">
        <v>38</v>
      </c>
      <c r="E18" s="122" t="s">
        <v>66</v>
      </c>
      <c r="F18" s="131" t="s">
        <v>108</v>
      </c>
      <c r="G18" s="124"/>
      <c r="H18" s="125">
        <f t="shared" si="5"/>
        <v>1</v>
      </c>
      <c r="I18" s="126" t="s">
        <v>138</v>
      </c>
      <c r="J18" s="127" t="s">
        <v>38</v>
      </c>
      <c r="K18" s="127"/>
      <c r="L18" s="130" t="s">
        <v>78</v>
      </c>
      <c r="M18" s="125" t="s">
        <v>26</v>
      </c>
      <c r="N18" s="79">
        <v>0</v>
      </c>
      <c r="O18" s="79">
        <f t="shared" si="6"/>
        <v>0</v>
      </c>
      <c r="P18" s="80"/>
      <c r="Q18" s="81"/>
      <c r="R18" s="82"/>
      <c r="S18" s="82"/>
      <c r="T18" s="82"/>
      <c r="U18" s="82"/>
      <c r="V18" s="82"/>
      <c r="W18" s="82"/>
      <c r="X18" s="82"/>
      <c r="Y18" s="82"/>
    </row>
    <row r="19" spans="1:25" s="83" customFormat="1" ht="16.05" customHeight="1">
      <c r="A19" s="68"/>
      <c r="B19" s="69">
        <f t="shared" si="0"/>
        <v>1</v>
      </c>
      <c r="C19" s="70">
        <v>11</v>
      </c>
      <c r="D19" s="71" t="s">
        <v>14</v>
      </c>
      <c r="E19" s="71" t="s">
        <v>67</v>
      </c>
      <c r="F19" s="140" t="s">
        <v>148</v>
      </c>
      <c r="G19" s="73" t="s">
        <v>149</v>
      </c>
      <c r="H19" s="74">
        <f t="shared" si="5"/>
        <v>1</v>
      </c>
      <c r="I19" s="85" t="s">
        <v>39</v>
      </c>
      <c r="J19" s="76" t="s">
        <v>68</v>
      </c>
      <c r="K19" s="76"/>
      <c r="L19" s="43" t="s">
        <v>79</v>
      </c>
      <c r="M19" s="84" t="s">
        <v>40</v>
      </c>
      <c r="N19" s="79">
        <v>0</v>
      </c>
      <c r="O19" s="79">
        <f t="shared" ref="O19" si="13">N19*H19</f>
        <v>0</v>
      </c>
      <c r="P19" s="80"/>
      <c r="Q19" s="81"/>
      <c r="R19" s="82"/>
      <c r="S19" s="82"/>
      <c r="T19" s="82"/>
      <c r="U19" s="82"/>
      <c r="V19" s="82"/>
      <c r="W19" s="82"/>
      <c r="X19" s="82"/>
      <c r="Y19" s="82"/>
    </row>
    <row r="20" spans="1:25" s="83" customFormat="1" ht="16.05" customHeight="1">
      <c r="A20" s="68"/>
      <c r="B20" s="69">
        <f t="shared" si="0"/>
        <v>1</v>
      </c>
      <c r="C20" s="70">
        <v>12</v>
      </c>
      <c r="D20" s="71" t="s">
        <v>14</v>
      </c>
      <c r="E20" s="71" t="s">
        <v>67</v>
      </c>
      <c r="F20" s="86" t="s">
        <v>54</v>
      </c>
      <c r="G20" s="73"/>
      <c r="H20" s="74">
        <f t="shared" si="5"/>
        <v>1</v>
      </c>
      <c r="I20" s="75" t="s">
        <v>48</v>
      </c>
      <c r="J20" s="76" t="s">
        <v>69</v>
      </c>
      <c r="K20" s="76"/>
      <c r="L20" s="43" t="s">
        <v>80</v>
      </c>
      <c r="M20" s="84" t="s">
        <v>49</v>
      </c>
      <c r="N20" s="79">
        <v>0</v>
      </c>
      <c r="O20" s="79">
        <f t="shared" si="6"/>
        <v>0</v>
      </c>
      <c r="P20" s="80"/>
      <c r="Q20" s="81"/>
      <c r="R20" s="82"/>
      <c r="S20" s="82"/>
      <c r="T20" s="82"/>
      <c r="U20" s="82"/>
      <c r="V20" s="82"/>
      <c r="W20" s="82"/>
      <c r="X20" s="82"/>
      <c r="Y20" s="82"/>
    </row>
    <row r="21" spans="1:25" s="83" customFormat="1" ht="16.05" customHeight="1">
      <c r="A21" s="68"/>
      <c r="B21" s="69">
        <f t="shared" si="0"/>
        <v>1</v>
      </c>
      <c r="C21" s="70">
        <v>13</v>
      </c>
      <c r="D21" s="71" t="s">
        <v>14</v>
      </c>
      <c r="E21" s="71" t="s">
        <v>67</v>
      </c>
      <c r="F21" s="87" t="s">
        <v>46</v>
      </c>
      <c r="G21" s="73"/>
      <c r="H21" s="74">
        <f t="shared" si="5"/>
        <v>1</v>
      </c>
      <c r="I21" s="75" t="s">
        <v>47</v>
      </c>
      <c r="J21" s="76" t="s">
        <v>69</v>
      </c>
      <c r="K21" s="76"/>
      <c r="L21" s="43" t="s">
        <v>80</v>
      </c>
      <c r="M21" s="84" t="s">
        <v>49</v>
      </c>
      <c r="N21" s="79">
        <v>0</v>
      </c>
      <c r="O21" s="79">
        <f t="shared" si="6"/>
        <v>0</v>
      </c>
      <c r="P21" s="80"/>
      <c r="Q21" s="81"/>
      <c r="R21" s="82"/>
      <c r="S21" s="82"/>
      <c r="T21" s="82"/>
      <c r="U21" s="82"/>
      <c r="V21" s="82"/>
      <c r="W21" s="82"/>
      <c r="X21" s="82"/>
      <c r="Y21" s="82"/>
    </row>
    <row r="22" spans="1:25" s="83" customFormat="1" ht="16.05" customHeight="1">
      <c r="A22" s="68"/>
      <c r="B22" s="69">
        <f t="shared" si="0"/>
        <v>2</v>
      </c>
      <c r="C22" s="70">
        <v>14</v>
      </c>
      <c r="D22" s="71" t="s">
        <v>28</v>
      </c>
      <c r="E22" s="71" t="s">
        <v>70</v>
      </c>
      <c r="F22" s="73" t="s">
        <v>27</v>
      </c>
      <c r="G22" s="73"/>
      <c r="H22" s="74">
        <f t="shared" si="5"/>
        <v>2</v>
      </c>
      <c r="I22" s="85" t="s">
        <v>50</v>
      </c>
      <c r="J22" s="76" t="s">
        <v>70</v>
      </c>
      <c r="K22" s="76"/>
      <c r="L22" s="77"/>
      <c r="M22" s="84" t="s">
        <v>40</v>
      </c>
      <c r="N22" s="79">
        <v>0</v>
      </c>
      <c r="O22" s="79">
        <f t="shared" si="6"/>
        <v>0</v>
      </c>
      <c r="P22" s="80"/>
      <c r="Q22" s="80"/>
      <c r="R22" s="82"/>
      <c r="S22" s="82"/>
      <c r="T22" s="82"/>
      <c r="U22" s="82"/>
      <c r="V22" s="82"/>
      <c r="W22" s="82"/>
      <c r="X22" s="82"/>
      <c r="Y22" s="82"/>
    </row>
    <row r="23" spans="1:25" s="83" customFormat="1" ht="16.05" customHeight="1">
      <c r="A23" s="68"/>
      <c r="B23" s="69">
        <f t="shared" si="0"/>
        <v>1</v>
      </c>
      <c r="C23" s="70">
        <v>15</v>
      </c>
      <c r="D23" s="71" t="s">
        <v>25</v>
      </c>
      <c r="E23" s="71" t="s">
        <v>71</v>
      </c>
      <c r="F23" s="72" t="s">
        <v>51</v>
      </c>
      <c r="G23" s="73"/>
      <c r="H23" s="74">
        <f t="shared" si="5"/>
        <v>1</v>
      </c>
      <c r="I23" s="75" t="s">
        <v>141</v>
      </c>
      <c r="J23" s="76" t="s">
        <v>72</v>
      </c>
      <c r="K23" s="76"/>
      <c r="L23" s="77" t="s">
        <v>84</v>
      </c>
      <c r="M23" s="84" t="s">
        <v>52</v>
      </c>
      <c r="N23" s="79">
        <v>0</v>
      </c>
      <c r="O23" s="79">
        <f t="shared" si="6"/>
        <v>0</v>
      </c>
      <c r="P23" s="80"/>
      <c r="Q23" s="80"/>
      <c r="R23" s="82"/>
      <c r="S23" s="82"/>
      <c r="T23" s="82"/>
      <c r="U23" s="82"/>
      <c r="V23" s="82"/>
      <c r="W23" s="82"/>
      <c r="X23" s="82"/>
      <c r="Y23" s="82"/>
    </row>
    <row r="24" spans="1:25" s="83" customFormat="1" ht="16.05" customHeight="1">
      <c r="A24" s="68"/>
      <c r="B24" s="69">
        <f t="shared" ref="B24" si="14">(H24*$H$5)</f>
        <v>1</v>
      </c>
      <c r="C24" s="121">
        <v>16</v>
      </c>
      <c r="D24" s="122" t="s">
        <v>25</v>
      </c>
      <c r="E24" s="122" t="s">
        <v>71</v>
      </c>
      <c r="F24" s="123" t="s">
        <v>133</v>
      </c>
      <c r="G24" s="124"/>
      <c r="H24" s="125">
        <f t="shared" ref="H24" si="15">LEN(I24)-LEN(SUBSTITUTE(I24,",",""))+1</f>
        <v>1</v>
      </c>
      <c r="I24" s="126" t="s">
        <v>140</v>
      </c>
      <c r="J24" s="127" t="s">
        <v>72</v>
      </c>
      <c r="K24" s="127"/>
      <c r="L24" s="128" t="s">
        <v>84</v>
      </c>
      <c r="M24" s="125" t="s">
        <v>52</v>
      </c>
      <c r="N24" s="79">
        <v>0</v>
      </c>
      <c r="O24" s="79">
        <f t="shared" ref="O24" si="16">N24*H24</f>
        <v>0</v>
      </c>
      <c r="P24" s="80"/>
      <c r="Q24" s="80"/>
      <c r="R24" s="82"/>
      <c r="S24" s="82"/>
      <c r="T24" s="82"/>
      <c r="U24" s="82"/>
      <c r="V24" s="82"/>
      <c r="W24" s="82"/>
      <c r="X24" s="82"/>
      <c r="Y24" s="82"/>
    </row>
    <row r="25" spans="1:25" ht="18" customHeight="1">
      <c r="A25" s="76"/>
      <c r="B25" s="88">
        <f>SUM(B9:B24)</f>
        <v>25</v>
      </c>
      <c r="C25" s="160" t="s">
        <v>20</v>
      </c>
      <c r="D25" s="160"/>
      <c r="E25" s="160"/>
      <c r="F25" s="160"/>
      <c r="G25" s="160"/>
      <c r="H25" s="89">
        <f>SUM(H9:H24)</f>
        <v>25</v>
      </c>
      <c r="I25" s="90"/>
      <c r="J25" s="90"/>
      <c r="K25" s="90"/>
      <c r="L25" s="91"/>
      <c r="M25" s="76"/>
      <c r="N25" s="92">
        <f>SUM(N9:N24)</f>
        <v>0</v>
      </c>
      <c r="O25" s="92">
        <f>SUM(O9:O24)</f>
        <v>0</v>
      </c>
      <c r="P25" s="80"/>
      <c r="Q25" s="80"/>
    </row>
    <row r="26" spans="1:25" s="100" customFormat="1" ht="18" customHeight="1">
      <c r="A26" s="93"/>
      <c r="B26" s="94"/>
      <c r="C26" s="158" t="s">
        <v>15</v>
      </c>
      <c r="D26" s="158"/>
      <c r="E26" s="95"/>
      <c r="F26" s="96"/>
      <c r="G26" s="96"/>
      <c r="H26" s="95"/>
      <c r="I26" s="96"/>
      <c r="J26" s="95"/>
      <c r="K26" s="95"/>
      <c r="L26" s="95"/>
      <c r="M26" s="95"/>
      <c r="N26" s="97"/>
      <c r="O26" s="97"/>
      <c r="P26" s="98"/>
      <c r="Q26" s="99"/>
      <c r="R26" s="93"/>
    </row>
    <row r="27" spans="1:25" s="100" customFormat="1" ht="18" customHeight="1">
      <c r="A27" s="93"/>
      <c r="B27" s="93"/>
      <c r="C27" s="101"/>
      <c r="D27" s="151"/>
      <c r="E27" s="151"/>
      <c r="F27" s="152"/>
      <c r="G27" s="152"/>
      <c r="H27" s="152"/>
      <c r="I27" s="152"/>
      <c r="J27" s="152"/>
      <c r="K27" s="152"/>
      <c r="L27" s="152"/>
      <c r="M27" s="152"/>
      <c r="N27" s="102"/>
      <c r="O27" s="102"/>
      <c r="P27" s="99"/>
      <c r="Q27" s="99"/>
      <c r="R27" s="93"/>
    </row>
    <row r="28" spans="1:25" s="100" customFormat="1" ht="18" customHeight="1">
      <c r="A28" s="93"/>
      <c r="B28" s="93"/>
      <c r="C28" s="10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02"/>
      <c r="O28" s="102"/>
      <c r="P28" s="99"/>
      <c r="Q28" s="99"/>
      <c r="R28" s="93"/>
    </row>
    <row r="29" spans="1:25" s="100" customFormat="1" ht="18" customHeight="1">
      <c r="A29" s="93"/>
      <c r="B29" s="93"/>
      <c r="C29" s="10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02"/>
      <c r="O29" s="102"/>
      <c r="P29" s="99"/>
      <c r="Q29" s="99"/>
      <c r="R29" s="93"/>
    </row>
    <row r="30" spans="1:25" ht="18" customHeight="1">
      <c r="A30" s="93"/>
      <c r="B30" s="93"/>
      <c r="C30" s="10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02"/>
      <c r="O30" s="102"/>
      <c r="P30" s="99"/>
      <c r="Q30" s="99"/>
    </row>
    <row r="31" spans="1:25" ht="18" customHeight="1">
      <c r="A31" s="93"/>
      <c r="B31" s="93"/>
      <c r="C31" s="10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02"/>
      <c r="O31" s="102"/>
      <c r="P31" s="99"/>
      <c r="Q31" s="99"/>
    </row>
    <row r="32" spans="1:25" ht="18" customHeight="1">
      <c r="A32" s="93"/>
      <c r="B32" s="93"/>
      <c r="C32" s="10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02"/>
      <c r="O32" s="102"/>
      <c r="P32" s="99"/>
      <c r="Q32" s="99"/>
    </row>
    <row r="33" spans="1:17" ht="18" customHeight="1">
      <c r="A33" s="93"/>
      <c r="B33" s="93"/>
      <c r="P33" s="99"/>
      <c r="Q33" s="99"/>
    </row>
    <row r="34" spans="1:17" ht="18" customHeight="1">
      <c r="A34" s="93"/>
      <c r="B34" s="93"/>
      <c r="P34" s="99"/>
      <c r="Q34" s="99"/>
    </row>
    <row r="35" spans="1:17" ht="18" customHeight="1">
      <c r="A35" s="93"/>
      <c r="B35" s="93"/>
      <c r="P35" s="99"/>
      <c r="Q35" s="99"/>
    </row>
    <row r="36" spans="1:17" ht="18" customHeight="1">
      <c r="A36" s="93"/>
      <c r="B36" s="93"/>
      <c r="P36" s="99"/>
      <c r="Q36" s="99"/>
    </row>
    <row r="37" spans="1:17" ht="18" customHeight="1">
      <c r="A37" s="93"/>
      <c r="B37" s="93"/>
      <c r="P37" s="99"/>
      <c r="Q37" s="99"/>
    </row>
    <row r="38" spans="1:17" ht="18" customHeight="1">
      <c r="A38" s="93"/>
      <c r="B38" s="93"/>
      <c r="P38" s="99"/>
      <c r="Q38" s="99"/>
    </row>
    <row r="39" spans="1:17" ht="18" customHeight="1">
      <c r="A39" s="93"/>
      <c r="B39" s="93"/>
      <c r="P39" s="99"/>
      <c r="Q39" s="99"/>
    </row>
    <row r="40" spans="1:17" ht="18" customHeight="1"/>
    <row r="41" spans="1:17" ht="18" customHeight="1"/>
    <row r="42" spans="1:17" ht="18" customHeight="1"/>
    <row r="43" spans="1:17" ht="18" customHeight="1"/>
    <row r="44" spans="1:17" ht="18" customHeight="1"/>
    <row r="45" spans="1:17" ht="18" customHeight="1"/>
  </sheetData>
  <autoFilter ref="C7:Q8"/>
  <mergeCells count="36">
    <mergeCell ref="A2:B2"/>
    <mergeCell ref="A3:B3"/>
    <mergeCell ref="A4:B4"/>
    <mergeCell ref="A5:B5"/>
    <mergeCell ref="J7:J8"/>
    <mergeCell ref="C2:D2"/>
    <mergeCell ref="C3:D3"/>
    <mergeCell ref="C4:D4"/>
    <mergeCell ref="A7:A8"/>
    <mergeCell ref="B7:B8"/>
    <mergeCell ref="C7:C8"/>
    <mergeCell ref="D7:D8"/>
    <mergeCell ref="C25:G25"/>
    <mergeCell ref="L7:L8"/>
    <mergeCell ref="K7:K8"/>
    <mergeCell ref="Q7:Q8"/>
    <mergeCell ref="P7:P8"/>
    <mergeCell ref="N7:N8"/>
    <mergeCell ref="O7:O8"/>
    <mergeCell ref="M7:M8"/>
    <mergeCell ref="N4:O4"/>
    <mergeCell ref="D32:M32"/>
    <mergeCell ref="D27:M27"/>
    <mergeCell ref="D28:M28"/>
    <mergeCell ref="D29:M29"/>
    <mergeCell ref="D30:M30"/>
    <mergeCell ref="D31:M31"/>
    <mergeCell ref="E7:E8"/>
    <mergeCell ref="N5:O5"/>
    <mergeCell ref="C5:D5"/>
    <mergeCell ref="D6:F6"/>
    <mergeCell ref="C26:D26"/>
    <mergeCell ref="F7:F8"/>
    <mergeCell ref="G7:G8"/>
    <mergeCell ref="H7:H8"/>
    <mergeCell ref="I7:I8"/>
  </mergeCells>
  <phoneticPr fontId="4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landscape" horizontalDpi="4294967294" r:id="rId1"/>
  <headerFooter>
    <oddFooter>&amp;C&amp;"Verdana,보통"&amp;10&amp;P / &amp;N&amp;R&amp;"Verdana,보통"&amp;10RF-COMM</oddFooter>
  </headerFooter>
  <ignoredErrors>
    <ignoredError sqref="M18 M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2014-01-06T10:08:33Z</cp:lastPrinted>
  <dcterms:created xsi:type="dcterms:W3CDTF">2013-05-16T01:56:53Z</dcterms:created>
  <dcterms:modified xsi:type="dcterms:W3CDTF">2014-07-14T07:57:46Z</dcterms:modified>
</cp:coreProperties>
</file>
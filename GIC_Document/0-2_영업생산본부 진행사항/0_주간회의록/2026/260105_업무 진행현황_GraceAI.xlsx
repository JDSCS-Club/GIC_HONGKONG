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진행사항\0_주간회의록\2026\"/>
    </mc:Choice>
  </mc:AlternateContent>
  <xr:revisionPtr revIDLastSave="0" documentId="13_ncr:1_{EA928AEC-7FC6-4C02-B854-73CD761C1A58}" xr6:coauthVersionLast="47" xr6:coauthVersionMax="47" xr10:uidLastSave="{00000000-0000-0000-0000-000000000000}"/>
  <bookViews>
    <workbookView xWindow="38280" yWindow="-120" windowWidth="29040" windowHeight="17520" xr2:uid="{1589083E-8638-43ED-94E9-5FD63EBCF32C}"/>
  </bookViews>
  <sheets>
    <sheet name="2026년 전략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2" l="1"/>
  <c r="O36" i="2"/>
  <c r="P11" i="2" l="1"/>
  <c r="Q9" i="2" l="1"/>
  <c r="X15" i="2" l="1"/>
  <c r="R15" i="2"/>
  <c r="Q17" i="2"/>
  <c r="X31" i="2" l="1"/>
  <c r="Q14" i="2"/>
  <c r="Q36" i="2" s="1"/>
  <c r="S36" i="2" l="1"/>
  <c r="R36" i="2" s="1"/>
  <c r="W36" i="2"/>
  <c r="X30" i="2" l="1"/>
  <c r="P36" i="2" l="1"/>
  <c r="X32" i="2"/>
  <c r="X36" i="2" l="1"/>
  <c r="S49" i="2"/>
</calcChain>
</file>

<file path=xl/sharedStrings.xml><?xml version="1.0" encoding="utf-8"?>
<sst xmlns="http://schemas.openxmlformats.org/spreadsheetml/2006/main" count="271" uniqueCount="143">
  <si>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</si>
  <si>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</si>
  <si>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</si>
  <si>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</si>
  <si>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</si>
  <si>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</si>
  <si>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</si>
  <si>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</si>
  <si>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</si>
  <si>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</si>
  <si>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</si>
  <si>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</si>
  <si>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</si>
  <si>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</si>
  <si>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</si>
  <si>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</si>
  <si>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</si>
  <si>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</si>
  <si>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</si>
  <si>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</si>
  <si>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</si>
  <si>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</si>
  <si>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</si>
  <si>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</si>
  <si>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</si>
  <si>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</si>
  <si>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</si>
  <si>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</si>
  <si>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구분</t>
    <phoneticPr fontId="1" type="noConversion"/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</si>
  <si>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</si>
  <si>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</si>
  <si>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</si>
  <si>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</si>
  <si>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</si>
  <si>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</si>
  <si>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-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</si>
  <si>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</si>
  <si>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</si>
  <si>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</si>
  <si>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</si>
  <si>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</si>
  <si>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</si>
  <si>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</si>
  <si>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</si>
  <si>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</si>
  <si>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담당</t>
    <phoneticPr fontId="1" type="noConversion"/>
  </si>
  <si>
    <t>장덕수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</si>
  <si>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</si>
  <si>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</si>
  <si>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</si>
  <si>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</si>
  <si>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</si>
  <si>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자카르타 경전철 방송장치 보드류 예비품</t>
    <phoneticPr fontId="1" type="noConversion"/>
  </si>
  <si>
    <t>POSCO TCMS 관련 통신보드 HW 개발</t>
  </si>
  <si>
    <t>SCL 333량 SALOON CAMERA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</si>
  <si>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</si>
  <si>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</si>
  <si>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</si>
  <si>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</si>
  <si>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</si>
  <si>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</si>
  <si>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</si>
  <si>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</si>
  <si>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</si>
  <si>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</si>
  <si>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</si>
  <si>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</si>
  <si>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</si>
  <si>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</si>
  <si>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/>
  </si>
  <si>
    <t>251002 예비 제안서 및 견적서 제출 요청</t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</si>
  <si>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</si>
  <si>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</si>
  <si>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</si>
  <si>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</si>
  <si>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</si>
  <si>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</si>
  <si>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</si>
  <si>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향후 진행 방향 논의 필요</t>
    <phoneticPr fontId="1" type="noConversion"/>
  </si>
  <si>
    <t>MTR RFQ대기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</si>
  <si>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</si>
  <si>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</si>
  <si>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</si>
  <si>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</si>
  <si>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</si>
  <si>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PAPIS 모델</t>
    <phoneticPr fontId="1" type="noConversion"/>
  </si>
  <si>
    <t>TCMS 모델</t>
    <phoneticPr fontId="1" type="noConversion"/>
  </si>
  <si>
    <t>NVR system interface</t>
    <phoneticPr fontId="1" type="noConversion"/>
  </si>
  <si>
    <t>Family tree 방식으로 작성</t>
    <phoneticPr fontId="1" type="noConversion"/>
  </si>
  <si>
    <t>이상영</t>
    <phoneticPr fontId="1" type="noConversion"/>
  </si>
  <si>
    <t>고객담당자</t>
    <phoneticPr fontId="1" type="noConversion"/>
  </si>
  <si>
    <t>김종완책임</t>
    <phoneticPr fontId="1" type="noConversion"/>
  </si>
  <si>
    <t>은정일책임</t>
    <phoneticPr fontId="1" type="noConversion"/>
  </si>
  <si>
    <t>서울교통공사</t>
    <phoneticPr fontId="1" type="noConversion"/>
  </si>
  <si>
    <t>적색 표기</t>
    <phoneticPr fontId="1" type="noConversion"/>
  </si>
  <si>
    <t>녹색 표기</t>
    <phoneticPr fontId="1" type="noConversion"/>
  </si>
  <si>
    <t>견적 완료</t>
    <phoneticPr fontId="1" type="noConversion"/>
  </si>
  <si>
    <t>청색 표기</t>
    <phoneticPr fontId="1" type="noConversion"/>
  </si>
  <si>
    <t>진행 중 포기</t>
    <phoneticPr fontId="1" type="noConversion"/>
  </si>
  <si>
    <t>적색 및 취소선 표기</t>
    <phoneticPr fontId="15" type="noConversion"/>
  </si>
  <si>
    <t>범례</t>
    <phoneticPr fontId="15" type="noConversion"/>
  </si>
  <si>
    <t>수주 실패</t>
    <phoneticPr fontId="15" type="noConversion"/>
  </si>
  <si>
    <t>수주(발주/계약) 성공</t>
    <phoneticPr fontId="1" type="noConversion"/>
  </si>
  <si>
    <t>견적 진행</t>
    <phoneticPr fontId="15" type="noConversion"/>
  </si>
  <si>
    <t>견적 기한 만료</t>
    <phoneticPr fontId="1" type="noConversion"/>
  </si>
  <si>
    <t>자색 표기</t>
    <phoneticPr fontId="1" type="noConversion"/>
  </si>
  <si>
    <t>한국
(인천국제공항공사)</t>
    <phoneticPr fontId="1" type="noConversion"/>
  </si>
  <si>
    <t>한국
(POSCO)</t>
    <phoneticPr fontId="1" type="noConversion"/>
  </si>
  <si>
    <t>12월 9일, 제안서 및 예산을 GIC에 제출하였으며, GIC에서 12월 10일 MTR로 제출하였음</t>
    <phoneticPr fontId="1" type="noConversion"/>
  </si>
  <si>
    <r>
      <rPr>
        <sz val="11"/>
        <rFont val="맑은 고딕"/>
        <family val="3"/>
        <charset val="129"/>
        <scheme val="minor"/>
      </rPr>
      <t xml:space="preserve">향후 방향의 보고서작성요.
</t>
    </r>
    <r>
      <rPr>
        <sz val="11"/>
        <color rgb="FFFF0000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</si>
  <si>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t>10월 22일, 10월 21일 MTR에 제안서 제출 완료</t>
    <phoneticPr fontId="1" type="noConversion"/>
  </si>
  <si>
    <t>10월 22일, GIC에서 10월 13일 MTR에 제안서 제출 완료</t>
    <phoneticPr fontId="1" type="noConversion"/>
  </si>
  <si>
    <r>
      <rPr>
        <sz val="11"/>
        <rFont val="맑은 고딕"/>
        <family val="3"/>
        <charset val="129"/>
        <scheme val="minor"/>
      </rPr>
      <t xml:space="preserve">향후 방향의 보고서작성요.
</t>
    </r>
    <r>
      <rPr>
        <sz val="11"/>
        <color rgb="FFFF0000"/>
        <rFont val="맑은 고딕"/>
        <family val="3"/>
        <charset val="129"/>
        <scheme val="minor"/>
      </rPr>
      <t>12월 19일, MOP 기준 Family Tree 초안 작성.</t>
    </r>
    <phoneticPr fontId="1" type="noConversion"/>
  </si>
  <si>
    <t>이스탄불 예니카프 예비품_Panel, Center Operation 외 4종</t>
    <phoneticPr fontId="15" type="noConversion"/>
  </si>
  <si>
    <t>[터키 예니카프 68량]DOOR, MVB CONVERTER</t>
  </si>
  <si>
    <t>[터키 예니카프 68량]CCTV</t>
  </si>
  <si>
    <t>[터키 예니카프 68량]스피커 및 노이즈 센서</t>
  </si>
  <si>
    <t>[터키 예니카프 68량]방송장치 보드</t>
  </si>
  <si>
    <t>12월 30일, 미래일 및 인터콘과 제작 관련 협의 검토</t>
    <phoneticPr fontId="15" type="noConversion"/>
  </si>
  <si>
    <t>HST (튀르키예)</t>
    <phoneticPr fontId="1" type="noConversion"/>
  </si>
  <si>
    <t>Yenikapi istanbul Metro_Power Amp외 2종</t>
  </si>
  <si>
    <t>12월 30일, 현대로템 예니카프 품목의 협의에 따라서 방향을 잡을 예정</t>
    <phoneticPr fontId="15" type="noConversion"/>
  </si>
  <si>
    <t>2026년 주식회사 지에이티 업무 진행현황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</si>
  <si>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12월 29일, MOP Blackout SW 수정 MTR 승인 대기 중.
1월 5일, MSR Log 분석 관련 회신 필요</t>
    </r>
    <r>
      <rPr>
        <sz val="11"/>
        <color rgb="FF00B050"/>
        <rFont val="맑은 고딕"/>
        <family val="3"/>
        <charset val="129"/>
        <scheme val="minor"/>
      </rPr>
      <t>.</t>
    </r>
    <phoneticPr fontId="1" type="noConversion"/>
  </si>
  <si>
    <t>1. MOP의 MS1과 MS2의 소프트웨어변경.
2. 우진산전 NVR board분석
3. MSR Log 분석 관련 문의 회신</t>
    <phoneticPr fontId="1" type="noConversion"/>
  </si>
  <si>
    <t>2024년 수주 이월 / 2025년 프로젝트 종결</t>
    <phoneticPr fontId="15" type="noConversion"/>
  </si>
  <si>
    <t>견적기한 만료 / 재견적 필요</t>
    <phoneticPr fontId="1" type="noConversion"/>
  </si>
  <si>
    <t>견적기한 만료 / 재견적 진행 중</t>
    <phoneticPr fontId="1" type="noConversion"/>
  </si>
  <si>
    <t>1월5일, KTU 현차시험 출장 계획 보고</t>
    <phoneticPr fontId="15" type="noConversion"/>
  </si>
  <si>
    <t>12월 4일, 다원시스 4호선 방송편집기 소프트웨어 개발 건과 묶어서 DX에서 용역 수행 계약 체결
1월5일, KTU 현차시험 출장 계획 중</t>
    <phoneticPr fontId="1" type="noConversion"/>
  </si>
  <si>
    <t>2027년</t>
    <phoneticPr fontId="1" type="noConversion"/>
  </si>
  <si>
    <t>12월 30일, 노이즈 관련 책임소재 명확히 주지시키고 GAT의 책임으로 전가되지 않도록 조치 요함</t>
    <phoneticPr fontId="15" type="noConversion"/>
  </si>
  <si>
    <r>
      <rPr>
        <sz val="11"/>
        <rFont val="맑은 고딕"/>
        <family val="3"/>
        <charset val="129"/>
        <scheme val="minor"/>
      </rPr>
      <t>12월 29일, 종결 보고서 제출</t>
    </r>
    <r>
      <rPr>
        <sz val="11"/>
        <color rgb="FFFF0000"/>
        <rFont val="맑은 고딕"/>
        <family val="3"/>
        <charset val="129"/>
        <scheme val="minor"/>
      </rPr>
      <t xml:space="preserve">
12월 31일, 노이즈 유기 원인에 대한 설명 및 근본적 보완 방법(케이블 차폐)에 대한 안내 완료</t>
    </r>
    <phoneticPr fontId="1" type="noConversion"/>
  </si>
  <si>
    <t>1월 2일 스포트웨어 최종 점검 및 납품 전 대금지급 절차 진행할 것 (납품일정계획 반영 필요)</t>
    <phoneticPr fontId="15" type="noConversion"/>
  </si>
  <si>
    <r>
      <rPr>
        <sz val="11"/>
        <color rgb="FFFF0000"/>
        <rFont val="맑은 고딕"/>
        <family val="3"/>
        <charset val="129"/>
        <scheme val="minor"/>
      </rPr>
      <t>11월 27일, NVR, SSD, TCIU, 허브 S/W 준비중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1월 2일, 납품일정계획 작성 완료</t>
    </r>
    <r>
      <rPr>
        <sz val="11"/>
        <color rgb="FF00B050"/>
        <rFont val="맑은 고딕"/>
        <family val="3"/>
        <charset val="129"/>
        <scheme val="minor"/>
      </rPr>
      <t>.</t>
    </r>
    <phoneticPr fontId="1" type="noConversion"/>
  </si>
  <si>
    <t>2025년 수주 이월 / 251231 전자계약 체결(계약일 : PO 발행일 (250930) 소급 적용)</t>
    <phoneticPr fontId="15" type="noConversion"/>
  </si>
  <si>
    <t>2025년 수주 이월 / 251015 선수금 입금 완료</t>
    <phoneticPr fontId="1" type="noConversion"/>
  </si>
  <si>
    <r>
      <t xml:space="preserve">12월 4일, 홍콩 KTU 건과 묶어서 DX에서 용역 수행 계약 체결
</t>
    </r>
    <r>
      <rPr>
        <sz val="11"/>
        <color rgb="FFFF0000"/>
        <rFont val="맑은 고딕"/>
        <family val="3"/>
        <charset val="129"/>
        <scheme val="minor"/>
      </rPr>
      <t>12월 30일, 디엑에서 업무 진행 중이며, 다원에서 기능 확인 중. 2월 종결 예상</t>
    </r>
    <phoneticPr fontId="1" type="noConversion"/>
  </si>
  <si>
    <t>2025년 수주 이월 / 250728 계약 완료 /
250801 선금(30%) 입급 완료</t>
    <phoneticPr fontId="15" type="noConversion"/>
  </si>
  <si>
    <t>2024년 수주 이월 / 2024년 계약 및 선금(30%) 입금 완료 /
2025년 중도금(30%) 입금 완료</t>
    <phoneticPr fontId="15" type="noConversion"/>
  </si>
  <si>
    <t>7호선 3차분 CSC 대 수선</t>
  </si>
  <si>
    <t>서울교통공사에서 나라장터 통한 입찰공고 준비 중 (2026년)</t>
  </si>
  <si>
    <t>인천국제공항공사에서 나라장터 통한 입찰공고 준비 중 (2026년)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</si>
</sst>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B050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trike/>
      <sz val="12"/>
      <color rgb="FFC0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7030A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trike/>
      <sz val="11"/>
      <color rgb="FF7030A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1" fillId="0" borderId="2" xfId="0" applyNumberFormat="1" applyFont="1" applyBorder="1" applyAlignment="1">
      <alignment horizontal="center" vertical="center"/>
    </xf>
    <xf numFmtId="42" fontId="11" fillId="0" borderId="1" xfId="0" applyNumberFormat="1" applyFont="1" applyBorder="1" applyAlignment="1">
      <alignment horizontal="center" vertical="center"/>
    </xf>
    <xf numFmtId="42" fontId="11" fillId="0" borderId="7" xfId="0" applyNumberFormat="1" applyFont="1" applyBorder="1" applyAlignment="1">
      <alignment horizontal="center" vertical="center"/>
    </xf>
    <xf numFmtId="42" fontId="11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2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8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42" fontId="25" fillId="0" borderId="5" xfId="0" applyNumberFormat="1" applyFont="1" applyBorder="1" applyAlignment="1">
      <alignment horizontal="center" vertical="center"/>
    </xf>
    <xf numFmtId="42" fontId="25" fillId="0" borderId="4" xfId="0" applyNumberFormat="1" applyFont="1" applyBorder="1" applyAlignment="1">
      <alignment horizontal="center" vertical="center"/>
    </xf>
    <xf numFmtId="42" fontId="24" fillId="0" borderId="8" xfId="0" applyNumberFormat="1" applyFont="1" applyBorder="1" applyAlignment="1">
      <alignment horizontal="center" vertical="center"/>
    </xf>
    <xf numFmtId="42" fontId="24" fillId="0" borderId="4" xfId="0" applyNumberFormat="1" applyFont="1" applyBorder="1" applyAlignment="1">
      <alignment horizontal="center" vertical="center"/>
    </xf>
    <xf numFmtId="42" fontId="24" fillId="0" borderId="9" xfId="0" applyNumberFormat="1" applyFont="1" applyBorder="1" applyAlignment="1">
      <alignment horizontal="center" vertical="center"/>
    </xf>
    <xf numFmtId="42" fontId="24" fillId="0" borderId="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42" fontId="25" fillId="0" borderId="9" xfId="0" applyNumberFormat="1" applyFont="1" applyBorder="1" applyAlignment="1">
      <alignment horizontal="center" vertical="center"/>
    </xf>
    <xf numFmtId="178" fontId="24" fillId="0" borderId="1" xfId="0" applyNumberFormat="1" applyFont="1" applyBorder="1" applyAlignment="1">
      <alignment horizontal="center" vertical="center"/>
    </xf>
    <xf numFmtId="42" fontId="12" fillId="0" borderId="5" xfId="0" applyNumberFormat="1" applyFont="1" applyBorder="1" applyAlignment="1">
      <alignment horizontal="center" vertical="center"/>
    </xf>
    <xf numFmtId="42" fontId="12" fillId="0" borderId="4" xfId="0" applyNumberFormat="1" applyFont="1" applyBorder="1" applyAlignment="1">
      <alignment horizontal="center" vertical="center"/>
    </xf>
    <xf numFmtId="42" fontId="7" fillId="0" borderId="8" xfId="0" applyNumberFormat="1" applyFont="1" applyBorder="1" applyAlignment="1">
      <alignment horizontal="center" vertical="center"/>
    </xf>
    <xf numFmtId="42" fontId="7" fillId="0" borderId="4" xfId="0" applyNumberFormat="1" applyFont="1" applyBorder="1" applyAlignment="1">
      <alignment horizontal="center" vertical="center"/>
    </xf>
    <xf numFmtId="42" fontId="7" fillId="0" borderId="9" xfId="0" applyNumberFormat="1" applyFont="1" applyBorder="1" applyAlignment="1">
      <alignment horizontal="center" vertical="center"/>
    </xf>
    <xf numFmtId="42" fontId="7" fillId="0" borderId="5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42" fontId="25" fillId="0" borderId="2" xfId="0" applyNumberFormat="1" applyFont="1" applyBorder="1" applyAlignment="1">
      <alignment horizontal="center" vertical="center"/>
    </xf>
    <xf numFmtId="42" fontId="25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42" fontId="3" fillId="0" borderId="8" xfId="0" applyNumberFormat="1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42" fontId="5" fillId="0" borderId="9" xfId="0" applyNumberFormat="1" applyFont="1" applyBorder="1" applyAlignment="1">
      <alignment horizontal="center" vertical="center"/>
    </xf>
    <xf numFmtId="42" fontId="5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42" fontId="12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10" fontId="12" fillId="0" borderId="4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2" fontId="11" fillId="0" borderId="3" xfId="0" applyNumberFormat="1" applyFont="1" applyBorder="1" applyAlignment="1">
      <alignment horizontal="center" vertical="center" wrapText="1"/>
    </xf>
    <xf numFmtId="42" fontId="11" fillId="0" borderId="4" xfId="0" applyNumberFormat="1" applyFont="1" applyBorder="1" applyAlignment="1">
      <alignment horizontal="center" vertical="center"/>
    </xf>
    <xf numFmtId="42" fontId="11" fillId="0" borderId="10" xfId="0" applyNumberFormat="1" applyFont="1" applyBorder="1" applyAlignment="1">
      <alignment horizontal="center" vertical="center" wrapText="1"/>
    </xf>
    <xf numFmtId="42" fontId="11" fillId="0" borderId="5" xfId="0" applyNumberFormat="1" applyFont="1" applyBorder="1" applyAlignment="1">
      <alignment horizontal="center" vertical="center"/>
    </xf>
    <xf numFmtId="42" fontId="11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1" fillId="0" borderId="6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B2:Z49"/>
  <sheetViews>
    <sheetView tabSelected="1" zoomScale="70" zoomScaleNormal="70" workbookViewId="0"/>
  </sheetViews>
  <sheetFormatPr defaultRowHeight="17" outlineLevelCol="1" x14ac:dyDescent="0.45"/>
  <cols>
    <col min="1" max="1" width="3.5" customWidth="1"/>
    <col min="2" max="2" width="3.83203125" bestFit="1" customWidth="1"/>
    <col min="3" max="3" width="14.33203125" bestFit="1" customWidth="1"/>
    <col min="4" max="4" width="22" bestFit="1" customWidth="1"/>
    <col min="5" max="5" width="21.83203125" customWidth="1" outlineLevel="1"/>
    <col min="6" max="6" width="10.83203125" style="49" customWidth="1" outlineLevel="1"/>
    <col min="7" max="7" width="10.58203125" style="49" customWidth="1" outlineLevel="1"/>
    <col min="8" max="8" width="38.08203125" customWidth="1"/>
    <col min="9" max="9" width="13.25" customWidth="1"/>
    <col min="10" max="10" width="13.75" bestFit="1" customWidth="1"/>
    <col min="11" max="12" width="12.08203125" bestFit="1" customWidth="1"/>
    <col min="13" max="13" width="66.33203125" bestFit="1" customWidth="1"/>
    <col min="14" max="14" width="39.33203125" bestFit="1" customWidth="1"/>
    <col min="15" max="19" width="17.5" style="20" customWidth="1" outlineLevel="1"/>
    <col min="20" max="21" width="15.08203125" style="20" customWidth="1" outlineLevel="1"/>
    <col min="22" max="22" width="15.08203125" style="2" customWidth="1" outlineLevel="1"/>
    <col min="23" max="24" width="15.08203125" style="20" customWidth="1" outlineLevel="1"/>
    <col min="25" max="25" width="50.75" style="60" customWidth="1" outlineLevel="1" collapsed="1"/>
  </cols>
  <sheetData>
    <row r="2" spans="2:26" ht="36" x14ac:dyDescent="0.45">
      <c r="B2" s="134" t="s">
        <v>122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2:26" x14ac:dyDescent="0.45">
      <c r="K3" s="53" t="s">
        <v>72</v>
      </c>
      <c r="L3" s="53" t="s">
        <v>72</v>
      </c>
      <c r="M3" s="53" t="s">
        <v>71</v>
      </c>
    </row>
    <row r="4" spans="2:26" ht="16.5" customHeight="1" x14ac:dyDescent="0.45">
      <c r="B4" s="135" t="s">
        <v>0</v>
      </c>
      <c r="C4" s="135" t="s">
        <v>2</v>
      </c>
      <c r="D4" s="135" t="s">
        <v>1</v>
      </c>
      <c r="E4" s="135" t="s">
        <v>17</v>
      </c>
      <c r="F4" s="124" t="s">
        <v>64</v>
      </c>
      <c r="G4" s="126" t="s">
        <v>65</v>
      </c>
      <c r="H4" s="128" t="s">
        <v>4</v>
      </c>
      <c r="I4" s="128" t="s">
        <v>90</v>
      </c>
      <c r="J4" s="128" t="s">
        <v>80</v>
      </c>
      <c r="K4" s="122" t="s">
        <v>28</v>
      </c>
      <c r="L4" s="122" t="s">
        <v>45</v>
      </c>
      <c r="M4" s="122" t="s">
        <v>67</v>
      </c>
      <c r="N4" s="124" t="s">
        <v>68</v>
      </c>
      <c r="O4" s="141" t="s">
        <v>39</v>
      </c>
      <c r="P4" s="142"/>
      <c r="Q4" s="143"/>
      <c r="R4" s="144" t="s">
        <v>14</v>
      </c>
      <c r="S4" s="142"/>
      <c r="T4" s="143"/>
      <c r="U4" s="139" t="s">
        <v>15</v>
      </c>
      <c r="V4" s="128" t="s">
        <v>16</v>
      </c>
      <c r="W4" s="137" t="s">
        <v>37</v>
      </c>
      <c r="X4" s="137" t="s">
        <v>44</v>
      </c>
      <c r="Y4" s="128" t="s">
        <v>3</v>
      </c>
    </row>
    <row r="5" spans="2:26" x14ac:dyDescent="0.45">
      <c r="B5" s="136"/>
      <c r="C5" s="136"/>
      <c r="D5" s="136"/>
      <c r="E5" s="136"/>
      <c r="F5" s="125"/>
      <c r="G5" s="127"/>
      <c r="H5" s="130"/>
      <c r="I5" s="130"/>
      <c r="J5" s="129"/>
      <c r="K5" s="123"/>
      <c r="L5" s="123"/>
      <c r="M5" s="123"/>
      <c r="N5" s="125"/>
      <c r="O5" s="22" t="s">
        <v>43</v>
      </c>
      <c r="P5" s="23" t="s">
        <v>40</v>
      </c>
      <c r="Q5" s="24" t="s">
        <v>41</v>
      </c>
      <c r="R5" s="25" t="s">
        <v>43</v>
      </c>
      <c r="S5" s="23" t="s">
        <v>42</v>
      </c>
      <c r="T5" s="24" t="s">
        <v>130</v>
      </c>
      <c r="U5" s="140"/>
      <c r="V5" s="136"/>
      <c r="W5" s="138"/>
      <c r="X5" s="138"/>
      <c r="Y5" s="130"/>
    </row>
    <row r="6" spans="2:26" x14ac:dyDescent="0.45">
      <c r="B6" s="12">
        <v>1</v>
      </c>
      <c r="C6" s="11" t="s">
        <v>6</v>
      </c>
      <c r="D6" s="5" t="s">
        <v>8</v>
      </c>
      <c r="E6" s="5" t="s">
        <v>10</v>
      </c>
      <c r="F6" s="12"/>
      <c r="G6" s="12"/>
      <c r="H6" s="10" t="s">
        <v>31</v>
      </c>
      <c r="I6" s="10"/>
      <c r="J6" s="10" t="s">
        <v>81</v>
      </c>
      <c r="K6" s="10" t="s">
        <v>48</v>
      </c>
      <c r="L6" s="10" t="s">
        <v>46</v>
      </c>
      <c r="M6" s="131" t="s">
        <v>123</v>
      </c>
      <c r="N6" s="146" t="s">
        <v>124</v>
      </c>
      <c r="O6" s="26"/>
      <c r="P6" s="13"/>
      <c r="Q6" s="21"/>
      <c r="R6" s="27"/>
      <c r="S6" s="13"/>
      <c r="T6" s="14"/>
      <c r="U6" s="40"/>
      <c r="V6" s="5"/>
      <c r="W6" s="13"/>
      <c r="X6" s="13"/>
      <c r="Y6" s="61" t="s">
        <v>125</v>
      </c>
    </row>
    <row r="7" spans="2:26" x14ac:dyDescent="0.45">
      <c r="B7" s="5"/>
      <c r="C7" s="4"/>
      <c r="D7" s="5" t="s">
        <v>8</v>
      </c>
      <c r="E7" s="5" t="s">
        <v>11</v>
      </c>
      <c r="F7" s="12"/>
      <c r="G7" s="12"/>
      <c r="H7" s="10" t="s">
        <v>32</v>
      </c>
      <c r="I7" s="10"/>
      <c r="J7" s="10" t="s">
        <v>81</v>
      </c>
      <c r="K7" s="10" t="s">
        <v>48</v>
      </c>
      <c r="L7" s="10" t="s">
        <v>46</v>
      </c>
      <c r="M7" s="132"/>
      <c r="N7" s="147"/>
      <c r="O7" s="26"/>
      <c r="P7" s="13"/>
      <c r="Q7" s="21"/>
      <c r="R7" s="27"/>
      <c r="S7" s="13"/>
      <c r="T7" s="14"/>
      <c r="U7" s="41"/>
      <c r="V7" s="5"/>
      <c r="W7" s="13"/>
      <c r="X7" s="13"/>
      <c r="Y7" s="61" t="s">
        <v>125</v>
      </c>
    </row>
    <row r="8" spans="2:26" x14ac:dyDescent="0.45">
      <c r="B8" s="5"/>
      <c r="C8" s="4"/>
      <c r="D8" s="5" t="s">
        <v>8</v>
      </c>
      <c r="E8" s="5" t="s">
        <v>12</v>
      </c>
      <c r="F8" s="12"/>
      <c r="G8" s="12"/>
      <c r="H8" s="10" t="s">
        <v>38</v>
      </c>
      <c r="I8" s="10"/>
      <c r="J8" s="10" t="s">
        <v>81</v>
      </c>
      <c r="K8" s="10" t="s">
        <v>48</v>
      </c>
      <c r="L8" s="10" t="s">
        <v>46</v>
      </c>
      <c r="M8" s="133"/>
      <c r="N8" s="148"/>
      <c r="O8" s="26"/>
      <c r="P8" s="13"/>
      <c r="Q8" s="21"/>
      <c r="R8" s="27"/>
      <c r="S8" s="13"/>
      <c r="T8" s="14"/>
      <c r="U8" s="41"/>
      <c r="V8" s="5"/>
      <c r="W8" s="13"/>
      <c r="X8" s="13"/>
      <c r="Y8" s="61" t="s">
        <v>125</v>
      </c>
    </row>
    <row r="9" spans="2:26" x14ac:dyDescent="0.45">
      <c r="B9" s="6"/>
      <c r="C9" s="1"/>
      <c r="D9" s="47" t="s">
        <v>8</v>
      </c>
      <c r="E9" s="48"/>
      <c r="F9" s="48"/>
      <c r="G9" s="48"/>
      <c r="H9" s="55" t="s">
        <v>54</v>
      </c>
      <c r="I9" s="55"/>
      <c r="J9" s="55" t="s">
        <v>82</v>
      </c>
      <c r="K9" s="55" t="s">
        <v>47</v>
      </c>
      <c r="L9" s="55" t="s">
        <v>46</v>
      </c>
      <c r="M9" s="114" t="s">
        <v>110</v>
      </c>
      <c r="N9" s="105" t="s">
        <v>79</v>
      </c>
      <c r="O9" s="28">
        <v>266616000</v>
      </c>
      <c r="P9" s="28"/>
      <c r="Q9" s="14">
        <f>O9</f>
        <v>266616000</v>
      </c>
      <c r="R9" s="46"/>
      <c r="S9" s="107"/>
      <c r="T9" s="44"/>
      <c r="U9" s="46"/>
      <c r="V9" s="48"/>
      <c r="W9" s="107"/>
      <c r="X9" s="107"/>
      <c r="Y9" s="108" t="s">
        <v>66</v>
      </c>
    </row>
    <row r="10" spans="2:26" s="49" customFormat="1" x14ac:dyDescent="0.45">
      <c r="B10" s="12"/>
      <c r="C10" s="11"/>
      <c r="D10" s="11" t="s">
        <v>8</v>
      </c>
      <c r="E10" s="12"/>
      <c r="F10" s="12"/>
      <c r="G10" s="12"/>
      <c r="H10" s="15" t="s">
        <v>57</v>
      </c>
      <c r="I10" s="15"/>
      <c r="J10" s="15" t="s">
        <v>80</v>
      </c>
      <c r="K10" s="15" t="s">
        <v>47</v>
      </c>
      <c r="L10" s="15" t="s">
        <v>89</v>
      </c>
      <c r="M10" s="56" t="s">
        <v>111</v>
      </c>
      <c r="N10" s="52" t="s">
        <v>79</v>
      </c>
      <c r="O10" s="41"/>
      <c r="P10" s="115"/>
      <c r="Q10" s="33"/>
      <c r="R10" s="98"/>
      <c r="S10" s="96"/>
      <c r="T10" s="97"/>
      <c r="U10" s="98"/>
      <c r="V10" s="12"/>
      <c r="W10" s="96"/>
      <c r="X10" s="96"/>
      <c r="Y10" s="99"/>
    </row>
    <row r="11" spans="2:26" ht="34" x14ac:dyDescent="0.45">
      <c r="B11" s="6"/>
      <c r="C11" s="1"/>
      <c r="D11" s="47" t="s">
        <v>8</v>
      </c>
      <c r="E11" s="48"/>
      <c r="F11" s="48"/>
      <c r="G11" s="48"/>
      <c r="H11" s="55" t="s">
        <v>87</v>
      </c>
      <c r="I11" s="55"/>
      <c r="J11" s="55" t="s">
        <v>80</v>
      </c>
      <c r="K11" s="55" t="s">
        <v>47</v>
      </c>
      <c r="L11" s="55" t="s">
        <v>46</v>
      </c>
      <c r="M11" s="114" t="s">
        <v>108</v>
      </c>
      <c r="N11" s="105" t="s">
        <v>79</v>
      </c>
      <c r="O11" s="28">
        <v>619175700</v>
      </c>
      <c r="P11" s="17">
        <f>O11</f>
        <v>619175700</v>
      </c>
      <c r="Q11" s="14"/>
      <c r="R11" s="46"/>
      <c r="S11" s="107"/>
      <c r="T11" s="44"/>
      <c r="U11" s="46"/>
      <c r="V11" s="48"/>
      <c r="W11" s="107"/>
      <c r="X11" s="107"/>
      <c r="Y11" s="108" t="s">
        <v>70</v>
      </c>
    </row>
    <row r="12" spans="2:26" ht="34" x14ac:dyDescent="0.45">
      <c r="B12" s="6"/>
      <c r="C12" s="1"/>
      <c r="D12" s="11" t="s">
        <v>30</v>
      </c>
      <c r="E12" s="12"/>
      <c r="F12" s="12"/>
      <c r="G12" s="12"/>
      <c r="H12" s="15" t="s">
        <v>85</v>
      </c>
      <c r="I12" s="15"/>
      <c r="J12" s="15" t="s">
        <v>80</v>
      </c>
      <c r="K12" s="15" t="s">
        <v>47</v>
      </c>
      <c r="L12" s="15" t="s">
        <v>89</v>
      </c>
      <c r="M12" s="68" t="s">
        <v>112</v>
      </c>
      <c r="N12" s="52" t="s">
        <v>88</v>
      </c>
      <c r="O12" s="16"/>
      <c r="P12" s="17"/>
      <c r="Q12" s="33"/>
      <c r="R12" s="42"/>
      <c r="S12" s="31"/>
      <c r="T12" s="32"/>
      <c r="U12" s="42"/>
      <c r="V12" s="6"/>
      <c r="W12" s="31"/>
      <c r="X12" s="31"/>
      <c r="Y12" s="62"/>
    </row>
    <row r="13" spans="2:26" ht="34" x14ac:dyDescent="0.45">
      <c r="B13" s="6"/>
      <c r="C13" s="1"/>
      <c r="D13" s="11" t="s">
        <v>30</v>
      </c>
      <c r="E13" s="12"/>
      <c r="F13" s="12"/>
      <c r="G13" s="12"/>
      <c r="H13" s="15" t="s">
        <v>86</v>
      </c>
      <c r="I13" s="15"/>
      <c r="J13" s="15" t="s">
        <v>80</v>
      </c>
      <c r="K13" s="15" t="s">
        <v>47</v>
      </c>
      <c r="L13" s="15" t="s">
        <v>46</v>
      </c>
      <c r="M13" s="68" t="s">
        <v>109</v>
      </c>
      <c r="N13" s="52" t="s">
        <v>88</v>
      </c>
      <c r="O13" s="16"/>
      <c r="P13" s="17"/>
      <c r="Q13" s="33"/>
      <c r="R13" s="42"/>
      <c r="S13" s="31"/>
      <c r="T13" s="32"/>
      <c r="U13" s="42"/>
      <c r="V13" s="6"/>
      <c r="W13" s="31"/>
      <c r="X13" s="31"/>
      <c r="Y13" s="62"/>
    </row>
    <row r="14" spans="2:26" x14ac:dyDescent="0.45">
      <c r="B14" s="12">
        <v>2</v>
      </c>
      <c r="C14" s="11" t="s">
        <v>27</v>
      </c>
      <c r="D14" s="80" t="s">
        <v>33</v>
      </c>
      <c r="E14" s="81"/>
      <c r="F14" s="81"/>
      <c r="G14" s="81"/>
      <c r="H14" s="82" t="s">
        <v>34</v>
      </c>
      <c r="I14" s="82" t="s">
        <v>91</v>
      </c>
      <c r="J14" s="82" t="s">
        <v>104</v>
      </c>
      <c r="K14" s="82" t="s">
        <v>48</v>
      </c>
      <c r="L14" s="82" t="s">
        <v>46</v>
      </c>
      <c r="M14" s="149" t="s">
        <v>127</v>
      </c>
      <c r="N14" s="83"/>
      <c r="O14" s="84">
        <v>188500000</v>
      </c>
      <c r="P14" s="85"/>
      <c r="Q14" s="84">
        <f>O14</f>
        <v>188500000</v>
      </c>
      <c r="R14" s="30"/>
      <c r="S14" s="31"/>
      <c r="T14" s="32"/>
      <c r="U14" s="41"/>
      <c r="V14" s="118"/>
      <c r="W14" s="31"/>
      <c r="X14" s="31"/>
      <c r="Y14" s="90" t="s">
        <v>126</v>
      </c>
      <c r="Z14" s="69"/>
    </row>
    <row r="15" spans="2:26" ht="51" x14ac:dyDescent="0.45">
      <c r="B15" s="6"/>
      <c r="C15" s="1"/>
      <c r="D15" s="4" t="s">
        <v>8</v>
      </c>
      <c r="E15" s="9"/>
      <c r="F15" s="12"/>
      <c r="G15" s="12"/>
      <c r="H15" s="10" t="s">
        <v>36</v>
      </c>
      <c r="I15" s="10"/>
      <c r="J15" s="10" t="s">
        <v>80</v>
      </c>
      <c r="K15" s="10" t="s">
        <v>47</v>
      </c>
      <c r="L15" s="10" t="s">
        <v>46</v>
      </c>
      <c r="M15" s="57" t="s">
        <v>129</v>
      </c>
      <c r="N15" s="68" t="s">
        <v>128</v>
      </c>
      <c r="O15" s="18">
        <v>294790700</v>
      </c>
      <c r="P15" s="18">
        <v>294790700</v>
      </c>
      <c r="Q15" s="14"/>
      <c r="R15" s="27">
        <f>SUM(S15:T15)</f>
        <v>294790700</v>
      </c>
      <c r="S15" s="19">
        <v>294790700</v>
      </c>
      <c r="T15" s="44"/>
      <c r="U15" s="46"/>
      <c r="V15" s="48"/>
      <c r="W15" s="13">
        <v>0</v>
      </c>
      <c r="X15" s="13">
        <f>S15-W15</f>
        <v>294790700</v>
      </c>
      <c r="Y15" s="61" t="s">
        <v>135</v>
      </c>
      <c r="Z15" s="70"/>
    </row>
    <row r="16" spans="2:26" x14ac:dyDescent="0.45">
      <c r="B16" s="6"/>
      <c r="C16" s="1"/>
      <c r="D16" s="80" t="s">
        <v>49</v>
      </c>
      <c r="E16" s="81"/>
      <c r="F16" s="81"/>
      <c r="G16" s="81"/>
      <c r="H16" s="82" t="s">
        <v>52</v>
      </c>
      <c r="I16" s="82" t="s">
        <v>92</v>
      </c>
      <c r="J16" s="82" t="s">
        <v>104</v>
      </c>
      <c r="K16" s="82" t="s">
        <v>48</v>
      </c>
      <c r="L16" s="82" t="s">
        <v>46</v>
      </c>
      <c r="M16" s="149" t="s">
        <v>127</v>
      </c>
      <c r="N16" s="83"/>
      <c r="O16" s="84">
        <v>97470000</v>
      </c>
      <c r="P16" s="84"/>
      <c r="Q16" s="84">
        <v>97470000</v>
      </c>
      <c r="R16" s="86"/>
      <c r="S16" s="87"/>
      <c r="T16" s="88"/>
      <c r="U16" s="89"/>
      <c r="V16" s="81"/>
      <c r="W16" s="87"/>
      <c r="X16" s="87"/>
      <c r="Y16" s="90"/>
      <c r="Z16" s="70"/>
    </row>
    <row r="17" spans="2:26" x14ac:dyDescent="0.45">
      <c r="B17" s="6"/>
      <c r="C17" s="1"/>
      <c r="D17" s="80" t="s">
        <v>49</v>
      </c>
      <c r="E17" s="81"/>
      <c r="F17" s="81"/>
      <c r="G17" s="81"/>
      <c r="H17" s="82" t="s">
        <v>56</v>
      </c>
      <c r="I17" s="82" t="s">
        <v>92</v>
      </c>
      <c r="J17" s="82" t="s">
        <v>104</v>
      </c>
      <c r="K17" s="82" t="s">
        <v>48</v>
      </c>
      <c r="L17" s="82" t="s">
        <v>46</v>
      </c>
      <c r="M17" s="149" t="s">
        <v>127</v>
      </c>
      <c r="N17" s="83"/>
      <c r="O17" s="84">
        <v>695290000</v>
      </c>
      <c r="P17" s="85"/>
      <c r="Q17" s="91">
        <f>O17</f>
        <v>695290000</v>
      </c>
      <c r="R17" s="86"/>
      <c r="S17" s="87"/>
      <c r="T17" s="88"/>
      <c r="U17" s="89"/>
      <c r="V17" s="81"/>
      <c r="W17" s="87"/>
      <c r="X17" s="87"/>
      <c r="Y17" s="90"/>
      <c r="Z17" s="70"/>
    </row>
    <row r="18" spans="2:26" x14ac:dyDescent="0.45">
      <c r="B18" s="6"/>
      <c r="C18" s="1"/>
      <c r="D18" s="11" t="s">
        <v>49</v>
      </c>
      <c r="E18" s="12"/>
      <c r="F18" s="12"/>
      <c r="G18" s="12"/>
      <c r="H18" s="15" t="s">
        <v>60</v>
      </c>
      <c r="I18" s="15" t="s">
        <v>92</v>
      </c>
      <c r="J18" s="15"/>
      <c r="K18" s="15" t="s">
        <v>48</v>
      </c>
      <c r="L18" s="15" t="s">
        <v>46</v>
      </c>
      <c r="M18" s="58"/>
      <c r="N18" s="51"/>
      <c r="O18" s="93"/>
      <c r="P18" s="94"/>
      <c r="Q18" s="33"/>
      <c r="R18" s="95"/>
      <c r="S18" s="96"/>
      <c r="T18" s="97"/>
      <c r="U18" s="98"/>
      <c r="V18" s="12"/>
      <c r="W18" s="96"/>
      <c r="X18" s="96"/>
      <c r="Y18" s="99"/>
      <c r="Z18" s="70"/>
    </row>
    <row r="19" spans="2:26" x14ac:dyDescent="0.45">
      <c r="B19" s="6"/>
      <c r="C19" s="1"/>
      <c r="D19" s="80" t="s">
        <v>49</v>
      </c>
      <c r="E19" s="81"/>
      <c r="F19" s="92">
        <v>45944</v>
      </c>
      <c r="G19" s="81"/>
      <c r="H19" s="82" t="s">
        <v>61</v>
      </c>
      <c r="I19" s="82" t="s">
        <v>92</v>
      </c>
      <c r="J19" s="82" t="s">
        <v>104</v>
      </c>
      <c r="K19" s="82" t="s">
        <v>48</v>
      </c>
      <c r="L19" s="82" t="s">
        <v>46</v>
      </c>
      <c r="M19" s="149" t="s">
        <v>127</v>
      </c>
      <c r="N19" s="83"/>
      <c r="O19" s="84">
        <v>64440000</v>
      </c>
      <c r="P19" s="85"/>
      <c r="Q19" s="85">
        <v>64440000</v>
      </c>
      <c r="R19" s="86"/>
      <c r="S19" s="87"/>
      <c r="T19" s="88"/>
      <c r="U19" s="89"/>
      <c r="V19" s="81"/>
      <c r="W19" s="87"/>
      <c r="X19" s="87"/>
      <c r="Y19" s="90"/>
      <c r="Z19" s="70"/>
    </row>
    <row r="20" spans="2:26" x14ac:dyDescent="0.45">
      <c r="B20" s="6"/>
      <c r="C20" s="1"/>
      <c r="D20" s="80" t="s">
        <v>49</v>
      </c>
      <c r="E20" s="81"/>
      <c r="F20" s="81"/>
      <c r="G20" s="81"/>
      <c r="H20" s="82" t="s">
        <v>62</v>
      </c>
      <c r="I20" s="82" t="s">
        <v>92</v>
      </c>
      <c r="J20" s="82" t="s">
        <v>104</v>
      </c>
      <c r="K20" s="82" t="s">
        <v>48</v>
      </c>
      <c r="L20" s="82" t="s">
        <v>46</v>
      </c>
      <c r="M20" s="149" t="s">
        <v>127</v>
      </c>
      <c r="N20" s="83"/>
      <c r="O20" s="84">
        <v>31310000</v>
      </c>
      <c r="P20" s="85"/>
      <c r="Q20" s="85">
        <v>31310000</v>
      </c>
      <c r="R20" s="86"/>
      <c r="S20" s="87"/>
      <c r="T20" s="88"/>
      <c r="U20" s="89"/>
      <c r="V20" s="81"/>
      <c r="W20" s="87"/>
      <c r="X20" s="87"/>
      <c r="Y20" s="90" t="s">
        <v>84</v>
      </c>
      <c r="Z20" s="70"/>
    </row>
    <row r="21" spans="2:26" x14ac:dyDescent="0.45">
      <c r="B21" s="6"/>
      <c r="C21" s="1"/>
      <c r="D21" s="80" t="s">
        <v>49</v>
      </c>
      <c r="E21" s="81"/>
      <c r="F21" s="81"/>
      <c r="G21" s="81"/>
      <c r="H21" s="82" t="s">
        <v>83</v>
      </c>
      <c r="I21" s="82" t="s">
        <v>92</v>
      </c>
      <c r="J21" s="82" t="s">
        <v>104</v>
      </c>
      <c r="K21" s="82" t="s">
        <v>48</v>
      </c>
      <c r="L21" s="82" t="s">
        <v>46</v>
      </c>
      <c r="M21" s="149" t="s">
        <v>127</v>
      </c>
      <c r="N21" s="83"/>
      <c r="O21" s="84">
        <v>13165000</v>
      </c>
      <c r="P21" s="85"/>
      <c r="Q21" s="85">
        <v>13165000</v>
      </c>
      <c r="R21" s="86"/>
      <c r="S21" s="87"/>
      <c r="T21" s="88"/>
      <c r="U21" s="89"/>
      <c r="V21" s="81"/>
      <c r="W21" s="87"/>
      <c r="X21" s="87"/>
      <c r="Y21" s="90"/>
      <c r="Z21" s="70"/>
    </row>
    <row r="22" spans="2:26" x14ac:dyDescent="0.45">
      <c r="B22" s="6"/>
      <c r="C22" s="1"/>
      <c r="D22" s="80" t="s">
        <v>50</v>
      </c>
      <c r="E22" s="100"/>
      <c r="F22" s="92">
        <v>45944</v>
      </c>
      <c r="G22" s="100"/>
      <c r="H22" s="82" t="s">
        <v>51</v>
      </c>
      <c r="I22" s="82" t="s">
        <v>92</v>
      </c>
      <c r="J22" s="82" t="s">
        <v>104</v>
      </c>
      <c r="K22" s="82" t="s">
        <v>48</v>
      </c>
      <c r="L22" s="82" t="s">
        <v>46</v>
      </c>
      <c r="M22" s="149" t="s">
        <v>127</v>
      </c>
      <c r="N22" s="101"/>
      <c r="O22" s="102">
        <v>179400000</v>
      </c>
      <c r="P22" s="103"/>
      <c r="Q22" s="103">
        <v>179400000</v>
      </c>
      <c r="R22" s="86"/>
      <c r="S22" s="87"/>
      <c r="T22" s="88"/>
      <c r="U22" s="89"/>
      <c r="V22" s="81"/>
      <c r="W22" s="87"/>
      <c r="X22" s="87"/>
      <c r="Y22" s="90" t="s">
        <v>69</v>
      </c>
      <c r="Z22" s="70"/>
    </row>
    <row r="23" spans="2:26" ht="34" x14ac:dyDescent="0.45">
      <c r="B23" s="6"/>
      <c r="C23" s="1"/>
      <c r="D23" s="55" t="s">
        <v>106</v>
      </c>
      <c r="E23" s="48"/>
      <c r="F23" s="48"/>
      <c r="G23" s="48"/>
      <c r="H23" s="55" t="s">
        <v>58</v>
      </c>
      <c r="I23" s="55"/>
      <c r="J23" s="55" t="s">
        <v>82</v>
      </c>
      <c r="K23" s="55" t="s">
        <v>48</v>
      </c>
      <c r="L23" s="55" t="s">
        <v>46</v>
      </c>
      <c r="M23" s="104" t="s">
        <v>142</v>
      </c>
      <c r="N23" s="105"/>
      <c r="O23" s="16">
        <v>547428000</v>
      </c>
      <c r="P23" s="17"/>
      <c r="Q23" s="17">
        <v>547428000</v>
      </c>
      <c r="R23" s="106"/>
      <c r="S23" s="29"/>
      <c r="T23" s="44"/>
      <c r="U23" s="46"/>
      <c r="V23" s="107"/>
      <c r="W23" s="107"/>
      <c r="X23" s="107"/>
      <c r="Y23" s="108"/>
    </row>
    <row r="24" spans="2:26" ht="34" x14ac:dyDescent="0.45">
      <c r="B24" s="6"/>
      <c r="C24" s="1"/>
      <c r="D24" s="11" t="s">
        <v>50</v>
      </c>
      <c r="E24" s="48"/>
      <c r="F24" s="48"/>
      <c r="G24" s="48"/>
      <c r="H24" s="15" t="s">
        <v>114</v>
      </c>
      <c r="I24" s="55"/>
      <c r="J24" s="15" t="s">
        <v>80</v>
      </c>
      <c r="K24" s="15" t="s">
        <v>48</v>
      </c>
      <c r="L24" s="15" t="s">
        <v>46</v>
      </c>
      <c r="M24" s="145" t="s">
        <v>118</v>
      </c>
      <c r="N24" s="105"/>
      <c r="O24" s="115"/>
      <c r="P24" s="115"/>
      <c r="Q24" s="33"/>
      <c r="R24" s="28"/>
      <c r="S24" s="29"/>
      <c r="T24" s="44"/>
      <c r="U24" s="46"/>
      <c r="V24" s="107"/>
      <c r="W24" s="107"/>
      <c r="X24" s="107"/>
      <c r="Y24" s="108"/>
    </row>
    <row r="25" spans="2:26" x14ac:dyDescent="0.45">
      <c r="B25" s="6"/>
      <c r="C25" s="1"/>
      <c r="D25" s="11" t="s">
        <v>50</v>
      </c>
      <c r="E25" s="48"/>
      <c r="F25" s="48"/>
      <c r="G25" s="48"/>
      <c r="H25" s="15" t="s">
        <v>115</v>
      </c>
      <c r="I25" s="55"/>
      <c r="J25" s="15" t="s">
        <v>80</v>
      </c>
      <c r="K25" s="15" t="s">
        <v>48</v>
      </c>
      <c r="L25" s="15" t="s">
        <v>46</v>
      </c>
      <c r="M25" s="145" t="s">
        <v>118</v>
      </c>
      <c r="N25" s="105"/>
      <c r="O25" s="115"/>
      <c r="P25" s="115"/>
      <c r="Q25" s="33"/>
      <c r="R25" s="28"/>
      <c r="S25" s="29"/>
      <c r="T25" s="44"/>
      <c r="U25" s="46"/>
      <c r="V25" s="107"/>
      <c r="W25" s="107"/>
      <c r="X25" s="107"/>
      <c r="Y25" s="108"/>
    </row>
    <row r="26" spans="2:26" x14ac:dyDescent="0.45">
      <c r="B26" s="6"/>
      <c r="C26" s="1"/>
      <c r="D26" s="11" t="s">
        <v>50</v>
      </c>
      <c r="E26" s="48"/>
      <c r="F26" s="48"/>
      <c r="G26" s="48"/>
      <c r="H26" s="15" t="s">
        <v>116</v>
      </c>
      <c r="I26" s="55"/>
      <c r="J26" s="15" t="s">
        <v>80</v>
      </c>
      <c r="K26" s="15" t="s">
        <v>48</v>
      </c>
      <c r="L26" s="15" t="s">
        <v>46</v>
      </c>
      <c r="M26" s="145" t="s">
        <v>118</v>
      </c>
      <c r="N26" s="105"/>
      <c r="O26" s="115"/>
      <c r="P26" s="115"/>
      <c r="Q26" s="33"/>
      <c r="R26" s="28"/>
      <c r="S26" s="29"/>
      <c r="T26" s="44"/>
      <c r="U26" s="46"/>
      <c r="V26" s="107"/>
      <c r="W26" s="107"/>
      <c r="X26" s="107"/>
      <c r="Y26" s="108"/>
    </row>
    <row r="27" spans="2:26" x14ac:dyDescent="0.45">
      <c r="B27" s="6"/>
      <c r="C27" s="1"/>
      <c r="D27" s="11" t="s">
        <v>50</v>
      </c>
      <c r="E27" s="48"/>
      <c r="F27" s="48"/>
      <c r="G27" s="48"/>
      <c r="H27" s="15" t="s">
        <v>117</v>
      </c>
      <c r="I27" s="55"/>
      <c r="J27" s="15" t="s">
        <v>80</v>
      </c>
      <c r="K27" s="15" t="s">
        <v>48</v>
      </c>
      <c r="L27" s="15" t="s">
        <v>46</v>
      </c>
      <c r="M27" s="145" t="s">
        <v>118</v>
      </c>
      <c r="N27" s="105"/>
      <c r="O27" s="115"/>
      <c r="P27" s="115"/>
      <c r="Q27" s="33"/>
      <c r="R27" s="28"/>
      <c r="S27" s="29"/>
      <c r="T27" s="44"/>
      <c r="U27" s="46"/>
      <c r="V27" s="107"/>
      <c r="W27" s="107"/>
      <c r="X27" s="107"/>
      <c r="Y27" s="108"/>
    </row>
    <row r="28" spans="2:26" ht="34" x14ac:dyDescent="0.45">
      <c r="B28" s="6"/>
      <c r="C28" s="1"/>
      <c r="D28" s="11" t="s">
        <v>50</v>
      </c>
      <c r="E28" s="48"/>
      <c r="F28" s="48"/>
      <c r="G28" s="48"/>
      <c r="H28" s="15" t="s">
        <v>113</v>
      </c>
      <c r="I28" s="15"/>
      <c r="J28" s="15" t="s">
        <v>80</v>
      </c>
      <c r="K28" s="15" t="s">
        <v>48</v>
      </c>
      <c r="L28" s="15" t="s">
        <v>46</v>
      </c>
      <c r="M28" s="145" t="s">
        <v>118</v>
      </c>
      <c r="N28" s="105"/>
      <c r="O28" s="115"/>
      <c r="P28" s="115"/>
      <c r="Q28" s="33"/>
      <c r="R28" s="28"/>
      <c r="S28" s="29"/>
      <c r="T28" s="44"/>
      <c r="U28" s="46"/>
      <c r="V28" s="107"/>
      <c r="W28" s="107"/>
      <c r="X28" s="107"/>
      <c r="Y28" s="108"/>
    </row>
    <row r="29" spans="2:26" x14ac:dyDescent="0.45">
      <c r="B29" s="1">
        <v>3</v>
      </c>
      <c r="C29" s="1" t="s">
        <v>119</v>
      </c>
      <c r="D29" s="11" t="s">
        <v>50</v>
      </c>
      <c r="E29" s="5"/>
      <c r="F29" s="5"/>
      <c r="G29" s="5"/>
      <c r="H29" s="15" t="s">
        <v>120</v>
      </c>
      <c r="I29" s="10"/>
      <c r="J29" s="15" t="s">
        <v>80</v>
      </c>
      <c r="K29" s="15" t="s">
        <v>48</v>
      </c>
      <c r="L29" s="15" t="s">
        <v>46</v>
      </c>
      <c r="M29" s="145" t="s">
        <v>121</v>
      </c>
      <c r="N29" s="10"/>
      <c r="O29" s="115"/>
      <c r="P29" s="115"/>
      <c r="Q29" s="33"/>
      <c r="R29" s="115"/>
      <c r="S29" s="115"/>
      <c r="T29" s="33"/>
      <c r="U29" s="93"/>
      <c r="V29" s="116"/>
      <c r="W29" s="94"/>
      <c r="X29" s="94"/>
      <c r="Y29" s="99"/>
    </row>
    <row r="30" spans="2:26" ht="51" x14ac:dyDescent="0.45">
      <c r="B30" s="1">
        <v>4</v>
      </c>
      <c r="C30" s="1" t="s">
        <v>5</v>
      </c>
      <c r="D30" s="10" t="s">
        <v>107</v>
      </c>
      <c r="E30" s="5"/>
      <c r="F30" s="5"/>
      <c r="G30" s="5"/>
      <c r="H30" s="10" t="s">
        <v>53</v>
      </c>
      <c r="I30" s="10"/>
      <c r="J30" s="10" t="s">
        <v>80</v>
      </c>
      <c r="K30" s="10" t="s">
        <v>47</v>
      </c>
      <c r="L30" s="7" t="s">
        <v>59</v>
      </c>
      <c r="M30" s="117" t="s">
        <v>132</v>
      </c>
      <c r="N30" s="150" t="s">
        <v>131</v>
      </c>
      <c r="O30" s="19">
        <v>18312700</v>
      </c>
      <c r="P30" s="19">
        <v>18312700</v>
      </c>
      <c r="Q30" s="21"/>
      <c r="R30" s="19">
        <v>18312700</v>
      </c>
      <c r="S30" s="19">
        <v>18312700</v>
      </c>
      <c r="T30" s="21"/>
      <c r="U30" s="26"/>
      <c r="V30" s="119"/>
      <c r="W30" s="13">
        <v>0</v>
      </c>
      <c r="X30" s="13">
        <f t="shared" ref="X30:X32" si="0">S30-W30</f>
        <v>18312700</v>
      </c>
      <c r="Y30" s="61" t="s">
        <v>138</v>
      </c>
    </row>
    <row r="31" spans="2:26" ht="34" x14ac:dyDescent="0.45">
      <c r="B31" s="11">
        <v>5</v>
      </c>
      <c r="C31" s="11" t="s">
        <v>55</v>
      </c>
      <c r="D31" s="4" t="s">
        <v>49</v>
      </c>
      <c r="E31" s="4" t="s">
        <v>63</v>
      </c>
      <c r="F31" s="50">
        <v>45925</v>
      </c>
      <c r="G31" s="50">
        <v>46053</v>
      </c>
      <c r="H31" s="10" t="s">
        <v>52</v>
      </c>
      <c r="I31" s="10"/>
      <c r="J31" s="10" t="s">
        <v>80</v>
      </c>
      <c r="K31" s="10" t="s">
        <v>48</v>
      </c>
      <c r="L31" s="10" t="s">
        <v>46</v>
      </c>
      <c r="M31" s="57" t="s">
        <v>134</v>
      </c>
      <c r="N31" s="71" t="s">
        <v>133</v>
      </c>
      <c r="O31" s="18">
        <v>24632800</v>
      </c>
      <c r="P31" s="19">
        <v>24632800</v>
      </c>
      <c r="Q31" s="45"/>
      <c r="R31" s="65">
        <v>24632800</v>
      </c>
      <c r="S31" s="19">
        <v>24632800</v>
      </c>
      <c r="T31" s="66"/>
      <c r="U31" s="67"/>
      <c r="V31" s="4"/>
      <c r="W31" s="19">
        <v>0</v>
      </c>
      <c r="X31" s="19">
        <f>S31-W31</f>
        <v>24632800</v>
      </c>
      <c r="Y31" s="61" t="s">
        <v>136</v>
      </c>
    </row>
    <row r="32" spans="2:26" ht="34" x14ac:dyDescent="0.45">
      <c r="B32" s="12">
        <v>6</v>
      </c>
      <c r="C32" s="11" t="s">
        <v>7</v>
      </c>
      <c r="D32" s="4" t="s">
        <v>30</v>
      </c>
      <c r="E32" s="10" t="s">
        <v>29</v>
      </c>
      <c r="F32" s="109"/>
      <c r="G32" s="109"/>
      <c r="H32" s="10" t="s">
        <v>9</v>
      </c>
      <c r="I32" s="10"/>
      <c r="J32" s="10" t="s">
        <v>80</v>
      </c>
      <c r="K32" s="10" t="s">
        <v>47</v>
      </c>
      <c r="L32" s="7" t="s">
        <v>46</v>
      </c>
      <c r="M32" s="110" t="s">
        <v>137</v>
      </c>
      <c r="N32" s="111"/>
      <c r="O32" s="26">
        <v>56000000</v>
      </c>
      <c r="P32" s="13">
        <v>56000000</v>
      </c>
      <c r="Q32" s="21"/>
      <c r="R32" s="27">
        <v>56000000</v>
      </c>
      <c r="S32" s="13">
        <v>56000000</v>
      </c>
      <c r="T32" s="21">
        <v>0</v>
      </c>
      <c r="U32" s="40"/>
      <c r="V32" s="5"/>
      <c r="W32" s="13">
        <v>0</v>
      </c>
      <c r="X32" s="13">
        <f t="shared" si="0"/>
        <v>56000000</v>
      </c>
      <c r="Y32" s="61" t="s">
        <v>139</v>
      </c>
    </row>
    <row r="33" spans="2:25" ht="34" hidden="1" x14ac:dyDescent="0.45">
      <c r="B33" s="6">
        <v>8</v>
      </c>
      <c r="C33" s="4" t="s">
        <v>73</v>
      </c>
      <c r="D33" s="4"/>
      <c r="E33" s="5"/>
      <c r="F33" s="5" t="s">
        <v>35</v>
      </c>
      <c r="G33" s="5" t="s">
        <v>35</v>
      </c>
      <c r="H33" s="10" t="s">
        <v>74</v>
      </c>
      <c r="I33" s="10"/>
      <c r="J33" s="10"/>
      <c r="K33" s="10" t="s">
        <v>47</v>
      </c>
      <c r="L33" s="10" t="s">
        <v>77</v>
      </c>
      <c r="M33" s="110" t="s">
        <v>78</v>
      </c>
      <c r="N33" s="111"/>
      <c r="O33" s="26"/>
      <c r="P33" s="13"/>
      <c r="Q33" s="21"/>
      <c r="R33" s="27"/>
      <c r="S33" s="13"/>
      <c r="T33" s="112"/>
      <c r="U33" s="40"/>
      <c r="V33" s="113"/>
      <c r="W33" s="113"/>
      <c r="X33" s="113"/>
      <c r="Y33" s="61"/>
    </row>
    <row r="34" spans="2:25" ht="34" hidden="1" x14ac:dyDescent="0.45">
      <c r="B34" s="6"/>
      <c r="C34" s="4"/>
      <c r="D34" s="4"/>
      <c r="E34" s="5"/>
      <c r="F34" s="5"/>
      <c r="G34" s="5"/>
      <c r="H34" s="10" t="s">
        <v>75</v>
      </c>
      <c r="I34" s="10"/>
      <c r="J34" s="10"/>
      <c r="K34" s="10" t="s">
        <v>47</v>
      </c>
      <c r="L34" s="10" t="s">
        <v>76</v>
      </c>
      <c r="M34" s="110" t="s">
        <v>78</v>
      </c>
      <c r="N34" s="111"/>
      <c r="O34" s="26"/>
      <c r="P34" s="13"/>
      <c r="Q34" s="21"/>
      <c r="R34" s="27"/>
      <c r="S34" s="13"/>
      <c r="T34" s="112"/>
      <c r="U34" s="40"/>
      <c r="V34" s="113"/>
      <c r="W34" s="113"/>
      <c r="X34" s="113"/>
      <c r="Y34" s="61"/>
    </row>
    <row r="35" spans="2:25" x14ac:dyDescent="0.45">
      <c r="B35" s="6">
        <v>8</v>
      </c>
      <c r="C35" s="11" t="s">
        <v>93</v>
      </c>
      <c r="D35" s="47" t="s">
        <v>30</v>
      </c>
      <c r="E35" s="48"/>
      <c r="F35" s="48"/>
      <c r="G35" s="48"/>
      <c r="H35" s="55" t="s">
        <v>140</v>
      </c>
      <c r="I35" s="55"/>
      <c r="J35" s="55" t="s">
        <v>82</v>
      </c>
      <c r="K35" s="55" t="s">
        <v>47</v>
      </c>
      <c r="L35" s="55" t="s">
        <v>46</v>
      </c>
      <c r="M35" s="104" t="s">
        <v>141</v>
      </c>
      <c r="N35" s="105"/>
      <c r="O35" s="16">
        <v>72080000</v>
      </c>
      <c r="P35" s="17"/>
      <c r="Q35" s="17">
        <v>72080000</v>
      </c>
      <c r="R35" s="106"/>
      <c r="S35" s="29"/>
      <c r="T35" s="44"/>
      <c r="U35" s="46"/>
      <c r="V35" s="107"/>
      <c r="W35" s="29"/>
      <c r="X35" s="29"/>
      <c r="Y35" s="108"/>
    </row>
    <row r="36" spans="2:25" x14ac:dyDescent="0.45">
      <c r="B36" s="1"/>
      <c r="C36" s="3" t="s">
        <v>13</v>
      </c>
      <c r="D36" s="1"/>
      <c r="E36" s="59"/>
      <c r="F36" s="11"/>
      <c r="G36" s="11"/>
      <c r="H36" s="54"/>
      <c r="I36" s="54"/>
      <c r="J36" s="54"/>
      <c r="K36" s="15" t="s">
        <v>35</v>
      </c>
      <c r="L36" s="15" t="s">
        <v>35</v>
      </c>
      <c r="M36" s="56"/>
      <c r="N36" s="52"/>
      <c r="O36" s="34">
        <f>SUM(O6:O35)</f>
        <v>3168610900</v>
      </c>
      <c r="P36" s="35">
        <f>SUM(P6:P35)</f>
        <v>1012911900</v>
      </c>
      <c r="Q36" s="36">
        <f>SUM(Q6:Q35)</f>
        <v>2155699000</v>
      </c>
      <c r="R36" s="37">
        <f>SUM(S36:T36)</f>
        <v>393736200</v>
      </c>
      <c r="S36" s="35">
        <f>SUM(S6:S35)</f>
        <v>393736200</v>
      </c>
      <c r="T36" s="36">
        <f>SUM(T6:T35)</f>
        <v>0</v>
      </c>
      <c r="U36" s="43"/>
      <c r="V36" s="1"/>
      <c r="W36" s="35">
        <f>SUM(W6:W35)</f>
        <v>0</v>
      </c>
      <c r="X36" s="35">
        <f>SUM(X6:X35)</f>
        <v>393736200</v>
      </c>
      <c r="Y36" s="54"/>
    </row>
    <row r="37" spans="2:25" x14ac:dyDescent="0.45">
      <c r="M37" s="64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2:25" ht="17.5" x14ac:dyDescent="0.45">
      <c r="C38" s="2"/>
      <c r="D38" s="120" t="s">
        <v>100</v>
      </c>
      <c r="E38" s="121"/>
      <c r="Y38" s="63"/>
    </row>
    <row r="39" spans="2:25" ht="17.5" x14ac:dyDescent="0.45">
      <c r="C39" s="2"/>
      <c r="D39" s="72" t="s">
        <v>102</v>
      </c>
      <c r="E39" s="73" t="s">
        <v>95</v>
      </c>
      <c r="R39" s="39" t="s">
        <v>18</v>
      </c>
      <c r="S39" s="8">
        <v>1200</v>
      </c>
    </row>
    <row r="40" spans="2:25" ht="17.5" x14ac:dyDescent="0.45">
      <c r="D40" s="74" t="s">
        <v>96</v>
      </c>
      <c r="E40" s="75" t="s">
        <v>97</v>
      </c>
      <c r="R40" s="39" t="s">
        <v>19</v>
      </c>
      <c r="S40" s="8">
        <v>1400</v>
      </c>
    </row>
    <row r="41" spans="2:25" ht="17.5" x14ac:dyDescent="0.45">
      <c r="D41" s="74" t="s">
        <v>103</v>
      </c>
      <c r="E41" s="78" t="s">
        <v>103</v>
      </c>
      <c r="R41" s="39"/>
      <c r="S41" s="8"/>
    </row>
    <row r="42" spans="2:25" ht="17.5" x14ac:dyDescent="0.45">
      <c r="D42" s="74" t="s">
        <v>104</v>
      </c>
      <c r="E42" s="79" t="s">
        <v>105</v>
      </c>
      <c r="R42" s="39"/>
      <c r="S42" s="8"/>
    </row>
    <row r="43" spans="2:25" ht="17.5" x14ac:dyDescent="0.45">
      <c r="D43" s="74" t="s">
        <v>101</v>
      </c>
      <c r="E43" s="77" t="s">
        <v>94</v>
      </c>
      <c r="R43" s="39" t="s">
        <v>20</v>
      </c>
      <c r="S43" s="8">
        <v>140</v>
      </c>
    </row>
    <row r="44" spans="2:25" ht="17.5" x14ac:dyDescent="0.45">
      <c r="D44" s="74" t="s">
        <v>98</v>
      </c>
      <c r="E44" s="76" t="s">
        <v>99</v>
      </c>
      <c r="R44" s="39" t="s">
        <v>21</v>
      </c>
      <c r="S44" s="8">
        <v>800</v>
      </c>
    </row>
    <row r="45" spans="2:25" x14ac:dyDescent="0.45">
      <c r="R45" s="39" t="s">
        <v>22</v>
      </c>
      <c r="S45" s="8">
        <v>830</v>
      </c>
    </row>
    <row r="46" spans="2:25" x14ac:dyDescent="0.45">
      <c r="R46" s="39" t="s">
        <v>23</v>
      </c>
      <c r="S46" s="8">
        <v>850</v>
      </c>
    </row>
    <row r="47" spans="2:25" x14ac:dyDescent="0.45">
      <c r="R47" s="39" t="s">
        <v>24</v>
      </c>
      <c r="S47" s="8">
        <v>160</v>
      </c>
    </row>
    <row r="48" spans="2:25" x14ac:dyDescent="0.45">
      <c r="R48" s="39" t="s">
        <v>25</v>
      </c>
      <c r="S48" s="8">
        <v>1700</v>
      </c>
    </row>
    <row r="49" spans="18:19" x14ac:dyDescent="0.45">
      <c r="R49" s="39" t="s">
        <v>26</v>
      </c>
      <c r="S49" s="8">
        <f>920/100</f>
        <v>9.1999999999999993</v>
      </c>
    </row>
  </sheetData>
  <mergeCells count="24">
    <mergeCell ref="B2:Y2"/>
    <mergeCell ref="B4:B5"/>
    <mergeCell ref="C4:C5"/>
    <mergeCell ref="D4:D5"/>
    <mergeCell ref="E4:E5"/>
    <mergeCell ref="H4:H5"/>
    <mergeCell ref="W4:W5"/>
    <mergeCell ref="X4:X5"/>
    <mergeCell ref="U4:U5"/>
    <mergeCell ref="V4:V5"/>
    <mergeCell ref="Y4:Y5"/>
    <mergeCell ref="K4:K5"/>
    <mergeCell ref="O4:Q4"/>
    <mergeCell ref="R4:T4"/>
    <mergeCell ref="D38:E38"/>
    <mergeCell ref="M4:M5"/>
    <mergeCell ref="N4:N5"/>
    <mergeCell ref="F4:F5"/>
    <mergeCell ref="G4:G5"/>
    <mergeCell ref="L4:L5"/>
    <mergeCell ref="J4:J5"/>
    <mergeCell ref="I4:I5"/>
    <mergeCell ref="N6:N8"/>
    <mergeCell ref="M6:M8"/>
  </mergeCells>
  <phoneticPr fontId="15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전략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cp:lastPrinted>2025-01-10T08:38:41Z</cp:lastPrinted>
  <dcterms:created xsi:type="dcterms:W3CDTF">2024-12-11T23:49:46Z</dcterms:created>
  <dcterms:modified xsi:type="dcterms:W3CDTF">2026-01-05T04:26:17Z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
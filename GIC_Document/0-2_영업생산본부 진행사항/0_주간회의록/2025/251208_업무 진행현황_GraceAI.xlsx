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2_영업생산본부 및 연구소 진행사항\0_주간회의록\"/>
    </mc:Choice>
  </mc:AlternateContent>
  <xr:revisionPtr revIDLastSave="0" documentId="13_ncr:1_{FFB98A78-8F87-4194-A3C7-C8B3AF5B28B7}" xr6:coauthVersionLast="47" xr6:coauthVersionMax="47" xr10:uidLastSave="{00000000-0000-0000-0000-000000000000}"/>
  <bookViews>
    <workbookView xWindow="-110" yWindow="-110" windowWidth="25820" windowHeight="15500" xr2:uid="{1589083E-8638-43ED-94E9-5FD63EBCF32C}"/>
  </bookViews>
  <sheets>
    <sheet name="2025년 전략_수정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6" i="2" l="1"/>
  <c r="O37" i="2" l="1"/>
  <c r="W32" i="2"/>
  <c r="X32" i="2" s="1"/>
  <c r="X17" i="2"/>
  <c r="R17" i="2"/>
  <c r="Q19" i="2"/>
  <c r="Q15" i="2" l="1"/>
  <c r="Q37" i="2" s="1"/>
  <c r="S28" i="2"/>
  <c r="X28" i="2" s="1"/>
  <c r="T37" i="2"/>
  <c r="P32" i="2"/>
  <c r="S37" i="2" l="1"/>
  <c r="R37" i="2" s="1"/>
  <c r="R29" i="2"/>
  <c r="W29" i="2"/>
  <c r="W37" i="2" s="1"/>
  <c r="X27" i="2"/>
  <c r="R27" i="2"/>
  <c r="X29" i="2" l="1"/>
  <c r="P30" i="2" l="1"/>
  <c r="P16" i="2"/>
  <c r="P14" i="2"/>
  <c r="P8" i="2"/>
  <c r="P7" i="2"/>
  <c r="P6" i="2"/>
  <c r="P37" i="2" l="1"/>
  <c r="X31" i="2"/>
  <c r="X30" i="2"/>
  <c r="X16" i="2"/>
  <c r="X14" i="2"/>
  <c r="X8" i="2"/>
  <c r="X7" i="2"/>
  <c r="X6" i="2"/>
  <c r="X37" i="2" l="1"/>
  <c r="R16" i="2"/>
  <c r="R31" i="2"/>
  <c r="R30" i="2"/>
  <c r="R14" i="2"/>
  <c r="R8" i="2"/>
  <c r="R7" i="2"/>
  <c r="R6" i="2"/>
  <c r="S48" i="2"/>
</calcChain>
</file>

<file path=xl/sharedStrings.xml><?xml version="1.0" encoding="utf-8"?>
<sst xmlns="http://schemas.openxmlformats.org/spreadsheetml/2006/main" count="274" uniqueCount="152">
  <si>
    <t>순</t>
    <phoneticPr fontId="1" type="noConversion"/>
  </si>
  <si>
    <t>국가</t>
    <phoneticPr fontId="1" type="noConversion"/>
  </si>
  <si>
    <t>고객</t>
    <phoneticPr fontId="1" type="noConversion"/>
  </si>
  <si>
    <t>비고</t>
    <phoneticPr fontId="1" type="noConversion"/>
  </si>
  <si>
    <t>프로젝트명</t>
    <phoneticPr fontId="1" type="noConversion"/>
  </si>
  <si>
    <t>인터모빌리티</t>
    <phoneticPr fontId="1" type="noConversion"/>
  </si>
  <si>
    <t>지아이씨</t>
  </si>
  <si>
    <t>다원시스</t>
  </si>
  <si>
    <t>홍콩</t>
    <phoneticPr fontId="1" type="noConversion"/>
  </si>
  <si>
    <t>7호선 3차분 TCMS 개조</t>
    <phoneticPr fontId="1" type="noConversion"/>
  </si>
  <si>
    <t>4호선 방송편집기 소프트웨어개발</t>
    <phoneticPr fontId="1" type="noConversion"/>
  </si>
  <si>
    <t>CSP24-0524-1</t>
  </si>
  <si>
    <t>CSP24-0913-1</t>
  </si>
  <si>
    <t>CSP24-0923-1</t>
  </si>
  <si>
    <t>총계</t>
    <phoneticPr fontId="1" type="noConversion"/>
  </si>
  <si>
    <t>수주금액</t>
    <phoneticPr fontId="1" type="noConversion"/>
  </si>
  <si>
    <t>제조원가</t>
    <phoneticPr fontId="1" type="noConversion"/>
  </si>
  <si>
    <t>손익(%)</t>
    <phoneticPr fontId="1" type="noConversion"/>
  </si>
  <si>
    <t>PO or RFQ no.</t>
    <phoneticPr fontId="1" type="noConversion"/>
  </si>
  <si>
    <t>USD</t>
    <phoneticPr fontId="1" type="noConversion"/>
  </si>
  <si>
    <t>Euro</t>
    <phoneticPr fontId="1" type="noConversion"/>
  </si>
  <si>
    <t>HKD</t>
    <phoneticPr fontId="1" type="noConversion"/>
  </si>
  <si>
    <t>SGD</t>
    <phoneticPr fontId="1" type="noConversion"/>
  </si>
  <si>
    <t>AUD</t>
    <phoneticPr fontId="1" type="noConversion"/>
  </si>
  <si>
    <t>NZD</t>
    <phoneticPr fontId="1" type="noConversion"/>
  </si>
  <si>
    <t>CNY</t>
    <phoneticPr fontId="1" type="noConversion"/>
  </si>
  <si>
    <t>GBP</t>
    <phoneticPr fontId="1" type="noConversion"/>
  </si>
  <si>
    <t>JPY</t>
    <phoneticPr fontId="1" type="noConversion"/>
  </si>
  <si>
    <t>현대로템</t>
    <phoneticPr fontId="1" type="noConversion"/>
  </si>
  <si>
    <t>EIDS 수리비 및 보수품</t>
    <phoneticPr fontId="1" type="noConversion"/>
  </si>
  <si>
    <t>구분</t>
    <phoneticPr fontId="1" type="noConversion"/>
  </si>
  <si>
    <t>DWE-2024-JUN-11-001</t>
  </si>
  <si>
    <t>DWE-2024-AUG-29-001</t>
  </si>
  <si>
    <t>한국</t>
    <phoneticPr fontId="1" type="noConversion"/>
  </si>
  <si>
    <t>MOP, MSR, CTM 생산</t>
    <phoneticPr fontId="1" type="noConversion"/>
  </si>
  <si>
    <t>MOP, MSR, CTM 3종에 대한 PCB</t>
    <phoneticPr fontId="1" type="noConversion"/>
  </si>
  <si>
    <t>말레이시아</t>
    <phoneticPr fontId="1" type="noConversion"/>
  </si>
  <si>
    <t>말레이시아 예비품</t>
    <phoneticPr fontId="1" type="noConversion"/>
  </si>
  <si>
    <t>홍콩 SW 및 AP, WIFI 점검 출장</t>
    <phoneticPr fontId="1" type="noConversion"/>
  </si>
  <si>
    <t>-</t>
    <phoneticPr fontId="1" type="noConversion"/>
  </si>
  <si>
    <t>HRCPO20250226-001</t>
    <phoneticPr fontId="1" type="noConversion"/>
  </si>
  <si>
    <t>신역사 KTU 추가
방송소프트웨어 업데이트</t>
    <phoneticPr fontId="1" type="noConversion"/>
  </si>
  <si>
    <t>입금 총액</t>
    <phoneticPr fontId="1" type="noConversion"/>
  </si>
  <si>
    <t>MSR PWR BOARD. FOR MSR.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</si>
  <si>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</si>
  <si>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</si>
  <si>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</si>
  <si>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2025년</t>
    <phoneticPr fontId="1" type="noConversion"/>
  </si>
  <si>
    <t>2026년</t>
    <phoneticPr fontId="1" type="noConversion"/>
  </si>
  <si>
    <t>전체</t>
    <phoneticPr fontId="1" type="noConversion"/>
  </si>
  <si>
    <t>2025년
잔금</t>
    <phoneticPr fontId="1" type="noConversion"/>
  </si>
  <si>
    <t>한국(현대자동차)</t>
    <phoneticPr fontId="1" type="noConversion"/>
  </si>
  <si>
    <t>담당</t>
    <phoneticPr fontId="1" type="noConversion"/>
  </si>
  <si>
    <t>장덕수</t>
    <phoneticPr fontId="1" type="noConversion"/>
  </si>
  <si>
    <t>강남궐</t>
    <phoneticPr fontId="1" type="noConversion"/>
  </si>
  <si>
    <t>김용종</t>
    <phoneticPr fontId="1" type="noConversion"/>
  </si>
  <si>
    <t>연구소</t>
    <phoneticPr fontId="1" type="noConversion"/>
  </si>
  <si>
    <t>영업/생산</t>
    <phoneticPr fontId="1" type="noConversion"/>
  </si>
  <si>
    <t>인도네시아</t>
    <phoneticPr fontId="1" type="noConversion"/>
  </si>
  <si>
    <t>튀르키예</t>
    <phoneticPr fontId="1" type="noConversion"/>
  </si>
  <si>
    <t>마르마라이 전동차 OPERATION PANEL</t>
    <phoneticPr fontId="1" type="noConversion"/>
  </si>
  <si>
    <t>이동진
김대양</t>
    <phoneticPr fontId="1" type="noConversion"/>
  </si>
  <si>
    <t>한국(POSCO)</t>
    <phoneticPr fontId="1" type="noConversion"/>
  </si>
  <si>
    <t>자카르타 경전철 방송장치 보드류 예비품</t>
    <phoneticPr fontId="1" type="noConversion"/>
  </si>
  <si>
    <t>동화에프에이</t>
    <phoneticPr fontId="1" type="noConversion"/>
  </si>
  <si>
    <t>통전 검사기 HW 개발</t>
    <phoneticPr fontId="1" type="noConversion"/>
  </si>
  <si>
    <t>POSCO TCMS 관련 통신보드 HW 개발</t>
  </si>
  <si>
    <t>SCL 333량 SALOON CAMERA</t>
    <phoneticPr fontId="1" type="noConversion"/>
  </si>
  <si>
    <t>통합통전검사기 개발</t>
    <phoneticPr fontId="1" type="noConversion"/>
  </si>
  <si>
    <t>지엠테크</t>
    <phoneticPr fontId="1" type="noConversion"/>
  </si>
  <si>
    <t>자카르타 경전철 TCMS 신규 개발</t>
    <phoneticPr fontId="1" type="noConversion"/>
  </si>
  <si>
    <t>TCL DRM 개조</t>
    <phoneticPr fontId="1" type="noConversion"/>
  </si>
  <si>
    <t>2024년 수주 이월 / 250910 중도금 30%(\81,000,000) 입금 완료</t>
    <phoneticPr fontId="1" type="noConversion"/>
  </si>
  <si>
    <t>인천공항공사</t>
    <phoneticPr fontId="1" type="noConversion"/>
  </si>
  <si>
    <t>자기부상열차 PAPIS</t>
    <phoneticPr fontId="1" type="noConversion"/>
  </si>
  <si>
    <t>김대양</t>
    <phoneticPr fontId="1" type="noConversion"/>
  </si>
  <si>
    <t>자카르타 경전철 CCTV 대체품</t>
    <phoneticPr fontId="1" type="noConversion"/>
  </si>
  <si>
    <t>자카르타 경전철 CTM 대체품</t>
    <phoneticPr fontId="1" type="noConversion"/>
  </si>
  <si>
    <t>자카르타 경전철 예비품_DRM 등</t>
    <phoneticPr fontId="1" type="noConversion"/>
  </si>
  <si>
    <t>OS02</t>
    <phoneticPr fontId="1" type="noConversion"/>
  </si>
  <si>
    <t>견적 or 계약일자</t>
    <phoneticPr fontId="1" type="noConversion"/>
  </si>
  <si>
    <t>납품일자</t>
    <phoneticPr fontId="1" type="noConversion"/>
  </si>
  <si>
    <t>251015 선수금 입금 완료</t>
    <phoneticPr fontId="1" type="noConversion"/>
  </si>
  <si>
    <t>251021 견적서 제출 완료</t>
    <phoneticPr fontId="1" type="noConversion"/>
  </si>
  <si>
    <t>진행사항</t>
    <phoneticPr fontId="1" type="noConversion"/>
  </si>
  <si>
    <t>지시사항</t>
    <phoneticPr fontId="1" type="noConversion"/>
  </si>
  <si>
    <t>완료</t>
    <phoneticPr fontId="1" type="noConversion"/>
  </si>
  <si>
    <t>2024년 수주 이월</t>
  </si>
  <si>
    <t>2024년 수주 이월 / 250808 대금 30%(\105,304,551) 입금 / 프로젝트 종료</t>
  </si>
  <si>
    <t>2024년 수주 이월 / 프로젝트 종료</t>
  </si>
  <si>
    <t/>
  </si>
  <si>
    <t>251002 예비 제안서 및 견적서 제출 요청</t>
  </si>
  <si>
    <t>250615 입금 완료 / 프로젝트 종료</t>
  </si>
  <si>
    <t>프로젝트 종료 / 실 출장 정산비용을 제조원가에 반영</t>
  </si>
  <si>
    <t>250930 PO 수신 / 251013 사명 변경 관련 서류 제출</t>
  </si>
  <si>
    <t>현대로템과 공동으로 시행청 협의 예정 (9월 3~4일)</t>
  </si>
  <si>
    <t>250711 계약 완료 / 250731 전자세금계산서 발급 / 250801 대금 입금 완료</t>
  </si>
  <si>
    <t>개발 자재대금 보전 성격 / 250807 계약 완료 / 입금 완료</t>
  </si>
  <si>
    <t>250728 계약 완료 / 250731 전자세금계산서 발급 / 250801 선금(30%) 지급 완료</t>
  </si>
  <si>
    <t>2025년 주식회사 지에이티 업무 진행현황</t>
    <phoneticPr fontId="1" type="noConversion"/>
  </si>
  <si>
    <t>진행사항 기술</t>
    <phoneticPr fontId="1" type="noConversion"/>
  </si>
  <si>
    <t>필요시 수정</t>
    <phoneticPr fontId="1" type="noConversion"/>
  </si>
  <si>
    <t>지에이티</t>
    <phoneticPr fontId="1" type="noConversion"/>
  </si>
  <si>
    <t>TCMS 독자모델</t>
    <phoneticPr fontId="1" type="noConversion"/>
  </si>
  <si>
    <t>PAPIS 독자모델</t>
    <phoneticPr fontId="1" type="noConversion"/>
  </si>
  <si>
    <t>강남궐
이동진</t>
    <phoneticPr fontId="1" type="noConversion"/>
  </si>
  <si>
    <t>강남궐
김용종</t>
    <phoneticPr fontId="1" type="noConversion"/>
  </si>
  <si>
    <t>완료</t>
    <phoneticPr fontId="1" type="noConversion"/>
  </si>
  <si>
    <t>향후 진행 방향 논의 필요</t>
    <phoneticPr fontId="1" type="noConversion"/>
  </si>
  <si>
    <t>MTR RFQ대기</t>
    <phoneticPr fontId="1" type="noConversion"/>
  </si>
  <si>
    <t>Proposal해야 함.</t>
    <phoneticPr fontId="1" type="noConversion"/>
  </si>
  <si>
    <t>유효기간지남</t>
    <phoneticPr fontId="1" type="noConversion"/>
  </si>
  <si>
    <t>진행</t>
    <phoneticPr fontId="1" type="noConversion"/>
  </si>
  <si>
    <t>완결</t>
    <phoneticPr fontId="1" type="noConversion"/>
  </si>
  <si>
    <t>대기</t>
    <phoneticPr fontId="1" type="noConversion"/>
  </si>
  <si>
    <t>포기</t>
    <phoneticPr fontId="1" type="noConversion"/>
  </si>
  <si>
    <t>유효지남</t>
    <phoneticPr fontId="1" type="noConversion"/>
  </si>
  <si>
    <t>자카르타 경전철 예비품_MVB Board</t>
    <phoneticPr fontId="1" type="noConversion"/>
  </si>
  <si>
    <t>TBD : DRM Control Board / PEI Ass'y Contorl Board</t>
    <phoneticPr fontId="1" type="noConversion"/>
  </si>
  <si>
    <t>TBD 2개 품목에 대하여 김재현 사장 및 강남궐 소장과 논의 필요</t>
    <phoneticPr fontId="1" type="noConversion"/>
  </si>
  <si>
    <t>은정일 책임에게 자재 등을 포함하여 시장상황이 변동된 것을 협의</t>
    <phoneticPr fontId="1" type="noConversion"/>
  </si>
  <si>
    <t>LRT 파워 노이즈 필터</t>
    <phoneticPr fontId="1" type="noConversion"/>
  </si>
  <si>
    <t>11월 11일, 로템에 견적 제출을 완료하였으며, 로템의 가격 조정 요청에 따라 DX와 견적 가격 협의 중</t>
    <phoneticPr fontId="1" type="noConversion"/>
  </si>
  <si>
    <t>PAPIS 모델</t>
    <phoneticPr fontId="1" type="noConversion"/>
  </si>
  <si>
    <t>TCMS 모델</t>
    <phoneticPr fontId="1" type="noConversion"/>
  </si>
  <si>
    <r>
      <rPr>
        <sz val="11"/>
        <rFont val="맑은 고딕"/>
        <family val="3"/>
        <charset val="129"/>
        <scheme val="minor"/>
      </rPr>
      <t>10월 22일, MTR진행사항에 있음.</t>
    </r>
    <r>
      <rPr>
        <sz val="11"/>
        <color rgb="FF00B050"/>
        <rFont val="맑은 고딕"/>
        <family val="3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>11월 27일, 현재 문제점정리요.</t>
    </r>
    <phoneticPr fontId="1" type="noConversion"/>
  </si>
  <si>
    <r>
      <t xml:space="preserve">10월 22일, 10월 21일 MTR에 제안서 제출 완료
</t>
    </r>
    <r>
      <rPr>
        <sz val="11"/>
        <color rgb="FFFF0000"/>
        <rFont val="맑은 고딕"/>
        <family val="3"/>
        <charset val="129"/>
        <scheme val="minor"/>
      </rPr>
      <t>11월 27일, MTR검토중에 있음.</t>
    </r>
    <phoneticPr fontId="1" type="noConversion"/>
  </si>
  <si>
    <r>
      <t xml:space="preserve">10월 22일, 10월 13일 MTR에 제안서 제출 완료
</t>
    </r>
    <r>
      <rPr>
        <sz val="11"/>
        <color rgb="FFFF0000"/>
        <rFont val="맑은 고딕"/>
        <family val="3"/>
        <charset val="129"/>
        <scheme val="minor"/>
      </rPr>
      <t>11월 27일, MTR제안서 제출완료.</t>
    </r>
    <phoneticPr fontId="1" type="noConversion"/>
  </si>
  <si>
    <r>
      <t xml:space="preserve">김종완 책임에게 자재 등을 포함하여 시장상황이 변동된 것을 협의
</t>
    </r>
    <r>
      <rPr>
        <sz val="11"/>
        <color rgb="FFFF0000"/>
        <rFont val="맑은 고딕"/>
        <family val="3"/>
        <charset val="129"/>
        <scheme val="minor"/>
      </rPr>
      <t>11월 27일, 디엑스 견적을 받아서 재견적할 것.</t>
    </r>
    <phoneticPr fontId="1" type="noConversion"/>
  </si>
  <si>
    <t>재검토요</t>
    <phoneticPr fontId="1" type="noConversion"/>
  </si>
  <si>
    <r>
      <t xml:space="preserve">기술적인 필요사항들을 정리하여 보고 예정
</t>
    </r>
    <r>
      <rPr>
        <sz val="11"/>
        <color rgb="FFFF0000"/>
        <rFont val="맑은 고딕"/>
        <family val="3"/>
        <charset val="129"/>
        <scheme val="minor"/>
      </rPr>
      <t>11월 27일, 제안서 및 예산을 통보해야 함. (MTR 11월 26일까지 요청했음)</t>
    </r>
    <phoneticPr fontId="1" type="noConversion"/>
  </si>
  <si>
    <t>1. MOP의 MS1과 MS2의 소프트웨어변경.
2. MSR Log file 관련보고서 작성.
3. 우진산전 NVR board분석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</si>
  <si>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11월 27일, 소프트웨어 확인할것.
</t>
    </r>
    <r>
      <rPr>
        <sz val="11"/>
        <color rgb="FF00B050"/>
        <rFont val="맑은 고딕"/>
        <family val="3"/>
        <charset val="129"/>
        <scheme val="minor"/>
      </rPr>
      <t>NVR, SSD, TCIU, 허브 S/W 준비중</t>
    </r>
    <phoneticPr fontId="1" type="noConversion"/>
  </si>
  <si>
    <r>
      <t xml:space="preserve">향후 방향의 보고서작성요.
</t>
    </r>
    <r>
      <rPr>
        <sz val="11"/>
        <color theme="1"/>
        <rFont val="맑은 고딕"/>
        <family val="3"/>
        <charset val="129"/>
        <scheme val="minor"/>
      </rPr>
      <t>독자모델 보고서 작성완료</t>
    </r>
    <phoneticPr fontId="1" type="noConversion"/>
  </si>
  <si>
    <r>
      <t xml:space="preserve">향후 방향의 보고서작성요.
</t>
    </r>
    <r>
      <rPr>
        <sz val="11"/>
        <color theme="1"/>
        <rFont val="맑은 고딕"/>
        <family val="3"/>
        <charset val="129"/>
        <scheme val="minor"/>
      </rPr>
      <t>하진전자와 미팅후 보고서 작성 예정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</si>
  <si>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11월 27일, 종결할것.
</t>
    </r>
    <r>
      <rPr>
        <sz val="11"/>
        <color theme="1"/>
        <rFont val="맑은 고딕"/>
        <family val="3"/>
        <charset val="129"/>
        <scheme val="minor"/>
      </rPr>
      <t>다원시스와 업무 종료 예정
TCMS 세트 반납후 후속 조치 완료
추진, 제어 시퀀스 분석 완료
S/W 분석 내용 정리중</t>
    </r>
    <phoneticPr fontId="1" type="noConversion"/>
  </si>
  <si>
    <t>NVR system interface</t>
    <phoneticPr fontId="1" type="noConversion"/>
  </si>
  <si>
    <t>Family tree 방식으로 작성</t>
    <phoneticPr fontId="1" type="noConversion"/>
  </si>
  <si>
    <t>MRT PID 보드 개발</t>
    <phoneticPr fontId="1" type="noConversion"/>
  </si>
  <si>
    <t>11월 27일, 로템에 견적 제출을 완료하였음</t>
    <phoneticPr fontId="1" type="noConversion"/>
  </si>
  <si>
    <t>이상영</t>
    <phoneticPr fontId="1" type="noConversion"/>
  </si>
  <si>
    <t>고객담당자</t>
    <phoneticPr fontId="1" type="noConversion"/>
  </si>
  <si>
    <t>김종완책임</t>
    <phoneticPr fontId="1" type="noConversion"/>
  </si>
  <si>
    <t>은정일책임</t>
    <phoneticPr fontId="1" type="noConversion"/>
  </si>
  <si>
    <t>주영복과장</t>
    <phoneticPr fontId="1" type="noConversion"/>
  </si>
  <si>
    <t>11월 13일, DX와 견적 가격 조정을 협의하였음
12월 4일, DX에서는 개발만, GAT에서는 생산을 맡는 것으로 협의를 진행하였음
12월 5일, 현대로템으로 견적서를 제출하였으며, 12월 8일 현대로템에서 인천공항으로 견적서를 전달하였음</t>
    <phoneticPr fontId="1" type="noConversion"/>
  </si>
  <si>
    <t>12월 4일, 홍콩 KTU 건과 묶어서 DX에서 용역 수행 계약 체결</t>
    <phoneticPr fontId="1" type="noConversion"/>
  </si>
  <si>
    <t>12월 4일, 다원시스 4호선 방송편집기 소프트웨어 개발 건과 묶어서 DX에서 용역 수행 계약 체결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</si>
  <si>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11월 27일, 완료보고서 작성할 것.
</t>
    </r>
    <r>
      <rPr>
        <sz val="11"/>
        <color rgb="FF00B050"/>
        <rFont val="맑은 고딕"/>
        <family val="3"/>
        <charset val="129"/>
        <scheme val="minor"/>
      </rPr>
      <t>아이리코에서 PCB 5대 입고 검사후 보드 발송
12월 5일, 포스코 현지 출장 (3차) - 출장 후 업무종결 예상</t>
    </r>
    <phoneticPr fontId="1" type="noConversion"/>
  </si>
  <si>
    <t>서울교통공사</t>
    <phoneticPr fontId="1" type="noConversion"/>
  </si>
  <si>
    <t>7호선 3차분 PIS-CSC 장치 수리</t>
  </si>
  <si>
    <t>251205 입금 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</si>
</sst>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_-&quot;₩&quot;* #,##0.0_-;\-&quot;₩&quot;* #,##0.0_-;_-&quot;₩&quot;* &quot;-&quot;?_-;_-@_-"/>
    <numFmt numFmtId="178" formatCode="yymmdd"/>
  </numFmts>
  <fonts count="1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2" fontId="10" fillId="0" borderId="4" xfId="0" applyNumberFormat="1" applyFont="1" applyBorder="1" applyAlignment="1">
      <alignment horizontal="center" vertical="center"/>
    </xf>
    <xf numFmtId="42" fontId="4" fillId="0" borderId="4" xfId="0" applyNumberFormat="1" applyFont="1" applyBorder="1" applyAlignment="1">
      <alignment horizontal="center" vertical="center"/>
    </xf>
    <xf numFmtId="10" fontId="13" fillId="0" borderId="4" xfId="1" applyNumberFormat="1" applyFont="1" applyBorder="1" applyAlignment="1">
      <alignment horizontal="center" vertical="center"/>
    </xf>
    <xf numFmtId="42" fontId="3" fillId="0" borderId="9" xfId="0" applyNumberFormat="1" applyFont="1" applyBorder="1" applyAlignment="1">
      <alignment horizontal="center" vertical="center"/>
    </xf>
    <xf numFmtId="42" fontId="10" fillId="0" borderId="9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2" fontId="3" fillId="0" borderId="2" xfId="0" applyNumberFormat="1" applyFont="1" applyBorder="1" applyAlignment="1">
      <alignment horizontal="center" vertical="center"/>
    </xf>
    <xf numFmtId="42" fontId="3" fillId="0" borderId="1" xfId="0" applyNumberFormat="1" applyFont="1" applyBorder="1" applyAlignment="1">
      <alignment horizontal="center" vertical="center"/>
    </xf>
    <xf numFmtId="42" fontId="4" fillId="0" borderId="2" xfId="0" applyNumberFormat="1" applyFont="1" applyBorder="1" applyAlignment="1">
      <alignment horizontal="center" vertical="center"/>
    </xf>
    <xf numFmtId="42" fontId="4" fillId="0" borderId="1" xfId="0" applyNumberFormat="1" applyFont="1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4" fillId="0" borderId="9" xfId="0" applyNumberFormat="1" applyFont="1" applyBorder="1" applyAlignment="1">
      <alignment horizontal="center" vertical="center"/>
    </xf>
    <xf numFmtId="42" fontId="12" fillId="0" borderId="2" xfId="0" applyNumberFormat="1" applyFont="1" applyBorder="1" applyAlignment="1">
      <alignment horizontal="center" vertical="center"/>
    </xf>
    <xf numFmtId="42" fontId="12" fillId="0" borderId="1" xfId="0" applyNumberFormat="1" applyFont="1" applyBorder="1" applyAlignment="1">
      <alignment horizontal="center" vertical="center"/>
    </xf>
    <xf numFmtId="42" fontId="12" fillId="0" borderId="7" xfId="0" applyNumberFormat="1" applyFont="1" applyBorder="1" applyAlignment="1">
      <alignment horizontal="center" vertical="center"/>
    </xf>
    <xf numFmtId="42" fontId="12" fillId="0" borderId="6" xfId="0" applyNumberFormat="1" applyFont="1" applyBorder="1" applyAlignment="1">
      <alignment horizontal="center" vertical="center"/>
    </xf>
    <xf numFmtId="42" fontId="4" fillId="0" borderId="5" xfId="0" applyNumberFormat="1" applyFont="1" applyBorder="1" applyAlignment="1">
      <alignment horizontal="center" vertical="center"/>
    </xf>
    <xf numFmtId="42" fontId="4" fillId="0" borderId="8" xfId="0" applyNumberFormat="1" applyFont="1" applyBorder="1" applyAlignment="1">
      <alignment horizontal="center" vertical="center"/>
    </xf>
    <xf numFmtId="42" fontId="3" fillId="0" borderId="5" xfId="0" applyNumberFormat="1" applyFont="1" applyBorder="1" applyAlignment="1">
      <alignment horizontal="center" vertical="center"/>
    </xf>
    <xf numFmtId="42" fontId="3" fillId="0" borderId="4" xfId="0" applyNumberFormat="1" applyFont="1" applyBorder="1" applyAlignment="1">
      <alignment horizontal="center" vertical="center"/>
    </xf>
    <xf numFmtId="42" fontId="0" fillId="0" borderId="8" xfId="0" applyNumberFormat="1" applyBorder="1" applyAlignment="1">
      <alignment horizontal="center" vertical="center"/>
    </xf>
    <xf numFmtId="42" fontId="0" fillId="0" borderId="4" xfId="0" applyNumberFormat="1" applyBorder="1" applyAlignment="1">
      <alignment horizontal="center" vertical="center"/>
    </xf>
    <xf numFmtId="42" fontId="0" fillId="0" borderId="9" xfId="0" applyNumberFormat="1" applyBorder="1" applyAlignment="1">
      <alignment horizontal="center" vertical="center"/>
    </xf>
    <xf numFmtId="42" fontId="13" fillId="0" borderId="9" xfId="0" applyNumberFormat="1" applyFont="1" applyBorder="1" applyAlignment="1">
      <alignment horizontal="center" vertical="center"/>
    </xf>
    <xf numFmtId="42" fontId="0" fillId="2" borderId="2" xfId="0" applyNumberFormat="1" applyFill="1" applyBorder="1" applyAlignment="1">
      <alignment horizontal="center" vertical="center"/>
    </xf>
    <xf numFmtId="42" fontId="0" fillId="2" borderId="1" xfId="0" applyNumberFormat="1" applyFill="1" applyBorder="1" applyAlignment="1">
      <alignment horizontal="center" vertical="center"/>
    </xf>
    <xf numFmtId="42" fontId="0" fillId="2" borderId="7" xfId="0" applyNumberFormat="1" applyFill="1" applyBorder="1" applyAlignment="1">
      <alignment horizontal="center" vertical="center"/>
    </xf>
    <xf numFmtId="42" fontId="0" fillId="2" borderId="6" xfId="0" applyNumberFormat="1" applyFill="1" applyBorder="1" applyAlignment="1">
      <alignment horizontal="center" vertical="center"/>
    </xf>
    <xf numFmtId="42" fontId="0" fillId="0" borderId="0" xfId="1" applyNumberFormat="1" applyFont="1" applyAlignment="1">
      <alignment horizontal="center" vertical="center"/>
    </xf>
    <xf numFmtId="42" fontId="0" fillId="0" borderId="1" xfId="0" applyNumberFormat="1" applyBorder="1" applyAlignment="1">
      <alignment horizontal="center" vertical="center"/>
    </xf>
    <xf numFmtId="42" fontId="5" fillId="0" borderId="5" xfId="0" applyNumberFormat="1" applyFont="1" applyBorder="1" applyAlignment="1">
      <alignment horizontal="center" vertical="center"/>
    </xf>
    <xf numFmtId="42" fontId="13" fillId="0" borderId="2" xfId="0" applyNumberFormat="1" applyFont="1" applyBorder="1" applyAlignment="1">
      <alignment horizontal="center" vertical="center"/>
    </xf>
    <xf numFmtId="42" fontId="0" fillId="0" borderId="5" xfId="0" applyNumberFormat="1" applyBorder="1" applyAlignment="1">
      <alignment horizontal="center" vertical="center"/>
    </xf>
    <xf numFmtId="42" fontId="0" fillId="0" borderId="2" xfId="0" applyNumberFormat="1" applyBorder="1" applyAlignment="1">
      <alignment horizontal="center" vertical="center"/>
    </xf>
    <xf numFmtId="42" fontId="11" fillId="0" borderId="9" xfId="0" applyNumberFormat="1" applyFont="1" applyBorder="1" applyAlignment="1">
      <alignment horizontal="center" vertical="center"/>
    </xf>
    <xf numFmtId="42" fontId="4" fillId="0" borderId="7" xfId="0" applyNumberFormat="1" applyFont="1" applyBorder="1" applyAlignment="1">
      <alignment horizontal="center" vertical="center"/>
    </xf>
    <xf numFmtId="42" fontId="13" fillId="0" borderId="7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42" fontId="11" fillId="0" borderId="5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178" fontId="11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42" fontId="4" fillId="0" borderId="6" xfId="0" applyNumberFormat="1" applyFont="1" applyBorder="1" applyAlignment="1">
      <alignment horizontal="center" vertical="center"/>
    </xf>
    <xf numFmtId="42" fontId="5" fillId="0" borderId="7" xfId="0" applyNumberFormat="1" applyFont="1" applyBorder="1" applyAlignment="1">
      <alignment horizontal="center"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17" fillId="0" borderId="0" xfId="0" applyFont="1">
      <alignment vertical="center"/>
    </xf>
    <xf numFmtId="0" fontId="8" fillId="0" borderId="0" xfId="0" applyFont="1">
      <alignment vertical="center"/>
    </xf>
    <xf numFmtId="0" fontId="5" fillId="0" borderId="3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42" fontId="12" fillId="0" borderId="3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 applyAlignment="1">
      <alignment horizontal="center" vertical="center"/>
    </xf>
    <xf numFmtId="42" fontId="12" fillId="0" borderId="10" xfId="0" applyNumberFormat="1" applyFont="1" applyBorder="1" applyAlignment="1">
      <alignment horizontal="center" vertical="center" wrapText="1"/>
    </xf>
    <xf numFmtId="42" fontId="12" fillId="0" borderId="5" xfId="0" applyNumberFormat="1" applyFont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42" fontId="12" fillId="0" borderId="2" xfId="0" applyNumberFormat="1" applyFont="1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0" fillId="0" borderId="7" xfId="0" applyNumberFormat="1" applyBorder="1" applyAlignment="1">
      <alignment horizontal="center" vertical="center" wrapText="1"/>
    </xf>
    <xf numFmtId="42" fontId="12" fillId="0" borderId="6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0EAF-DD20-40EF-80D2-86F8DD063C12}">
  <dimension ref="A2:Z48"/>
  <sheetViews>
    <sheetView tabSelected="1" zoomScaleNormal="100" workbookViewId="0">
      <pane xSplit="3" ySplit="5" topLeftCell="D18" activePane="bottomRight" state="frozen"/>
      <selection pane="topRight" activeCell="E1" sqref="E1"/>
      <selection pane="bottomLeft" activeCell="A6" sqref="A6"/>
      <selection pane="bottomRight" activeCell="D25" sqref="D25"/>
    </sheetView>
  </sheetViews>
  <sheetFormatPr defaultRowHeight="17" outlineLevelCol="1"/>
  <cols>
    <col min="1" max="1" width="3.5" customWidth="1"/>
    <col min="2" max="2" width="3.83203125" bestFit="1" customWidth="1"/>
    <col min="3" max="3" width="13" bestFit="1" customWidth="1"/>
    <col min="4" max="4" width="20.6640625" customWidth="1"/>
    <col min="5" max="5" width="21.83203125" hidden="1" customWidth="1" outlineLevel="1"/>
    <col min="6" max="6" width="10.83203125" style="59" hidden="1" customWidth="1" outlineLevel="1"/>
    <col min="7" max="7" width="10.6640625" style="59" hidden="1" customWidth="1" outlineLevel="1"/>
    <col min="8" max="8" width="38.1640625" customWidth="1" collapsed="1"/>
    <col min="9" max="9" width="13.25" customWidth="1"/>
    <col min="10" max="10" width="11.25" customWidth="1"/>
    <col min="11" max="12" width="12.1640625" bestFit="1" customWidth="1"/>
    <col min="13" max="13" width="35.33203125" customWidth="1"/>
    <col min="14" max="14" width="27" customWidth="1"/>
    <col min="15" max="16" width="17.5" style="26" hidden="1" customWidth="1" outlineLevel="1"/>
    <col min="17" max="17" width="15.1640625" style="26" hidden="1" customWidth="1" outlineLevel="1"/>
    <col min="18" max="19" width="17.5" style="26" hidden="1" customWidth="1" outlineLevel="1"/>
    <col min="20" max="21" width="15.1640625" style="26" hidden="1" customWidth="1" outlineLevel="1"/>
    <col min="22" max="22" width="15.1640625" style="2" hidden="1" customWidth="1" outlineLevel="1"/>
    <col min="23" max="24" width="15.1640625" style="26" hidden="1" customWidth="1" outlineLevel="1"/>
    <col min="25" max="25" width="50.75" style="77" hidden="1" customWidth="1" outlineLevel="1" collapsed="1"/>
    <col min="26" max="26" width="8.6640625" collapsed="1"/>
  </cols>
  <sheetData>
    <row r="2" spans="2:26" ht="36">
      <c r="B2" s="91" t="s">
        <v>99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</row>
    <row r="3" spans="2:26">
      <c r="K3" s="65" t="s">
        <v>101</v>
      </c>
      <c r="L3" s="65" t="s">
        <v>101</v>
      </c>
      <c r="M3" s="65" t="s">
        <v>100</v>
      </c>
    </row>
    <row r="4" spans="2:26" ht="16.5" customHeight="1">
      <c r="B4" s="92" t="s">
        <v>0</v>
      </c>
      <c r="C4" s="92" t="s">
        <v>2</v>
      </c>
      <c r="D4" s="92" t="s">
        <v>1</v>
      </c>
      <c r="E4" s="92" t="s">
        <v>18</v>
      </c>
      <c r="F4" s="106" t="s">
        <v>80</v>
      </c>
      <c r="G4" s="108" t="s">
        <v>81</v>
      </c>
      <c r="H4" s="94" t="s">
        <v>4</v>
      </c>
      <c r="I4" s="94" t="s">
        <v>141</v>
      </c>
      <c r="J4" s="94" t="s">
        <v>112</v>
      </c>
      <c r="K4" s="100" t="s">
        <v>30</v>
      </c>
      <c r="L4" s="100" t="s">
        <v>52</v>
      </c>
      <c r="M4" s="100" t="s">
        <v>84</v>
      </c>
      <c r="N4" s="106" t="s">
        <v>85</v>
      </c>
      <c r="O4" s="102" t="s">
        <v>44</v>
      </c>
      <c r="P4" s="103"/>
      <c r="Q4" s="104"/>
      <c r="R4" s="105" t="s">
        <v>15</v>
      </c>
      <c r="S4" s="103"/>
      <c r="T4" s="104"/>
      <c r="U4" s="98" t="s">
        <v>16</v>
      </c>
      <c r="V4" s="94" t="s">
        <v>17</v>
      </c>
      <c r="W4" s="96" t="s">
        <v>42</v>
      </c>
      <c r="X4" s="96" t="s">
        <v>50</v>
      </c>
      <c r="Y4" s="94" t="s">
        <v>3</v>
      </c>
    </row>
    <row r="5" spans="2:26">
      <c r="B5" s="93"/>
      <c r="C5" s="93"/>
      <c r="D5" s="93"/>
      <c r="E5" s="93"/>
      <c r="F5" s="107"/>
      <c r="G5" s="109"/>
      <c r="H5" s="95"/>
      <c r="I5" s="95"/>
      <c r="J5" s="110"/>
      <c r="K5" s="101"/>
      <c r="L5" s="101"/>
      <c r="M5" s="101"/>
      <c r="N5" s="107"/>
      <c r="O5" s="28" t="s">
        <v>49</v>
      </c>
      <c r="P5" s="29" t="s">
        <v>45</v>
      </c>
      <c r="Q5" s="30" t="s">
        <v>46</v>
      </c>
      <c r="R5" s="31" t="s">
        <v>49</v>
      </c>
      <c r="S5" s="29" t="s">
        <v>47</v>
      </c>
      <c r="T5" s="30" t="s">
        <v>48</v>
      </c>
      <c r="U5" s="99"/>
      <c r="V5" s="93"/>
      <c r="W5" s="97"/>
      <c r="X5" s="97"/>
      <c r="Y5" s="95"/>
    </row>
    <row r="6" spans="2:26">
      <c r="B6" s="5">
        <v>1</v>
      </c>
      <c r="C6" s="4" t="s">
        <v>6</v>
      </c>
      <c r="D6" s="5" t="s">
        <v>8</v>
      </c>
      <c r="E6" s="5" t="s">
        <v>11</v>
      </c>
      <c r="F6" s="14"/>
      <c r="G6" s="14"/>
      <c r="H6" s="12" t="s">
        <v>34</v>
      </c>
      <c r="I6" s="12"/>
      <c r="J6" s="12" t="s">
        <v>112</v>
      </c>
      <c r="K6" s="12" t="s">
        <v>57</v>
      </c>
      <c r="L6" s="12" t="s">
        <v>53</v>
      </c>
      <c r="M6" s="88" t="s">
        <v>125</v>
      </c>
      <c r="N6" s="88" t="s">
        <v>131</v>
      </c>
      <c r="O6" s="32">
        <v>245497525</v>
      </c>
      <c r="P6" s="16">
        <f>O6</f>
        <v>245497525</v>
      </c>
      <c r="Q6" s="27"/>
      <c r="R6" s="33">
        <f>SUM(S6:T6)</f>
        <v>245497525</v>
      </c>
      <c r="S6" s="16">
        <v>245497525</v>
      </c>
      <c r="T6" s="18">
        <v>0</v>
      </c>
      <c r="U6" s="46"/>
      <c r="V6" s="5"/>
      <c r="W6" s="16">
        <v>110026902</v>
      </c>
      <c r="X6" s="16">
        <f>S6-W6</f>
        <v>135470623</v>
      </c>
      <c r="Y6" s="78" t="s">
        <v>87</v>
      </c>
    </row>
    <row r="7" spans="2:26" ht="34">
      <c r="B7" s="5"/>
      <c r="C7" s="4"/>
      <c r="D7" s="5" t="s">
        <v>8</v>
      </c>
      <c r="E7" s="5" t="s">
        <v>12</v>
      </c>
      <c r="F7" s="14"/>
      <c r="G7" s="14"/>
      <c r="H7" s="12" t="s">
        <v>35</v>
      </c>
      <c r="I7" s="12"/>
      <c r="J7" s="12" t="s">
        <v>113</v>
      </c>
      <c r="K7" s="12" t="s">
        <v>57</v>
      </c>
      <c r="L7" s="12" t="s">
        <v>53</v>
      </c>
      <c r="M7" s="89"/>
      <c r="N7" s="89"/>
      <c r="O7" s="32">
        <v>105304551</v>
      </c>
      <c r="P7" s="16">
        <f t="shared" ref="P7:P8" si="0">O7</f>
        <v>105304551</v>
      </c>
      <c r="Q7" s="27"/>
      <c r="R7" s="33">
        <f t="shared" ref="R7:R8" si="1">SUM(S7:T7)</f>
        <v>105304551</v>
      </c>
      <c r="S7" s="16">
        <v>105304551</v>
      </c>
      <c r="T7" s="18">
        <v>0</v>
      </c>
      <c r="U7" s="47"/>
      <c r="V7" s="5"/>
      <c r="W7" s="16">
        <v>105304551</v>
      </c>
      <c r="X7" s="16">
        <f>S7-W7</f>
        <v>0</v>
      </c>
      <c r="Y7" s="78" t="s">
        <v>88</v>
      </c>
    </row>
    <row r="8" spans="2:26">
      <c r="B8" s="5"/>
      <c r="C8" s="4"/>
      <c r="D8" s="5" t="s">
        <v>8</v>
      </c>
      <c r="E8" s="5" t="s">
        <v>13</v>
      </c>
      <c r="F8" s="14"/>
      <c r="G8" s="14"/>
      <c r="H8" s="12" t="s">
        <v>43</v>
      </c>
      <c r="I8" s="12"/>
      <c r="J8" s="12" t="s">
        <v>113</v>
      </c>
      <c r="K8" s="12" t="s">
        <v>57</v>
      </c>
      <c r="L8" s="12" t="s">
        <v>53</v>
      </c>
      <c r="M8" s="90"/>
      <c r="N8" s="90"/>
      <c r="O8" s="32">
        <v>44433600</v>
      </c>
      <c r="P8" s="16">
        <f t="shared" si="0"/>
        <v>44433600</v>
      </c>
      <c r="Q8" s="27"/>
      <c r="R8" s="33">
        <f t="shared" si="1"/>
        <v>44433600</v>
      </c>
      <c r="S8" s="16">
        <v>44433600</v>
      </c>
      <c r="T8" s="18">
        <v>0</v>
      </c>
      <c r="U8" s="47"/>
      <c r="V8" s="5"/>
      <c r="W8" s="16">
        <v>44433600</v>
      </c>
      <c r="X8" s="16">
        <f>S8-W8</f>
        <v>0</v>
      </c>
      <c r="Y8" s="78" t="s">
        <v>89</v>
      </c>
    </row>
    <row r="9" spans="2:26" ht="51">
      <c r="B9" s="6"/>
      <c r="C9" s="1"/>
      <c r="D9" s="55" t="s">
        <v>8</v>
      </c>
      <c r="E9" s="56"/>
      <c r="F9" s="14"/>
      <c r="G9" s="14"/>
      <c r="H9" s="67" t="s">
        <v>67</v>
      </c>
      <c r="I9" s="67"/>
      <c r="J9" s="67" t="s">
        <v>114</v>
      </c>
      <c r="K9" s="21" t="s">
        <v>56</v>
      </c>
      <c r="L9" s="21" t="s">
        <v>53</v>
      </c>
      <c r="M9" s="69" t="s">
        <v>126</v>
      </c>
      <c r="N9" s="62" t="s">
        <v>109</v>
      </c>
      <c r="O9" s="34">
        <v>266616000</v>
      </c>
      <c r="P9" s="34">
        <v>266616000</v>
      </c>
      <c r="Q9" s="39"/>
      <c r="R9" s="48"/>
      <c r="S9" s="37"/>
      <c r="T9" s="38"/>
      <c r="U9" s="48"/>
      <c r="V9" s="6"/>
      <c r="W9" s="37"/>
      <c r="X9" s="37"/>
      <c r="Y9" s="78" t="s">
        <v>83</v>
      </c>
    </row>
    <row r="10" spans="2:26" ht="51">
      <c r="B10" s="6"/>
      <c r="C10" s="1"/>
      <c r="D10" s="55" t="s">
        <v>8</v>
      </c>
      <c r="E10" s="56"/>
      <c r="F10" s="14"/>
      <c r="G10" s="14"/>
      <c r="H10" s="67" t="s">
        <v>71</v>
      </c>
      <c r="I10" s="67"/>
      <c r="J10" s="67" t="s">
        <v>112</v>
      </c>
      <c r="K10" s="21" t="s">
        <v>56</v>
      </c>
      <c r="L10" s="21" t="s">
        <v>140</v>
      </c>
      <c r="M10" s="69" t="s">
        <v>127</v>
      </c>
      <c r="N10" s="63" t="s">
        <v>109</v>
      </c>
      <c r="O10" s="22"/>
      <c r="P10" s="23"/>
      <c r="Q10" s="39"/>
      <c r="R10" s="48"/>
      <c r="S10" s="37"/>
      <c r="T10" s="38"/>
      <c r="U10" s="48"/>
      <c r="V10" s="6"/>
      <c r="W10" s="37"/>
      <c r="X10" s="37"/>
      <c r="Y10" s="78"/>
    </row>
    <row r="11" spans="2:26" ht="68">
      <c r="B11" s="6"/>
      <c r="C11" s="1"/>
      <c r="D11" s="13" t="s">
        <v>8</v>
      </c>
      <c r="E11" s="14"/>
      <c r="F11" s="14"/>
      <c r="G11" s="14"/>
      <c r="H11" s="21" t="s">
        <v>136</v>
      </c>
      <c r="I11" s="21"/>
      <c r="J11" s="21" t="s">
        <v>112</v>
      </c>
      <c r="K11" s="21" t="s">
        <v>56</v>
      </c>
      <c r="L11" s="21" t="s">
        <v>53</v>
      </c>
      <c r="M11" s="69" t="s">
        <v>130</v>
      </c>
      <c r="N11" s="63" t="s">
        <v>110</v>
      </c>
      <c r="O11" s="22"/>
      <c r="P11" s="23"/>
      <c r="Q11" s="39"/>
      <c r="R11" s="48"/>
      <c r="S11" s="37"/>
      <c r="T11" s="38"/>
      <c r="U11" s="48"/>
      <c r="V11" s="6"/>
      <c r="W11" s="37"/>
      <c r="X11" s="37"/>
      <c r="Y11" s="79" t="s">
        <v>91</v>
      </c>
    </row>
    <row r="12" spans="2:26" ht="34">
      <c r="B12" s="6"/>
      <c r="C12" s="1"/>
      <c r="D12" s="13" t="s">
        <v>33</v>
      </c>
      <c r="E12" s="14"/>
      <c r="F12" s="14"/>
      <c r="G12" s="14"/>
      <c r="H12" s="21" t="s">
        <v>123</v>
      </c>
      <c r="I12" s="21"/>
      <c r="J12" s="21" t="s">
        <v>112</v>
      </c>
      <c r="K12" s="21" t="s">
        <v>56</v>
      </c>
      <c r="L12" s="21" t="s">
        <v>55</v>
      </c>
      <c r="M12" s="85" t="s">
        <v>133</v>
      </c>
      <c r="N12" s="63" t="s">
        <v>137</v>
      </c>
      <c r="O12" s="22"/>
      <c r="P12" s="23"/>
      <c r="Q12" s="39"/>
      <c r="R12" s="48"/>
      <c r="S12" s="37"/>
      <c r="T12" s="38"/>
      <c r="U12" s="48"/>
      <c r="V12" s="6"/>
      <c r="W12" s="37"/>
      <c r="X12" s="37"/>
      <c r="Y12" s="79"/>
    </row>
    <row r="13" spans="2:26" ht="34">
      <c r="B13" s="6"/>
      <c r="C13" s="1"/>
      <c r="D13" s="13" t="s">
        <v>33</v>
      </c>
      <c r="E13" s="14"/>
      <c r="F13" s="14"/>
      <c r="G13" s="14"/>
      <c r="H13" s="21" t="s">
        <v>124</v>
      </c>
      <c r="I13" s="21"/>
      <c r="J13" s="21" t="s">
        <v>112</v>
      </c>
      <c r="K13" s="21" t="s">
        <v>56</v>
      </c>
      <c r="L13" s="21" t="s">
        <v>55</v>
      </c>
      <c r="M13" s="85" t="s">
        <v>134</v>
      </c>
      <c r="N13" s="63" t="s">
        <v>137</v>
      </c>
      <c r="O13" s="22"/>
      <c r="P13" s="23"/>
      <c r="Q13" s="39"/>
      <c r="R13" s="48"/>
      <c r="S13" s="37"/>
      <c r="T13" s="38"/>
      <c r="U13" s="48"/>
      <c r="V13" s="6"/>
      <c r="W13" s="37"/>
      <c r="X13" s="37"/>
      <c r="Y13" s="79"/>
    </row>
    <row r="14" spans="2:26">
      <c r="B14" s="5">
        <v>2</v>
      </c>
      <c r="C14" s="4" t="s">
        <v>28</v>
      </c>
      <c r="D14" s="4" t="s">
        <v>8</v>
      </c>
      <c r="E14" s="5" t="s">
        <v>40</v>
      </c>
      <c r="F14" s="14"/>
      <c r="G14" s="14"/>
      <c r="H14" s="12" t="s">
        <v>29</v>
      </c>
      <c r="I14" s="12"/>
      <c r="J14" s="12" t="s">
        <v>113</v>
      </c>
      <c r="K14" s="12" t="s">
        <v>56</v>
      </c>
      <c r="L14" s="12" t="s">
        <v>54</v>
      </c>
      <c r="M14" s="70" t="s">
        <v>86</v>
      </c>
      <c r="N14" s="64"/>
      <c r="O14" s="24">
        <v>9983340</v>
      </c>
      <c r="P14" s="25">
        <f>O14</f>
        <v>9983340</v>
      </c>
      <c r="Q14" s="51"/>
      <c r="R14" s="33">
        <f>SUM(S14:T14)</f>
        <v>9983340</v>
      </c>
      <c r="S14" s="25">
        <v>9983340</v>
      </c>
      <c r="T14" s="18">
        <v>0</v>
      </c>
      <c r="U14" s="47">
        <v>8180000</v>
      </c>
      <c r="V14" s="17"/>
      <c r="W14" s="16">
        <v>9983340</v>
      </c>
      <c r="X14" s="16">
        <f>S14-W14</f>
        <v>0</v>
      </c>
      <c r="Y14" s="78" t="s">
        <v>92</v>
      </c>
    </row>
    <row r="15" spans="2:26" ht="68">
      <c r="B15" s="6"/>
      <c r="C15" s="1"/>
      <c r="D15" s="13" t="s">
        <v>36</v>
      </c>
      <c r="E15" s="14"/>
      <c r="F15" s="14"/>
      <c r="G15" s="14"/>
      <c r="H15" s="21" t="s">
        <v>37</v>
      </c>
      <c r="I15" s="21" t="s">
        <v>142</v>
      </c>
      <c r="J15" s="21" t="s">
        <v>116</v>
      </c>
      <c r="K15" s="21" t="s">
        <v>57</v>
      </c>
      <c r="L15" s="21" t="s">
        <v>53</v>
      </c>
      <c r="M15" s="71" t="s">
        <v>128</v>
      </c>
      <c r="N15" s="62" t="s">
        <v>111</v>
      </c>
      <c r="O15" s="34">
        <v>188500000</v>
      </c>
      <c r="P15" s="35"/>
      <c r="Q15" s="34">
        <f>O15</f>
        <v>188500000</v>
      </c>
      <c r="R15" s="36"/>
      <c r="S15" s="37"/>
      <c r="T15" s="38"/>
      <c r="U15" s="47"/>
      <c r="V15" s="14"/>
      <c r="W15" s="37"/>
      <c r="X15" s="37"/>
      <c r="Y15" s="78" t="s">
        <v>90</v>
      </c>
      <c r="Z15" s="86" t="s">
        <v>129</v>
      </c>
    </row>
    <row r="16" spans="2:26">
      <c r="B16" s="6"/>
      <c r="C16" s="1"/>
      <c r="D16" s="13" t="s">
        <v>8</v>
      </c>
      <c r="E16" s="14"/>
      <c r="F16" s="14"/>
      <c r="G16" s="14"/>
      <c r="H16" s="12" t="s">
        <v>38</v>
      </c>
      <c r="I16" s="12"/>
      <c r="J16" s="12" t="s">
        <v>113</v>
      </c>
      <c r="K16" s="12" t="s">
        <v>56</v>
      </c>
      <c r="L16" s="12" t="s">
        <v>53</v>
      </c>
      <c r="M16" s="70" t="s">
        <v>86</v>
      </c>
      <c r="N16" s="64"/>
      <c r="O16" s="24">
        <v>9900000</v>
      </c>
      <c r="P16" s="25">
        <f>O16</f>
        <v>9900000</v>
      </c>
      <c r="Q16" s="52"/>
      <c r="R16" s="33">
        <f>SUM(S16:T16)</f>
        <v>9900000</v>
      </c>
      <c r="S16" s="25">
        <v>9900000</v>
      </c>
      <c r="T16" s="18">
        <v>0</v>
      </c>
      <c r="U16" s="47">
        <v>5063144.0000000009</v>
      </c>
      <c r="V16" s="17"/>
      <c r="W16" s="16">
        <v>9900000</v>
      </c>
      <c r="X16" s="16">
        <f>S16-W16</f>
        <v>0</v>
      </c>
      <c r="Y16" s="78" t="s">
        <v>93</v>
      </c>
      <c r="Z16" s="87" t="s">
        <v>129</v>
      </c>
    </row>
    <row r="17" spans="1:26" ht="51">
      <c r="B17" s="6"/>
      <c r="C17" s="1"/>
      <c r="D17" s="13" t="s">
        <v>8</v>
      </c>
      <c r="E17" s="11"/>
      <c r="F17" s="14"/>
      <c r="G17" s="14"/>
      <c r="H17" s="12" t="s">
        <v>41</v>
      </c>
      <c r="I17" s="12"/>
      <c r="J17" s="12" t="s">
        <v>112</v>
      </c>
      <c r="K17" s="12" t="s">
        <v>56</v>
      </c>
      <c r="L17" s="12" t="s">
        <v>53</v>
      </c>
      <c r="M17" s="70" t="s">
        <v>147</v>
      </c>
      <c r="N17" s="64"/>
      <c r="O17" s="24">
        <v>294790700</v>
      </c>
      <c r="P17" s="24">
        <v>294790700</v>
      </c>
      <c r="Q17" s="18"/>
      <c r="R17" s="33">
        <f>SUM(S17:T17)</f>
        <v>294790700</v>
      </c>
      <c r="S17" s="25">
        <v>294790700</v>
      </c>
      <c r="T17" s="50"/>
      <c r="U17" s="54"/>
      <c r="V17" s="56"/>
      <c r="W17" s="16">
        <v>0</v>
      </c>
      <c r="X17" s="16">
        <f>S17-W17</f>
        <v>294790700</v>
      </c>
      <c r="Y17" s="78" t="s">
        <v>94</v>
      </c>
      <c r="Z17" s="87" t="s">
        <v>129</v>
      </c>
    </row>
    <row r="18" spans="1:26" ht="34">
      <c r="B18" s="6"/>
      <c r="C18" s="1"/>
      <c r="D18" s="13" t="s">
        <v>58</v>
      </c>
      <c r="E18" s="11"/>
      <c r="F18" s="14"/>
      <c r="G18" s="14"/>
      <c r="H18" s="67" t="s">
        <v>63</v>
      </c>
      <c r="I18" s="67" t="s">
        <v>143</v>
      </c>
      <c r="J18" s="67"/>
      <c r="K18" s="21" t="s">
        <v>57</v>
      </c>
      <c r="L18" s="21" t="s">
        <v>53</v>
      </c>
      <c r="M18" s="71" t="s">
        <v>120</v>
      </c>
      <c r="N18" s="62"/>
      <c r="O18" s="34">
        <v>97470000</v>
      </c>
      <c r="P18" s="34"/>
      <c r="Q18" s="34">
        <v>97470000</v>
      </c>
      <c r="R18" s="36"/>
      <c r="S18" s="37"/>
      <c r="T18" s="38"/>
      <c r="U18" s="48"/>
      <c r="V18" s="6"/>
      <c r="W18" s="37"/>
      <c r="X18" s="37"/>
      <c r="Y18" s="79" t="s">
        <v>95</v>
      </c>
      <c r="Z18" s="87" t="s">
        <v>129</v>
      </c>
    </row>
    <row r="19" spans="1:26">
      <c r="B19" s="6"/>
      <c r="C19" s="1"/>
      <c r="D19" s="13" t="s">
        <v>58</v>
      </c>
      <c r="E19" s="11"/>
      <c r="F19" s="14"/>
      <c r="G19" s="14"/>
      <c r="H19" s="67" t="s">
        <v>70</v>
      </c>
      <c r="I19" s="67" t="s">
        <v>143</v>
      </c>
      <c r="J19" s="67"/>
      <c r="K19" s="21" t="s">
        <v>57</v>
      </c>
      <c r="L19" s="21" t="s">
        <v>53</v>
      </c>
      <c r="M19" s="71"/>
      <c r="N19" s="62"/>
      <c r="O19" s="34">
        <v>695290000</v>
      </c>
      <c r="P19" s="35"/>
      <c r="Q19" s="18">
        <f>O19</f>
        <v>695290000</v>
      </c>
      <c r="R19" s="36"/>
      <c r="S19" s="37"/>
      <c r="T19" s="38"/>
      <c r="U19" s="48"/>
      <c r="V19" s="6"/>
      <c r="W19" s="37"/>
      <c r="X19" s="37"/>
      <c r="Y19" s="79" t="s">
        <v>95</v>
      </c>
      <c r="Z19" s="87" t="s">
        <v>129</v>
      </c>
    </row>
    <row r="20" spans="1:26">
      <c r="B20" s="6"/>
      <c r="C20" s="1"/>
      <c r="D20" s="13" t="s">
        <v>58</v>
      </c>
      <c r="E20" s="11"/>
      <c r="F20" s="14"/>
      <c r="G20" s="14"/>
      <c r="H20" s="67" t="s">
        <v>76</v>
      </c>
      <c r="I20" s="67" t="s">
        <v>143</v>
      </c>
      <c r="J20" s="67"/>
      <c r="K20" s="21" t="s">
        <v>57</v>
      </c>
      <c r="L20" s="21" t="s">
        <v>53</v>
      </c>
      <c r="M20" s="71"/>
      <c r="N20" s="62"/>
      <c r="O20" s="34"/>
      <c r="P20" s="35"/>
      <c r="Q20" s="18"/>
      <c r="R20" s="36"/>
      <c r="S20" s="37"/>
      <c r="T20" s="38"/>
      <c r="U20" s="48"/>
      <c r="V20" s="6"/>
      <c r="W20" s="37"/>
      <c r="X20" s="37"/>
      <c r="Y20" s="79"/>
      <c r="Z20" s="87" t="s">
        <v>129</v>
      </c>
    </row>
    <row r="21" spans="1:26">
      <c r="B21" s="6"/>
      <c r="C21" s="1"/>
      <c r="D21" s="13" t="s">
        <v>58</v>
      </c>
      <c r="E21" s="11"/>
      <c r="F21" s="60">
        <v>45944</v>
      </c>
      <c r="G21" s="14"/>
      <c r="H21" s="67" t="s">
        <v>77</v>
      </c>
      <c r="I21" s="67" t="s">
        <v>143</v>
      </c>
      <c r="J21" s="67"/>
      <c r="K21" s="21" t="s">
        <v>57</v>
      </c>
      <c r="L21" s="21" t="s">
        <v>53</v>
      </c>
      <c r="M21" s="71"/>
      <c r="N21" s="62"/>
      <c r="O21" s="34">
        <v>64440000</v>
      </c>
      <c r="P21" s="35"/>
      <c r="Q21" s="35">
        <v>64440000</v>
      </c>
      <c r="R21" s="36"/>
      <c r="S21" s="37"/>
      <c r="T21" s="38"/>
      <c r="U21" s="48"/>
      <c r="V21" s="6"/>
      <c r="W21" s="37"/>
      <c r="X21" s="37"/>
      <c r="Y21" s="79"/>
      <c r="Z21" s="87" t="s">
        <v>129</v>
      </c>
    </row>
    <row r="22" spans="1:26" ht="34">
      <c r="B22" s="6"/>
      <c r="C22" s="1"/>
      <c r="D22" s="13" t="s">
        <v>58</v>
      </c>
      <c r="E22" s="11"/>
      <c r="F22" s="14"/>
      <c r="G22" s="14"/>
      <c r="H22" s="67" t="s">
        <v>78</v>
      </c>
      <c r="I22" s="67" t="s">
        <v>143</v>
      </c>
      <c r="J22" s="67"/>
      <c r="K22" s="21" t="s">
        <v>57</v>
      </c>
      <c r="L22" s="21" t="s">
        <v>53</v>
      </c>
      <c r="M22" s="71" t="s">
        <v>119</v>
      </c>
      <c r="N22" s="62"/>
      <c r="O22" s="34">
        <v>31310000</v>
      </c>
      <c r="P22" s="35"/>
      <c r="Q22" s="35">
        <v>31310000</v>
      </c>
      <c r="R22" s="36"/>
      <c r="S22" s="37"/>
      <c r="T22" s="38"/>
      <c r="U22" s="48"/>
      <c r="V22" s="6"/>
      <c r="W22" s="37"/>
      <c r="X22" s="37"/>
      <c r="Y22" s="79" t="s">
        <v>118</v>
      </c>
      <c r="Z22" s="87" t="s">
        <v>129</v>
      </c>
    </row>
    <row r="23" spans="1:26">
      <c r="B23" s="6"/>
      <c r="C23" s="1"/>
      <c r="D23" s="13" t="s">
        <v>58</v>
      </c>
      <c r="E23" s="11"/>
      <c r="F23" s="14"/>
      <c r="G23" s="14"/>
      <c r="H23" s="67" t="s">
        <v>117</v>
      </c>
      <c r="I23" s="67" t="s">
        <v>143</v>
      </c>
      <c r="J23" s="67"/>
      <c r="K23" s="21" t="s">
        <v>57</v>
      </c>
      <c r="L23" s="21" t="s">
        <v>53</v>
      </c>
      <c r="M23" s="71"/>
      <c r="N23" s="62"/>
      <c r="O23" s="34">
        <v>13165000</v>
      </c>
      <c r="P23" s="35"/>
      <c r="Q23" s="35">
        <v>13165000</v>
      </c>
      <c r="R23" s="36"/>
      <c r="S23" s="37"/>
      <c r="T23" s="38"/>
      <c r="U23" s="48"/>
      <c r="V23" s="6"/>
      <c r="W23" s="37"/>
      <c r="X23" s="37"/>
      <c r="Y23" s="79"/>
      <c r="Z23" s="87" t="s">
        <v>129</v>
      </c>
    </row>
    <row r="24" spans="1:26">
      <c r="B24" s="6"/>
      <c r="C24" s="1"/>
      <c r="D24" s="13" t="s">
        <v>59</v>
      </c>
      <c r="E24" s="53"/>
      <c r="F24" s="60">
        <v>45944</v>
      </c>
      <c r="G24" s="57"/>
      <c r="H24" s="67" t="s">
        <v>60</v>
      </c>
      <c r="I24" s="67" t="s">
        <v>143</v>
      </c>
      <c r="J24" s="67"/>
      <c r="K24" s="21" t="s">
        <v>57</v>
      </c>
      <c r="L24" s="21" t="s">
        <v>53</v>
      </c>
      <c r="M24" s="69"/>
      <c r="N24" s="63"/>
      <c r="O24" s="22">
        <v>179400000</v>
      </c>
      <c r="P24" s="23"/>
      <c r="Q24" s="23">
        <v>179400000</v>
      </c>
      <c r="R24" s="36"/>
      <c r="S24" s="37"/>
      <c r="T24" s="38"/>
      <c r="U24" s="48"/>
      <c r="V24" s="6"/>
      <c r="W24" s="37"/>
      <c r="X24" s="37"/>
      <c r="Y24" s="79" t="s">
        <v>90</v>
      </c>
      <c r="Z24" s="87" t="s">
        <v>129</v>
      </c>
    </row>
    <row r="25" spans="1:26" ht="51">
      <c r="B25" s="6"/>
      <c r="C25" s="1"/>
      <c r="D25" s="111" t="s">
        <v>36</v>
      </c>
      <c r="E25" s="53"/>
      <c r="F25" s="112">
        <v>45972</v>
      </c>
      <c r="G25" s="53"/>
      <c r="H25" s="113" t="s">
        <v>121</v>
      </c>
      <c r="I25" s="113" t="s">
        <v>144</v>
      </c>
      <c r="J25" s="113"/>
      <c r="K25" s="113" t="s">
        <v>57</v>
      </c>
      <c r="L25" s="113" t="s">
        <v>53</v>
      </c>
      <c r="M25" s="85" t="s">
        <v>122</v>
      </c>
      <c r="N25" s="63"/>
      <c r="O25" s="22">
        <v>222920000</v>
      </c>
      <c r="P25" s="23">
        <v>222920000</v>
      </c>
      <c r="Q25" s="23"/>
      <c r="R25" s="48"/>
      <c r="S25" s="37"/>
      <c r="T25" s="38"/>
      <c r="U25" s="48"/>
      <c r="V25" s="6"/>
      <c r="W25" s="37"/>
      <c r="X25" s="37"/>
      <c r="Y25" s="79"/>
      <c r="Z25" s="87" t="s">
        <v>129</v>
      </c>
    </row>
    <row r="26" spans="1:26" ht="34">
      <c r="B26" s="6"/>
      <c r="C26" s="1"/>
      <c r="D26" s="111" t="s">
        <v>36</v>
      </c>
      <c r="E26" s="53"/>
      <c r="F26" s="112">
        <v>45988</v>
      </c>
      <c r="G26" s="53"/>
      <c r="H26" s="113" t="s">
        <v>138</v>
      </c>
      <c r="I26" s="113" t="s">
        <v>144</v>
      </c>
      <c r="J26" s="113"/>
      <c r="K26" s="113" t="s">
        <v>57</v>
      </c>
      <c r="L26" s="113" t="s">
        <v>53</v>
      </c>
      <c r="M26" s="85" t="s">
        <v>139</v>
      </c>
      <c r="N26" s="63"/>
      <c r="O26" s="22">
        <v>893660000</v>
      </c>
      <c r="P26" s="23">
        <v>893660000</v>
      </c>
      <c r="Q26" s="23"/>
      <c r="R26" s="48"/>
      <c r="S26" s="37"/>
      <c r="T26" s="38"/>
      <c r="U26" s="48"/>
      <c r="V26" s="6"/>
      <c r="W26" s="37"/>
      <c r="X26" s="37"/>
      <c r="Y26" s="79"/>
      <c r="Z26" s="87"/>
    </row>
    <row r="27" spans="1:26" ht="34">
      <c r="B27" s="1">
        <v>3</v>
      </c>
      <c r="C27" s="1" t="s">
        <v>5</v>
      </c>
      <c r="D27" s="20" t="s">
        <v>51</v>
      </c>
      <c r="E27" s="11"/>
      <c r="F27" s="14"/>
      <c r="G27" s="14"/>
      <c r="H27" s="12" t="s">
        <v>65</v>
      </c>
      <c r="I27" s="12"/>
      <c r="J27" s="12" t="s">
        <v>113</v>
      </c>
      <c r="K27" s="12" t="s">
        <v>56</v>
      </c>
      <c r="L27" s="12" t="s">
        <v>61</v>
      </c>
      <c r="M27" s="72" t="s">
        <v>107</v>
      </c>
      <c r="N27" s="12"/>
      <c r="O27" s="25">
        <v>36585000</v>
      </c>
      <c r="P27" s="25">
        <v>36585000</v>
      </c>
      <c r="Q27" s="19"/>
      <c r="R27" s="25">
        <f t="shared" ref="R27:R29" si="2">SUM(S27:T27)</f>
        <v>36585000</v>
      </c>
      <c r="S27" s="25">
        <v>36585000</v>
      </c>
      <c r="T27" s="18"/>
      <c r="U27" s="34"/>
      <c r="V27" s="10"/>
      <c r="W27" s="16">
        <v>36585000</v>
      </c>
      <c r="X27" s="16">
        <f t="shared" ref="X27:X32" si="3">S27-W27</f>
        <v>0</v>
      </c>
      <c r="Y27" s="78" t="s">
        <v>96</v>
      </c>
    </row>
    <row r="28" spans="1:26" ht="34">
      <c r="B28" s="6"/>
      <c r="C28" s="1"/>
      <c r="D28" s="20" t="s">
        <v>51</v>
      </c>
      <c r="E28" s="74" t="s">
        <v>64</v>
      </c>
      <c r="F28" s="14"/>
      <c r="G28" s="14"/>
      <c r="H28" s="68" t="s">
        <v>68</v>
      </c>
      <c r="I28" s="68"/>
      <c r="J28" s="68" t="s">
        <v>113</v>
      </c>
      <c r="K28" s="12" t="s">
        <v>56</v>
      </c>
      <c r="L28" s="12" t="s">
        <v>61</v>
      </c>
      <c r="M28" s="72" t="s">
        <v>107</v>
      </c>
      <c r="N28" s="12"/>
      <c r="O28" s="25">
        <v>9090909</v>
      </c>
      <c r="P28" s="25">
        <v>9090909</v>
      </c>
      <c r="Q28" s="19"/>
      <c r="R28" s="32">
        <v>9090909</v>
      </c>
      <c r="S28" s="16">
        <f t="shared" ref="S28" si="4">R28</f>
        <v>9090909</v>
      </c>
      <c r="T28" s="18"/>
      <c r="U28" s="34"/>
      <c r="V28" s="10"/>
      <c r="W28" s="16">
        <v>9090909</v>
      </c>
      <c r="X28" s="16">
        <f t="shared" si="3"/>
        <v>0</v>
      </c>
      <c r="Y28" s="78" t="s">
        <v>97</v>
      </c>
    </row>
    <row r="29" spans="1:26" ht="85">
      <c r="B29" s="6"/>
      <c r="C29" s="1"/>
      <c r="D29" s="20" t="s">
        <v>62</v>
      </c>
      <c r="E29" s="11"/>
      <c r="F29" s="14"/>
      <c r="G29" s="14"/>
      <c r="H29" s="67" t="s">
        <v>66</v>
      </c>
      <c r="I29" s="67"/>
      <c r="J29" s="67" t="s">
        <v>112</v>
      </c>
      <c r="K29" s="12" t="s">
        <v>56</v>
      </c>
      <c r="L29" s="7" t="s">
        <v>75</v>
      </c>
      <c r="M29" s="73" t="s">
        <v>148</v>
      </c>
      <c r="N29" s="7"/>
      <c r="O29" s="25">
        <v>26161000</v>
      </c>
      <c r="P29" s="25">
        <v>26161000</v>
      </c>
      <c r="Q29" s="18"/>
      <c r="R29" s="25">
        <f t="shared" si="2"/>
        <v>26161000</v>
      </c>
      <c r="S29" s="25">
        <v>26161000</v>
      </c>
      <c r="T29" s="18"/>
      <c r="U29" s="34"/>
      <c r="V29" s="10"/>
      <c r="W29" s="16">
        <f>S29*0.3</f>
        <v>7848300</v>
      </c>
      <c r="X29" s="16">
        <f t="shared" si="3"/>
        <v>18312700</v>
      </c>
      <c r="Y29" s="78" t="s">
        <v>98</v>
      </c>
    </row>
    <row r="30" spans="1:26" ht="85">
      <c r="A30" s="76"/>
      <c r="B30" s="5">
        <v>4</v>
      </c>
      <c r="C30" s="4" t="s">
        <v>7</v>
      </c>
      <c r="D30" s="4" t="s">
        <v>33</v>
      </c>
      <c r="E30" s="12" t="s">
        <v>31</v>
      </c>
      <c r="F30" s="58"/>
      <c r="G30" s="58"/>
      <c r="H30" s="12" t="s">
        <v>9</v>
      </c>
      <c r="I30" s="12"/>
      <c r="J30" s="12" t="s">
        <v>115</v>
      </c>
      <c r="K30" s="21" t="s">
        <v>56</v>
      </c>
      <c r="L30" s="9" t="s">
        <v>55</v>
      </c>
      <c r="M30" s="71" t="s">
        <v>135</v>
      </c>
      <c r="N30" s="62"/>
      <c r="O30" s="32">
        <v>189000000</v>
      </c>
      <c r="P30" s="16">
        <f>O30</f>
        <v>189000000</v>
      </c>
      <c r="Q30" s="27"/>
      <c r="R30" s="33">
        <f t="shared" ref="R30:R31" si="5">SUM(S30:T30)</f>
        <v>189000000</v>
      </c>
      <c r="S30" s="16">
        <v>189000000</v>
      </c>
      <c r="T30" s="18">
        <v>0</v>
      </c>
      <c r="U30" s="46"/>
      <c r="V30" s="5"/>
      <c r="W30" s="16">
        <v>81000000</v>
      </c>
      <c r="X30" s="15">
        <f t="shared" si="3"/>
        <v>108000000</v>
      </c>
      <c r="Y30" s="78" t="s">
        <v>72</v>
      </c>
    </row>
    <row r="31" spans="1:26" ht="34">
      <c r="A31" s="76"/>
      <c r="B31" s="5"/>
      <c r="C31" s="4"/>
      <c r="D31" s="4" t="s">
        <v>33</v>
      </c>
      <c r="E31" s="12" t="s">
        <v>32</v>
      </c>
      <c r="F31" s="58"/>
      <c r="G31" s="58"/>
      <c r="H31" s="12" t="s">
        <v>10</v>
      </c>
      <c r="I31" s="12"/>
      <c r="J31" s="12" t="s">
        <v>112</v>
      </c>
      <c r="K31" s="21" t="s">
        <v>56</v>
      </c>
      <c r="L31" s="9" t="s">
        <v>55</v>
      </c>
      <c r="M31" s="71" t="s">
        <v>146</v>
      </c>
      <c r="N31" s="62"/>
      <c r="O31" s="32">
        <v>98000000</v>
      </c>
      <c r="P31" s="16">
        <v>98000000</v>
      </c>
      <c r="Q31" s="27"/>
      <c r="R31" s="33">
        <f t="shared" si="5"/>
        <v>98000000</v>
      </c>
      <c r="S31" s="16">
        <v>98000000</v>
      </c>
      <c r="T31" s="18">
        <v>0</v>
      </c>
      <c r="U31" s="46"/>
      <c r="V31" s="5"/>
      <c r="W31" s="16">
        <v>42000000</v>
      </c>
      <c r="X31" s="15">
        <f t="shared" si="3"/>
        <v>56000000</v>
      </c>
      <c r="Y31" s="78" t="s">
        <v>87</v>
      </c>
    </row>
    <row r="32" spans="1:26" ht="34">
      <c r="B32" s="4">
        <v>6</v>
      </c>
      <c r="C32" s="4" t="s">
        <v>69</v>
      </c>
      <c r="D32" s="4" t="s">
        <v>58</v>
      </c>
      <c r="E32" s="4" t="s">
        <v>79</v>
      </c>
      <c r="F32" s="61">
        <v>45925</v>
      </c>
      <c r="G32" s="61">
        <v>46053</v>
      </c>
      <c r="H32" s="12" t="s">
        <v>63</v>
      </c>
      <c r="I32" s="12"/>
      <c r="J32" s="12" t="s">
        <v>112</v>
      </c>
      <c r="K32" s="12" t="s">
        <v>57</v>
      </c>
      <c r="L32" s="12" t="s">
        <v>53</v>
      </c>
      <c r="M32" s="70" t="s">
        <v>132</v>
      </c>
      <c r="N32" s="64"/>
      <c r="O32" s="24">
        <v>30791000</v>
      </c>
      <c r="P32" s="25">
        <f>O32</f>
        <v>30791000</v>
      </c>
      <c r="Q32" s="51"/>
      <c r="R32" s="82">
        <v>30791000</v>
      </c>
      <c r="S32" s="25">
        <v>30791000</v>
      </c>
      <c r="T32" s="83"/>
      <c r="U32" s="84"/>
      <c r="V32" s="4"/>
      <c r="W32" s="25">
        <f>S32*0.2</f>
        <v>6158200</v>
      </c>
      <c r="X32" s="25">
        <f t="shared" si="3"/>
        <v>24632800</v>
      </c>
      <c r="Y32" s="78" t="s">
        <v>82</v>
      </c>
    </row>
    <row r="33" spans="2:25" ht="119">
      <c r="B33" s="6">
        <v>7</v>
      </c>
      <c r="C33" s="1" t="s">
        <v>73</v>
      </c>
      <c r="D33" s="1" t="s">
        <v>33</v>
      </c>
      <c r="E33" s="11"/>
      <c r="F33" s="14"/>
      <c r="G33" s="14"/>
      <c r="H33" s="21" t="s">
        <v>74</v>
      </c>
      <c r="I33" s="21"/>
      <c r="J33" s="21" t="s">
        <v>114</v>
      </c>
      <c r="K33" s="21" t="s">
        <v>57</v>
      </c>
      <c r="L33" s="21" t="s">
        <v>53</v>
      </c>
      <c r="M33" s="71" t="s">
        <v>145</v>
      </c>
      <c r="N33" s="62"/>
      <c r="O33" s="22">
        <v>547428000</v>
      </c>
      <c r="P33" s="23"/>
      <c r="Q33" s="23">
        <v>547428000</v>
      </c>
      <c r="R33" s="33"/>
      <c r="S33" s="16"/>
      <c r="T33" s="38"/>
      <c r="U33" s="48"/>
      <c r="V33" s="37"/>
      <c r="W33" s="37"/>
      <c r="X33" s="37"/>
      <c r="Y33" s="79"/>
    </row>
    <row r="34" spans="2:25" ht="34" hidden="1">
      <c r="B34" s="6">
        <v>8</v>
      </c>
      <c r="C34" s="1" t="s">
        <v>102</v>
      </c>
      <c r="D34" s="1"/>
      <c r="E34" s="11"/>
      <c r="F34" s="14" t="s">
        <v>39</v>
      </c>
      <c r="G34" s="14" t="s">
        <v>39</v>
      </c>
      <c r="H34" s="67" t="s">
        <v>103</v>
      </c>
      <c r="I34" s="67"/>
      <c r="J34" s="67"/>
      <c r="K34" s="67" t="s">
        <v>56</v>
      </c>
      <c r="L34" s="67" t="s">
        <v>106</v>
      </c>
      <c r="M34" s="71" t="s">
        <v>108</v>
      </c>
      <c r="N34" s="62"/>
      <c r="O34" s="34"/>
      <c r="P34" s="35"/>
      <c r="Q34" s="39"/>
      <c r="R34" s="33"/>
      <c r="S34" s="16"/>
      <c r="T34" s="38"/>
      <c r="U34" s="48"/>
      <c r="V34" s="37"/>
      <c r="W34" s="37"/>
      <c r="X34" s="37"/>
      <c r="Y34" s="79"/>
    </row>
    <row r="35" spans="2:25" ht="34" hidden="1">
      <c r="B35" s="6"/>
      <c r="C35" s="1"/>
      <c r="D35" s="1"/>
      <c r="E35" s="11"/>
      <c r="F35" s="14"/>
      <c r="G35" s="14"/>
      <c r="H35" s="67" t="s">
        <v>104</v>
      </c>
      <c r="I35" s="67"/>
      <c r="J35" s="67"/>
      <c r="K35" s="67" t="s">
        <v>56</v>
      </c>
      <c r="L35" s="67" t="s">
        <v>105</v>
      </c>
      <c r="M35" s="71" t="s">
        <v>108</v>
      </c>
      <c r="N35" s="62"/>
      <c r="O35" s="34"/>
      <c r="P35" s="35"/>
      <c r="Q35" s="39"/>
      <c r="R35" s="33"/>
      <c r="S35" s="16"/>
      <c r="T35" s="38"/>
      <c r="U35" s="48"/>
      <c r="V35" s="37"/>
      <c r="W35" s="37"/>
      <c r="X35" s="37"/>
      <c r="Y35" s="79"/>
    </row>
    <row r="36" spans="2:25">
      <c r="B36" s="6">
        <v>8</v>
      </c>
      <c r="C36" s="1" t="s">
        <v>149</v>
      </c>
      <c r="D36" s="1" t="s">
        <v>33</v>
      </c>
      <c r="E36" s="11"/>
      <c r="F36" s="14"/>
      <c r="G36" s="14"/>
      <c r="H36" s="12" t="s">
        <v>150</v>
      </c>
      <c r="I36" s="67"/>
      <c r="J36" s="12" t="s">
        <v>113</v>
      </c>
      <c r="K36" s="12" t="s">
        <v>56</v>
      </c>
      <c r="L36" s="12" t="s">
        <v>54</v>
      </c>
      <c r="M36" s="72" t="s">
        <v>86</v>
      </c>
      <c r="N36" s="62"/>
      <c r="O36" s="32">
        <v>2807000</v>
      </c>
      <c r="P36" s="16">
        <v>2807000</v>
      </c>
      <c r="Q36" s="27"/>
      <c r="R36" s="33">
        <v>2807000</v>
      </c>
      <c r="S36" s="16">
        <v>2807000</v>
      </c>
      <c r="T36" s="38"/>
      <c r="U36" s="48"/>
      <c r="V36" s="37"/>
      <c r="W36" s="16">
        <v>2807000</v>
      </c>
      <c r="X36" s="16">
        <f t="shared" ref="X36" si="6">S36-W36</f>
        <v>0</v>
      </c>
      <c r="Y36" s="78" t="s">
        <v>151</v>
      </c>
    </row>
    <row r="37" spans="2:25">
      <c r="B37" s="1"/>
      <c r="C37" s="3" t="s">
        <v>14</v>
      </c>
      <c r="D37" s="1"/>
      <c r="E37" s="75"/>
      <c r="F37" s="13"/>
      <c r="G37" s="13"/>
      <c r="H37" s="66"/>
      <c r="I37" s="66"/>
      <c r="J37" s="66"/>
      <c r="K37" s="21" t="s">
        <v>39</v>
      </c>
      <c r="L37" s="21" t="s">
        <v>39</v>
      </c>
      <c r="M37" s="69"/>
      <c r="N37" s="63"/>
      <c r="O37" s="40">
        <f>SUM(O6:O35)</f>
        <v>4299736625</v>
      </c>
      <c r="P37" s="41">
        <f>SUM(P6:P35)</f>
        <v>2482733625</v>
      </c>
      <c r="Q37" s="42">
        <f>SUM(Q6:Q35)</f>
        <v>1817003000</v>
      </c>
      <c r="R37" s="43">
        <f>SUM(S37:T37)</f>
        <v>1099537625</v>
      </c>
      <c r="S37" s="41">
        <f>SUM(S6:S32)</f>
        <v>1099537625</v>
      </c>
      <c r="T37" s="42">
        <f>SUM(T6:T32)</f>
        <v>0</v>
      </c>
      <c r="U37" s="49"/>
      <c r="V37" s="1"/>
      <c r="W37" s="41">
        <f>SUM(W6:W32)</f>
        <v>462330802</v>
      </c>
      <c r="X37" s="41">
        <f>SUM(X6:X32)</f>
        <v>637206823</v>
      </c>
      <c r="Y37" s="66"/>
    </row>
    <row r="38" spans="2:25">
      <c r="M38" s="81"/>
      <c r="O38" s="44"/>
      <c r="P38" s="44"/>
      <c r="Q38" s="44"/>
      <c r="R38" s="44"/>
      <c r="S38" s="44"/>
      <c r="T38" s="44"/>
      <c r="U38" s="44"/>
      <c r="V38" s="44"/>
      <c r="W38" s="44"/>
      <c r="X38" s="44"/>
    </row>
    <row r="39" spans="2:25">
      <c r="Y39" s="80"/>
    </row>
    <row r="40" spans="2:25">
      <c r="R40" s="45" t="s">
        <v>19</v>
      </c>
      <c r="S40" s="8">
        <v>1200</v>
      </c>
    </row>
    <row r="41" spans="2:25">
      <c r="R41" s="45" t="s">
        <v>20</v>
      </c>
      <c r="S41" s="8">
        <v>1400</v>
      </c>
    </row>
    <row r="42" spans="2:25">
      <c r="R42" s="45" t="s">
        <v>21</v>
      </c>
      <c r="S42" s="8">
        <v>140</v>
      </c>
    </row>
    <row r="43" spans="2:25">
      <c r="R43" s="45" t="s">
        <v>22</v>
      </c>
      <c r="S43" s="8">
        <v>800</v>
      </c>
    </row>
    <row r="44" spans="2:25">
      <c r="R44" s="45" t="s">
        <v>23</v>
      </c>
      <c r="S44" s="8">
        <v>830</v>
      </c>
    </row>
    <row r="45" spans="2:25">
      <c r="R45" s="45" t="s">
        <v>24</v>
      </c>
      <c r="S45" s="8">
        <v>850</v>
      </c>
    </row>
    <row r="46" spans="2:25">
      <c r="R46" s="45" t="s">
        <v>25</v>
      </c>
      <c r="S46" s="8">
        <v>160</v>
      </c>
    </row>
    <row r="47" spans="2:25">
      <c r="R47" s="45" t="s">
        <v>26</v>
      </c>
      <c r="S47" s="8">
        <v>1700</v>
      </c>
    </row>
    <row r="48" spans="2:25">
      <c r="R48" s="45" t="s">
        <v>27</v>
      </c>
      <c r="S48" s="8">
        <f>920/100</f>
        <v>9.1999999999999993</v>
      </c>
    </row>
  </sheetData>
  <mergeCells count="23">
    <mergeCell ref="M4:M5"/>
    <mergeCell ref="N4:N5"/>
    <mergeCell ref="F4:F5"/>
    <mergeCell ref="G4:G5"/>
    <mergeCell ref="L4:L5"/>
    <mergeCell ref="J4:J5"/>
    <mergeCell ref="I4:I5"/>
    <mergeCell ref="N6:N8"/>
    <mergeCell ref="M6:M8"/>
    <mergeCell ref="B2:Y2"/>
    <mergeCell ref="B4:B5"/>
    <mergeCell ref="C4:C5"/>
    <mergeCell ref="D4:D5"/>
    <mergeCell ref="E4:E5"/>
    <mergeCell ref="H4:H5"/>
    <mergeCell ref="W4:W5"/>
    <mergeCell ref="X4:X5"/>
    <mergeCell ref="U4:U5"/>
    <mergeCell ref="V4:V5"/>
    <mergeCell ref="Y4:Y5"/>
    <mergeCell ref="K4:K5"/>
    <mergeCell ref="O4:Q4"/>
    <mergeCell ref="R4:T4"/>
  </mergeCells>
  <phoneticPr fontId="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 전략_수정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홍성준/SW교육원</cp:lastModifiedBy>
  <cp:lastPrinted>2025-01-10T08:38:41Z</cp:lastPrinted>
  <dcterms:created xsi:type="dcterms:W3CDTF">2024-12-11T23:49:46Z</dcterms:created>
  <dcterms:modified xsi:type="dcterms:W3CDTF">2025-12-09T06:39:54Z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2025-04-07T14:57:35Z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6d5083b6-a4e4-4f7e-a81a-7f89b629db6f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
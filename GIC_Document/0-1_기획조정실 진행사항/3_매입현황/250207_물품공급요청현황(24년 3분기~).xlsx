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3_매입현황\"/>
    </mc:Choice>
  </mc:AlternateContent>
  <xr:revisionPtr revIDLastSave="0" documentId="13_ncr:1_{05C6EDF5-26AE-4C97-8133-2540918E5114}" xr6:coauthVersionLast="47" xr6:coauthVersionMax="47" xr10:uidLastSave="{00000000-0000-0000-0000-000000000000}"/>
  <bookViews>
    <workbookView xWindow="33345" yWindow="3150" windowWidth="21600" windowHeight="12735" activeTab="1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상세'!$A$2:$Z$75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3" l="1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I5" i="3"/>
  <c r="I4" i="3"/>
  <c r="I6" i="3"/>
  <c r="I7" i="3"/>
  <c r="I8" i="3"/>
  <c r="I14" i="3" l="1"/>
  <c r="I15" i="3"/>
  <c r="M28" i="3"/>
  <c r="M29" i="3"/>
  <c r="I16" i="3"/>
  <c r="M66" i="3" l="1"/>
  <c r="M67" i="3"/>
  <c r="M65" i="3"/>
  <c r="M62" i="3"/>
  <c r="M61" i="3"/>
  <c r="I61" i="3"/>
  <c r="I66" i="3"/>
  <c r="I67" i="3"/>
  <c r="I71" i="3"/>
  <c r="I70" i="3"/>
  <c r="I69" i="3"/>
  <c r="I68" i="3"/>
  <c r="I65" i="3"/>
  <c r="I64" i="3"/>
  <c r="I63" i="3"/>
  <c r="I62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27" i="3"/>
  <c r="I26" i="3"/>
  <c r="I24" i="3"/>
  <c r="I25" i="3"/>
  <c r="I23" i="3"/>
  <c r="I22" i="3"/>
  <c r="I21" i="3"/>
  <c r="I20" i="3"/>
  <c r="I19" i="3"/>
  <c r="I18" i="3"/>
  <c r="I30" i="3"/>
  <c r="I17" i="3"/>
</calcChain>
</file>

<file path=xl/sharedStrings.xml><?xml version="1.0" encoding="utf-8"?>
<sst xmlns="http://schemas.openxmlformats.org/spreadsheetml/2006/main" count="1026" uniqueCount="422">
  <si>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</si>
  <si>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</si>
  <si>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</si>
  <si>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</si>
  <si>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</si>
  <si>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</si>
  <si>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</si>
  <si>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</si>
  <si>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</si>
  <si>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</si>
  <si>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</si>
  <si>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</si>
  <si>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</si>
  <si>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</si>
  <si>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</si>
  <si>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</si>
  <si>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</si>
  <si>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</si>
  <si>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</si>
  <si>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</si>
  <si>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</si>
  <si>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</si>
  <si>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</si>
  <si>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</si>
  <si>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</si>
  <si>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</si>
  <si>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</si>
  <si>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</si>
  <si>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</si>
  <si>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메카전자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</si>
  <si>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</si>
  <si>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</si>
  <si>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</si>
  <si>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</si>
  <si>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</si>
  <si>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</si>
  <si>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</si>
  <si>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</si>
  <si>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</si>
  <si>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</si>
  <si>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</si>
  <si>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</si>
  <si>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</si>
  <si>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</si>
  <si>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</si>
  <si>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</si>
  <si>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</si>
  <si>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</si>
  <si>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</si>
  <si>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</si>
  <si>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</si>
  <si>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</si>
  <si>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</si>
  <si>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</si>
  <si>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</si>
  <si>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</si>
  <si>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</si>
  <si>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</si>
  <si>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</si>
  <si>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</si>
  <si>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</si>
  <si>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</si>
  <si>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</si>
  <si>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</si>
  <si>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</si>
  <si>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</si>
  <si>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</si>
  <si>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</si>
  <si>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</si>
  <si>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</si>
  <si>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</si>
  <si>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</si>
  <si>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</si>
  <si>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</si>
  <si>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</si>
  <si>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</si>
  <si>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</si>
  <si>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</si>
  <si>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</si>
  <si>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</si>
  <si>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</si>
  <si>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</si>
  <si>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</si>
  <si>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</si>
  <si>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</si>
  <si>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</si>
  <si>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</si>
  <si>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</si>
  <si>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</si>
  <si>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다원시스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</si>
  <si>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</si>
  <si>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</si>
  <si>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</si>
  <si>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</si>
  <si>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</si>
  <si>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</si>
  <si>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</si>
  <si>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</si>
  <si>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</si>
  <si>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</si>
  <si>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</si>
  <si>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</si>
  <si>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</si>
  <si>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</si>
  <si>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</si>
  <si>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</si>
  <si>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</si>
  <si>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</si>
  <si>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</si>
  <si>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</si>
  <si>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</si>
  <si>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</si>
  <si>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</si>
  <si>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</si>
  <si>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</si>
  <si>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</si>
  <si>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</si>
  <si>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</si>
  <si>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</si>
  <si>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</si>
  <si>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</si>
  <si>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</si>
  <si>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</si>
  <si>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</si>
  <si>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</si>
  <si>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</si>
  <si>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</si>
  <si>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</si>
  <si>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</si>
  <si>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</si>
  <si>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</si>
  <si>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</si>
  <si>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</si>
  <si>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</si>
  <si>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</si>
  <si>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</si>
  <si>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</si>
  <si>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</si>
  <si>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</si>
  <si>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</si>
  <si>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</si>
  <si>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</si>
  <si>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</si>
  <si>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</si>
  <si>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</si>
  <si>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</si>
  <si>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</si>
  <si>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</si>
  <si>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</si>
  <si>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</si>
  <si>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</si>
  <si>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</si>
  <si>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</si>
  <si>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</si>
  <si>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</si>
  <si>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</si>
  <si>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</si>
  <si>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</si>
  <si>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</si>
  <si>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</si>
  <si>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</si>
  <si>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</si>
  <si>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</si>
  <si>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</si>
  <si>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</si>
  <si>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</si>
  <si>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</si>
  <si>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</si>
  <si>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</si>
  <si>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</si>
  <si>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</si>
  <si>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</si>
  <si>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</si>
  <si>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</si>
  <si>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</si>
  <si>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</si>
  <si>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</si>
  <si>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</si>
  <si>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</si>
  <si>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</si>
  <si>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</si>
  <si>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</si>
  <si>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</si>
  <si>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</si>
  <si>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</si>
  <si>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</si>
  <si>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</si>
  <si>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</si>
  <si>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</si>
  <si>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</si>
  <si>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</si>
  <si>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</si>
  <si>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</si>
  <si>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</si>
  <si>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</si>
  <si>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</si>
  <si>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</si>
  <si>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</si>
  <si>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</si>
  <si>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</si>
  <si>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</si>
  <si>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</si>
  <si>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</si>
  <si>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</si>
  <si>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</si>
  <si>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</si>
  <si>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</si>
  <si>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</si>
  <si>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</si>
  <si>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</si>
  <si>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</si>
  <si>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</si>
  <si>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</si>
  <si>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</si>
  <si>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</si>
  <si>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(주)지아이씨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</si>
  <si>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</si>
  <si>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</si>
  <si>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</si>
  <si>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</si>
  <si>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</si>
  <si>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</si>
  <si>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</si>
  <si>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</si>
  <si>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</si>
  <si>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</si>
  <si>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</si>
  <si>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</si>
  <si>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</si>
  <si>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</si>
  <si>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</si>
  <si>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</si>
  <si>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</si>
  <si>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</si>
  <si>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</si>
  <si>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</si>
  <si>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</si>
  <si>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</si>
  <si>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</si>
  <si>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</si>
  <si>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</si>
  <si>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</si>
  <si>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</si>
  <si>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</si>
  <si>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</si>
  <si>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</si>
  <si>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</si>
  <si>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</si>
  <si>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</si>
  <si>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</si>
  <si>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</si>
  <si>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</si>
  <si>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</si>
  <si>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</si>
  <si>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</si>
  <si>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</si>
  <si>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</si>
  <si>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</si>
  <si>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</si>
  <si>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</si>
  <si>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</si>
  <si>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</si>
  <si>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</si>
  <si>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</si>
  <si>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</si>
  <si>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</si>
  <si>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</si>
  <si>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</si>
  <si>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</si>
  <si>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</si>
  <si>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</si>
  <si>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</si>
  <si>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</si>
  <si>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</si>
  <si>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</si>
  <si>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</si>
  <si>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</si>
  <si>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</si>
  <si>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</si>
  <si>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</si>
  <si>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</si>
  <si>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</si>
  <si>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</si>
  <si>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</si>
  <si>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</si>
  <si>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</si>
  <si>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</si>
  <si>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</si>
  <si>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</si>
  <si>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</si>
  <si>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</si>
  <si>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</si>
  <si>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</si>
  <si>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</si>
  <si>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</si>
  <si>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</si>
  <si>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</si>
  <si>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</si>
  <si>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</si>
  <si>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</si>
  <si>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</si>
  <si>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</si>
  <si>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</si>
  <si>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</si>
  <si>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</si>
  <si>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</si>
  <si>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</si>
  <si>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</si>
  <si>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</si>
  <si>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메카전자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</si>
  <si>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</si>
  <si>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</si>
  <si>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</si>
  <si>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</si>
  <si>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</si>
  <si>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</si>
  <si>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</si>
  <si>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</si>
  <si>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</si>
  <si>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</si>
  <si>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</si>
  <si>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</si>
  <si>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</si>
  <si>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</si>
  <si>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</si>
  <si>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</si>
  <si>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</si>
  <si>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</si>
  <si>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</si>
  <si>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2.공급 완료</t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</si>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</sst>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42" fontId="0" fillId="0" borderId="1" xfId="0" applyNumberForma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2" fontId="0" fillId="3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74</xdr:row>
      <xdr:rowOff>0</xdr:rowOff>
    </xdr:from>
    <xdr:to>
      <xdr:col>10</xdr:col>
      <xdr:colOff>304800</xdr:colOff>
      <xdr:row>75</xdr:row>
      <xdr:rowOff>85725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699.489789467596" createdVersion="7" refreshedVersion="7" minRefreshableVersion="3" recordCount="73" xr:uid="{68F36ED7-716F-4D9E-91E0-B523F2554E77}">
  <cacheSource type="worksheet">
    <worksheetSource ref="B2:W75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2-07T00:00:00"/>
    </cacheField>
    <cacheField name="공급업체" numFmtId="0">
      <sharedItems count="25">
        <s v="이엔엠테크놀러지"/>
        <s v="파츠맨"/>
        <s v="티엠에스"/>
        <s v="메카전자"/>
        <s v="아이리코(I RICCO)"/>
        <s v="㈜이송이엠씨"/>
        <s v="아이닉스"/>
        <s v="㈜메카전자"/>
        <s v="디에스테크놀로지"/>
        <s v="우석케미칼"/>
        <s v="㈜태신전자"/>
        <s v="㈜화인테크폴리머"/>
        <s v="박진호"/>
        <s v="㈜세일엔지니어링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드림온테크 유한회사"/>
        <s v="이동진"/>
        <s v="이노웍스코리아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680"/>
    </cacheField>
    <cacheField name="예상납기일 /_x000a_업무종료일자(프리랜서)" numFmtId="14">
      <sharedItems containsNonDate="0" containsDate="1" containsString="0" containsBlank="1" minDate="2024-09-07T00:00:00" maxDate="2025-05-02T00:00:00"/>
    </cacheField>
    <cacheField name="납기(계약서)" numFmtId="0">
      <sharedItems containsBlank="1"/>
    </cacheField>
    <cacheField name="납품일자 /_x000a_업무종료일자(프리랜서)" numFmtId="14">
      <sharedItems containsDate="1" containsBlank="1" containsMixedTypes="1" minDate="2024-06-15T00:00:00" maxDate="2025-02-06T00:00:00"/>
    </cacheField>
    <cacheField name="공급금액(US$)" numFmtId="0">
      <sharedItems containsString="0" containsBlank="1" containsNumber="1" containsInteger="1" minValue="4950" maxValue="4950"/>
    </cacheField>
    <cacheField name="공급금액(KRW)" numFmtId="42">
      <sharedItems containsSemiMixedTypes="0" containsString="0" containsNumber="1" containsInteger="1" minValue="34280" maxValue="66782940"/>
    </cacheField>
    <cacheField name="지불조건" numFmtId="0">
      <sharedItems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1.지불 완료"/>
        <s v="2.공급 완료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d v="2025-02-06T00:00:00"/>
    <x v="0"/>
    <m/>
    <s v="제BEUP LDJ25-0206-1호"/>
    <m/>
    <s v="TC170/i7-6600U 외 (5SET)"/>
    <n v="1"/>
    <d v="2025-05-01T00:00:00"/>
    <s v="발주 후 12주내"/>
    <m/>
    <m/>
    <n v="9760500"/>
    <s v="발주 후 선금 100% (2025년 3월초 지급 예정)"/>
    <s v="㈜지아이씨"/>
    <s v="GIC CSP24-0923-1호"/>
    <s v="계약 서명확인"/>
    <m/>
    <m/>
    <m/>
    <x v="0"/>
    <s v="VAT 별도"/>
    <s v="1_BEUPSYS\5-1_업체구매요청서\1_부품구매요청서및계약서\이엔엠테크놀러지\GIC CSP24-0923-1호\제BEUP LDJ25-0206-1호"/>
  </r>
  <r>
    <d v="2025-01-24T00:00:00"/>
    <x v="1"/>
    <m/>
    <s v="제BEUP LDJ25-0124-2호"/>
    <m/>
    <s v="2025년 1월 부자재류"/>
    <n v="1"/>
    <d v="2025-02-21T00:00:00"/>
    <s v="발주 후 4주내"/>
    <d v="2025-01-20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파츠맨\GIC CSP24-0913-1호 NVRCTMMSR 3종생산\제BEUP LDJ25-0124-2호"/>
  </r>
  <r>
    <d v="2025-01-24T00:00:00"/>
    <x v="1"/>
    <m/>
    <s v="제BEUP LDJ25-0124-1호"/>
    <m/>
    <s v="MOP 수리자재 외"/>
    <n v="1"/>
    <d v="2025-02-21T00:00:00"/>
    <s v="발주 후 4주내"/>
    <d v="2025-01-24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913-1호 NVRCTMMSR 3종생산\제BEUP LDJ25-0124-1호"/>
  </r>
  <r>
    <d v="2025-01-23T00:00:00"/>
    <x v="2"/>
    <m/>
    <s v="제BEUP JDS25-0122-1호"/>
    <m/>
    <s v="홍콩 MOP, CTM, MSR 환경시험"/>
    <n v="1"/>
    <d v="2025-03-06T00:00:00"/>
    <s v="발주 후 6주내"/>
    <m/>
    <m/>
    <n v="29900000"/>
    <s v="시험완료 보고서 완료시"/>
    <s v="㈜지아이씨"/>
    <s v="GIC CSP24-0524-1호"/>
    <s v="계약 서명확인"/>
    <m/>
    <m/>
    <m/>
    <x v="0"/>
    <s v="VAT 별도"/>
    <s v="1_BEUPSYS\5-1_업체구매요청서\1_부품구매요청서및계약서\티엠에스(전자파 인증관리)\240524_GIC CSP24-0524-1호_MOP외2종생산"/>
  </r>
  <r>
    <d v="2025-01-23T00:00:00"/>
    <x v="3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m/>
    <m/>
    <x v="2"/>
    <s v="VAT 별도"/>
    <s v="1_BEUPSYS\5-1_업체구매요청서\1_부품구매요청서및계약서\㈜메카전자\GIC CSP24-0913-1호 NVRCTMMSR 3종생산\NVR 수리자재"/>
  </r>
  <r>
    <d v="2025-01-23T00:00:00"/>
    <x v="4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0524_GIC CSP24-0524-1호_MOP외2종생산\제BEUP LDJ25-0123-1호"/>
  </r>
  <r>
    <d v="2025-01-16T00:00:00"/>
    <x v="5"/>
    <m/>
    <s v="제BEUP JDS25-0116-2호"/>
    <m/>
    <s v="품가스켓"/>
    <n v="1"/>
    <d v="2025-01-23T00:00:00"/>
    <m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1"/>
    <s v="VAT 별도"/>
    <s v="1_BEUPSYS\5-1_업체구매요청서\1_부품구매요청서및계약서\㈜이송이엠씨\GIC CSP24-0524-1호_MOP외2종생산\제BEUP JDS25-0116-2호"/>
  </r>
  <r>
    <d v="2025-01-16T00:00:00"/>
    <x v="6"/>
    <m/>
    <s v="제BEUP JDS25-0116-1호"/>
    <m/>
    <s v="HK MOP CTM 자재"/>
    <n v="1"/>
    <m/>
    <m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/5-1_업체구매요청서/1_부품구매요청서및계약서/아이닉스/GIC CSP24-0524-1호_MOP외2종생산/제BEUP JDS25-0116-1호"/>
  </r>
  <r>
    <d v="2025-01-13T00:00:00"/>
    <x v="7"/>
    <m/>
    <s v="제BEUP LDJ25-0113-1호"/>
    <m/>
    <s v="HK CTM 보드 PCB 외"/>
    <n v="80"/>
    <m/>
    <m/>
    <m/>
    <m/>
    <n v="13088000"/>
    <s v="물품납기시"/>
    <s v="㈜지아이씨"/>
    <s v="GIC CSP24-0913-1호"/>
    <s v="계약 서명확인"/>
    <m/>
    <m/>
    <m/>
    <x v="0"/>
    <s v="VAT 별도"/>
    <s v="1_BEUPSYS\5-1_업체구매요청서\1_부품구매요청서및계약서\㈜메카전자\GIC CSP24-0913-1호_CTM 생산"/>
  </r>
  <r>
    <d v="2025-01-09T00:00:00"/>
    <x v="4"/>
    <m/>
    <s v="제BEUP LDJ25-0109-2호"/>
    <m/>
    <s v="HK MOP SUB 보드 제작 SMT 작업"/>
    <n v="1"/>
    <m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1016_GIC CSP24-0524-2호_PSR-Hub외9종생산\2025-1 구매 진행"/>
  </r>
  <r>
    <d v="2025-01-09T00:00:00"/>
    <x v="1"/>
    <s v="-"/>
    <s v="제BEUP LDJ25-0109-1호"/>
    <m/>
    <s v="HK MOP SUB 보드 제작 사급자재 외"/>
    <n v="1"/>
    <m/>
    <m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524-2호_PSR-Hub외9종생산\2025-1 구매 진행"/>
  </r>
  <r>
    <d v="2025-01-02T00:00:00"/>
    <x v="8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1"/>
    <s v="VAT 별도"/>
    <s v="1_BEUPSYS/5-1_업체구매요청서/1_부품구매요청서및계약서/디에스테크놀로지/240923_GIC CSP24-0923-1호_MSR PWR Board for MSR외 10종"/>
  </r>
  <r>
    <d v="2025-01-02T00:00:00"/>
    <x v="9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1"/>
    <s v="VAT 별도"/>
    <s v="1_BEUPSYS/5-1_업체구매요청서/1_부품구매요청서및계약서/우석케미칼/240923_GIC CSP24-0923-1호_MSR PWR Board for MSR외 10종"/>
  </r>
  <r>
    <d v="2024-12-27T00:00:00"/>
    <x v="4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0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태신전자\GIC CSP24-0913-1호 NVRCTMMSR 3종생산\3_MOPSUB추가생산"/>
  </r>
  <r>
    <d v="2024-12-26T00:00:00"/>
    <x v="1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c"/>
  </r>
  <r>
    <d v="2024-12-26T00:00:00"/>
    <x v="1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12월부자재-서명완료지급필요_1304260"/>
  </r>
  <r>
    <d v="2024-12-24T00:00:00"/>
    <x v="7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㈜메카전자\GIC CSP24-0913-1호 NVRCTMMSR 3종생산\MSR-SSD_조립생산"/>
  </r>
  <r>
    <d v="2024-12-24T00:00:00"/>
    <x v="7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메카전자\GIC CSP24-0913-1호 NVRCTMMSR 3종생산\NVR생산"/>
  </r>
  <r>
    <d v="2024-12-24T00:00:00"/>
    <x v="7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1"/>
    <s v="VAT 별도"/>
    <s v="1_BEUPSYS\5-1_업체구매요청서\1_부품구매요청서및계약서\㈜메카전자\GIC CSP24-0913-1호 NVRCTMMSR 3종생산\MOPLCD"/>
  </r>
  <r>
    <d v="2024-12-19T00:00:00"/>
    <x v="4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(주)지아이씨"/>
    <s v="GIC CSP24-0524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아이리코(I RICCO)\240524_GIC CSP24-0524-1호_MOP외2종생산\제BEUP JDS24-1219-1호"/>
  </r>
  <r>
    <d v="2024-12-19T00:00:00"/>
    <x v="5"/>
    <s v="ES20241217-06"/>
    <s v="제BEUP JDS24-1218-1호"/>
    <n v="1"/>
    <s v="품가스켓"/>
    <n v="100"/>
    <d v="2025-01-16T00:00:00"/>
    <m/>
    <d v="2025-01-02T00:00:00"/>
    <m/>
    <n v="180000"/>
    <s v="납품 후 지급"/>
    <s v="(주)지아이씨"/>
    <s v="GIC CSP24-0524-1호"/>
    <s v="계약 서명확인"/>
    <s v="입고 확인"/>
    <s v="250102 전자세금계산서"/>
    <s v="250121 지급(입금) / 매입증빙 확인"/>
    <x v="1"/>
    <s v="VAT 별도"/>
    <s v="1_BEUPSYS\5-1_업체구매요청서\1_부품구매요청서및계약서\㈜이송이엠씨\GIC CSP24-0524-1호_MOP외2종생산"/>
  </r>
  <r>
    <d v="2024-12-18T00:00:00"/>
    <x v="11"/>
    <s v="024002"/>
    <s v="제BEUP JDS24-1218-2호"/>
    <n v="1"/>
    <s v="EPDM SEALING FOAM"/>
    <n v="300"/>
    <d v="2025-01-15T00:00:00"/>
    <m/>
    <d v="2024-12-18T00:00:00"/>
    <m/>
    <n v="270000"/>
    <s v="납품 후 지급"/>
    <s v="(주)지아이씨"/>
    <s v="GIC CSP24-0524-1호"/>
    <s v="계약 서명확인"/>
    <s v="입고 확인"/>
    <s v="241231 전자세금계산서"/>
    <s v="250121 지급(입금) / 매입증빙 확인"/>
    <x v="1"/>
    <s v="VAT 별도"/>
    <s v="1_BEUPSYS\5-1_업체구매요청서\1_부품구매요청서및계약서\㈜화인테크폴리머\GIC CSP24-0524-1호_MOP외2종생산"/>
  </r>
  <r>
    <d v="2024-12-16T00:00:00"/>
    <x v="6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닉스/GIC CSP24-0524-1호_MOP외2종생산"/>
  </r>
  <r>
    <d v="2024-12-13T00:00:00"/>
    <x v="4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아이리코/240524_GIC CSP24-0524-1호_MOP외2종생산"/>
  </r>
  <r>
    <d v="2024-12-11T00:00:00"/>
    <x v="12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d v="2024-12-11T00:00:00"/>
    <x v="12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1"/>
    <s v="사업소득세 3.3% 공제"/>
    <s v="1_BEUPSYS\5-1_업체구매요청서\1_부품구매요청서및계약서\프리렌서계약_박진호\DWE-2024-JUN-11-001_7호선3차분TCMS개조"/>
  </r>
  <r>
    <d v="2024-12-03T00:00:00"/>
    <x v="1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1"/>
    <s v="VAT 별도"/>
    <s v="1_BEUPSYS\5-1_업체구매요청서\1_부품구매요청서및계약서\파츠맨\GIC CSP24-0913-1호 NVRCTMMSR 3종생산\SSD-서명완료지급필요_1,575,350"/>
  </r>
  <r>
    <d v="2024-11-25T00:00:00"/>
    <x v="1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11월자재비용"/>
  </r>
  <r>
    <d v="2024-11-12T00:00:00"/>
    <x v="1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NVRCTM추가자재"/>
  </r>
  <r>
    <d v="2024-11-12T00:00:00"/>
    <x v="1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PBX추가자재(수리용)"/>
  </r>
  <r>
    <d v="2024-11-05T00:00:00"/>
    <x v="1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MOPLCD"/>
  </r>
  <r>
    <d v="2024-11-02T00:00:00"/>
    <x v="1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MOP추가생산"/>
  </r>
  <r>
    <d v="2024-11-02T00:00:00"/>
    <x v="1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VOIPMODULE추가생산"/>
  </r>
  <r>
    <d v="2024-11-06T00:00:00"/>
    <x v="13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1"/>
    <s v="VAT 별도"/>
    <s v="1_BEUPSYS\5-1_업체구매요청서\1_부품구매요청서및계약서\㈜세일엔지니어링\241104_GIC CSP24-0524-1호_MOP외2종"/>
  </r>
  <r>
    <d v="2024-11-01T00:00:00"/>
    <x v="1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23-1호 추가PCB공급건\10월자재진행"/>
  </r>
  <r>
    <d v="2024-11-01T00:00:00"/>
    <x v="3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1"/>
    <s v="VAT 별도"/>
    <s v="1_BEUPSYS\5-1_업체구매요청서\1_부품구매요청서및계약서\㈜메카전자\GIC CSP24-0913-1호 NVRCTMMSR 3종생산"/>
  </r>
  <r>
    <d v="2024-10-30T00:00:00"/>
    <x v="4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0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1"/>
    <s v="VAT 별도"/>
    <s v="1_BEUPSYS\5-1_업체구매요청서\1_부품구매요청서및계약서\(주)태신전자\GIC CSP24-0913-1호 NVRCTMMSR 3종생산\2_SSD"/>
  </r>
  <r>
    <d v="2024-10-24T00:00:00"/>
    <x v="14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1"/>
    <s v="VAT 별도"/>
    <s v="1_BEUPSYS\5-1_업체구매요청서\1_부품구매요청서및계약서\캐드존\240524_GIC CSP24-0524-1호_MOP외2종생산"/>
  </r>
  <r>
    <d v="2024-10-21T00:00:00"/>
    <x v="15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1"/>
    <s v="VAT 별도"/>
    <s v="1_BEUPSYS\5-1_업체구매요청서\1_부품구매요청서및계약서\일성\GIC CSP24-0913-1호 NVRCTMMSR 3종생산"/>
  </r>
  <r>
    <d v="2024-10-18T00:00:00"/>
    <x v="16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1"/>
    <s v="VAT 별도"/>
    <s v="1_BEUPSYS\5-1_업체구매요청서\1_부품구매요청서및계약서\㈜엔에스티정보통신\GIC CSP24-0923-1호_MSR PWR Board for MSR외 10종\제BEUP JDS24-1018-2호"/>
  </r>
  <r>
    <d v="2024-10-18T00:00:00"/>
    <x v="4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0409_GIC CSP24-0409-1호_PAB외4종생산\241018_BEUP JDS24-1018-1_PAB 배선작업"/>
  </r>
  <r>
    <d v="2024-10-17T00:00:00"/>
    <x v="6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1"/>
    <s v="VAT 별도"/>
    <s v="1_BEUPSYS/5-1_업체구매요청서/1_부품구매요청서및계약서/아이닉스/GIC CSP24-0923-1호_MSR PWR Board for MSR외 10종"/>
  </r>
  <r>
    <d v="2024-10-15T00:00:00"/>
    <x v="10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0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0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0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0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0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08T00:00:00"/>
    <x v="1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13-1호 NVRCTMMSR 3종생산\CTM"/>
  </r>
  <r>
    <d v="2024-10-08T00:00:00"/>
    <x v="17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1"/>
    <s v="VAT 별도"/>
    <s v="1_BEUPSYS\5-1_업체구매요청서\1_부품구매요청서및계약서\㈜유에스케이\GIC CSP24-0524-2호_PSR-Hub외9종생산\6종_Front Panel"/>
  </r>
  <r>
    <d v="2024-10-08T00:00:00"/>
    <x v="18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이지파워/GIC CSP24-0524-2호_PSR-Hub외9종생산/제BEUP JDS24-1007-2호"/>
  </r>
  <r>
    <d v="2024-10-08T00:00:00"/>
    <x v="4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9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1"/>
    <s v="VAT 별도"/>
    <s v="1_BEUPSYS\5-1_업체구매요청서\1_부품구매요청서및계약서\주식회사 일렉콤티에스\GIC CSP24-0913-1호 NVRCTMMSR 3종생산\MSR_SC"/>
  </r>
  <r>
    <d v="2024-09-24T00:00:00"/>
    <x v="4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m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23-1호 추가PCB공급건\9월자재비용"/>
  </r>
  <r>
    <d v="2024-09-23T00:00:00"/>
    <x v="1"/>
    <m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13-1호 NVRCTMMSR 3종생산\NVR"/>
  </r>
  <r>
    <d v="2024-09-14T00:00:00"/>
    <x v="20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1"/>
    <s v="VAT 별도"/>
    <s v="1_BEUPSYS\5-1_업체구매요청서\1_부품구매요청서및계약서\바이슨"/>
  </r>
  <r>
    <d v="2024-09-14T00:00:00"/>
    <x v="20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1"/>
    <s v="VAT 별도"/>
    <s v="1_BEUPSYS\5-1_업체구매요청서\1_부품구매요청서및계약서\바이슨"/>
  </r>
  <r>
    <d v="2024-09-13T00:00:00"/>
    <x v="6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다원시스"/>
    <s v="DWE-2024-JUN-11-001"/>
    <s v="계약 서명확인"/>
    <s v="입고 확인"/>
    <s v="240927 전자세금계산서"/>
    <s v="241017 지급(입금) / 매입증빙 확인"/>
    <x v="1"/>
    <s v="VAT 별도"/>
    <s v="1_BEUPSYS\5-1_업체구매요청서\1_부품구매요청서및계약서\아이닉스\DWE-2024-JUN-11-001_7호선3차분TCMS개조_CSC수리부품구매"/>
  </r>
  <r>
    <d v="2024-09-09T00:00:00"/>
    <x v="18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1"/>
    <s v="VAT 별도"/>
    <s v="1_BEUPSYS\5-1_업체구매요청서\1_부품구매요청서및계약서\이지파워\GIC CSP24-0524-2호_PSR-Hub외9종생산\제BEUP_24-0909-1호"/>
  </r>
  <r>
    <d v="2024-09-09T00:00:00"/>
    <x v="15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1"/>
    <s v="VAT 별도"/>
    <s v="1_BEUPSYS\5-1_업체구매요청서\1_부품구매요청서및계약서\(주)일성\GIC CSP24-0524-2호_PSR-Hub외9종생산"/>
  </r>
  <r>
    <d v="2024-09-09T00:00:00"/>
    <x v="15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1"/>
    <s v="VAT 별도"/>
    <s v="1_BEUPSYS\5-1_업체구매요청서\1_부품구매요청서및계약서\(주)일성\GIC CSP24-0524-2호_PSR-Hub외9종생산"/>
  </r>
  <r>
    <d v="2024-09-09T00:00:00"/>
    <x v="15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1"/>
    <s v="VAT 별도"/>
    <s v="1_BEUPSYS\5-1_업체구매요청서\1_부품구매요청서및계약서\(주)일성\GIC CSP24-0524-2호_PSR-Hub외9종생산"/>
  </r>
  <r>
    <d v="2024-09-06T00:00:00"/>
    <x v="4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1"/>
    <s v="VAT 별도"/>
    <s v="1_BEUPSYS\5-1_업체구매요청서\1_부품구매요청서및계약서\아이리코(I RICCO)\241016_GIC CSP24-0524-2호_PSR-Hub외9종생산\Board 코팅"/>
  </r>
  <r>
    <d v="2024-08-28T00:00:00"/>
    <x v="1"/>
    <m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1"/>
    <s v="VAT 별도"/>
    <s v="1_BEUPSYS\5-1_업체구매요청서\1_부품구매요청서및계약서\파츠맨\GIC CSP24-0524-2호_PSR-Hub외9종생산\8월자재진행"/>
  </r>
  <r>
    <d v="2024-08-21T00:00:00"/>
    <x v="6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1"/>
    <s v="VAT 별도"/>
    <s v="1_BEUPSYS\5-1_업체구매요청서\1_부품구매요청서및계약서\아이닉스\GIC CSP24-0524-2호_PSR-Hub외9종생산"/>
  </r>
  <r>
    <d v="2024-07-22T00:00:00"/>
    <x v="21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1"/>
    <s v="VAT 별도"/>
    <s v="1_BEUPSYS\5-1_업체구매요청서\1_부품구매요청서및계약서\유니퀘스트㈜\240524_GIC CSP24-0524-1호_MOP외2종생산"/>
  </r>
  <r>
    <d v="2024-06-15T00:00:00"/>
    <x v="22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22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22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1"/>
    <s v="VAT 별도"/>
    <s v="1_BEUPSYS\5-1_업체구매요청서\1_부품구매요청서및계약서\드림온테크 유한회사\240524_GIC CSP24-0524-1호_MOP외2종생산"/>
  </r>
  <r>
    <d v="2024-04-10T00:00:00"/>
    <x v="23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1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4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F29" firstHeaderRow="1" firstDataRow="2" firstDataCol="1"/>
  <pivotFields count="22">
    <pivotField numFmtId="176" showAll="0"/>
    <pivotField axis="axisRow" showAll="0">
      <items count="26">
        <item x="22"/>
        <item x="3"/>
        <item x="20"/>
        <item x="12"/>
        <item x="6"/>
        <item x="4"/>
        <item x="21"/>
        <item x="23"/>
        <item x="18"/>
        <item x="7"/>
        <item x="13"/>
        <item x="16"/>
        <item x="17"/>
        <item x="5"/>
        <item x="19"/>
        <item x="15"/>
        <item x="10"/>
        <item x="11"/>
        <item x="14"/>
        <item x="1"/>
        <item x="8"/>
        <item x="9"/>
        <item x="2"/>
        <item x="0"/>
        <item m="1"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m="1" x="3"/>
        <item t="default"/>
      </items>
    </pivotField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29"/>
  <sheetViews>
    <sheetView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1.625" bestFit="1" customWidth="1"/>
    <col min="5" max="5" width="13.625" bestFit="1" customWidth="1"/>
    <col min="6" max="7" width="14.875" bestFit="1" customWidth="1"/>
  </cols>
  <sheetData>
    <row r="3" spans="2:6" x14ac:dyDescent="0.3">
      <c r="B3" s="32" t="s">
        <v>325</v>
      </c>
      <c r="C3" s="32" t="s">
        <v>333</v>
      </c>
    </row>
    <row r="4" spans="2:6" x14ac:dyDescent="0.3">
      <c r="B4" s="32" t="s">
        <v>335</v>
      </c>
      <c r="C4" t="s">
        <v>330</v>
      </c>
      <c r="D4" t="s">
        <v>329</v>
      </c>
      <c r="E4" t="s">
        <v>331</v>
      </c>
      <c r="F4" t="s">
        <v>324</v>
      </c>
    </row>
    <row r="5" spans="2:6" x14ac:dyDescent="0.3">
      <c r="B5" s="33" t="s">
        <v>308</v>
      </c>
      <c r="C5" s="37">
        <v>80000000</v>
      </c>
      <c r="D5" s="37"/>
      <c r="E5" s="37"/>
      <c r="F5" s="37">
        <v>80000000</v>
      </c>
    </row>
    <row r="6" spans="2:6" x14ac:dyDescent="0.3">
      <c r="B6" s="33" t="s">
        <v>309</v>
      </c>
      <c r="C6" s="37">
        <v>6675000</v>
      </c>
      <c r="D6" s="37">
        <v>34280</v>
      </c>
      <c r="E6" s="37"/>
      <c r="F6" s="37">
        <v>6709280</v>
      </c>
    </row>
    <row r="7" spans="2:6" x14ac:dyDescent="0.3">
      <c r="B7" s="33" t="s">
        <v>310</v>
      </c>
      <c r="C7" s="37">
        <v>5544000</v>
      </c>
      <c r="D7" s="37"/>
      <c r="E7" s="37"/>
      <c r="F7" s="37">
        <v>5544000</v>
      </c>
    </row>
    <row r="8" spans="2:6" x14ac:dyDescent="0.3">
      <c r="B8" s="33" t="s">
        <v>311</v>
      </c>
      <c r="C8" s="37">
        <v>3000000</v>
      </c>
      <c r="D8" s="37"/>
      <c r="E8" s="37">
        <v>3000000</v>
      </c>
      <c r="F8" s="37">
        <v>6000000</v>
      </c>
    </row>
    <row r="9" spans="2:6" x14ac:dyDescent="0.3">
      <c r="B9" s="33" t="s">
        <v>312</v>
      </c>
      <c r="C9" s="37">
        <v>11173250</v>
      </c>
      <c r="D9" s="37"/>
      <c r="E9" s="37"/>
      <c r="F9" s="37">
        <v>11173250</v>
      </c>
    </row>
    <row r="10" spans="2:6" x14ac:dyDescent="0.3">
      <c r="B10" s="33" t="s">
        <v>248</v>
      </c>
      <c r="C10" s="37">
        <v>27306400</v>
      </c>
      <c r="D10" s="37"/>
      <c r="E10" s="37"/>
      <c r="F10" s="37">
        <v>27306400</v>
      </c>
    </row>
    <row r="11" spans="2:6" x14ac:dyDescent="0.3">
      <c r="B11" s="33" t="s">
        <v>313</v>
      </c>
      <c r="C11" s="37">
        <v>6637950</v>
      </c>
      <c r="D11" s="37"/>
      <c r="E11" s="37"/>
      <c r="F11" s="37">
        <v>6637950</v>
      </c>
    </row>
    <row r="12" spans="2:6" x14ac:dyDescent="0.3">
      <c r="B12" s="33" t="s">
        <v>314</v>
      </c>
      <c r="C12" s="37">
        <v>5000000</v>
      </c>
      <c r="D12" s="37"/>
      <c r="E12" s="37"/>
      <c r="F12" s="37">
        <v>5000000</v>
      </c>
    </row>
    <row r="13" spans="2:6" x14ac:dyDescent="0.3">
      <c r="B13" s="33" t="s">
        <v>315</v>
      </c>
      <c r="C13" s="37">
        <v>10155000</v>
      </c>
      <c r="D13" s="37"/>
      <c r="E13" s="37"/>
      <c r="F13" s="37">
        <v>10155000</v>
      </c>
    </row>
    <row r="14" spans="2:6" x14ac:dyDescent="0.3">
      <c r="B14" s="33" t="s">
        <v>251</v>
      </c>
      <c r="C14" s="37">
        <v>10519000</v>
      </c>
      <c r="D14" s="37"/>
      <c r="E14" s="37">
        <v>13088000</v>
      </c>
      <c r="F14" s="37">
        <v>23607000</v>
      </c>
    </row>
    <row r="15" spans="2:6" x14ac:dyDescent="0.3">
      <c r="B15" s="33" t="s">
        <v>316</v>
      </c>
      <c r="C15" s="37">
        <v>330000</v>
      </c>
      <c r="D15" s="37"/>
      <c r="E15" s="37"/>
      <c r="F15" s="37">
        <v>330000</v>
      </c>
    </row>
    <row r="16" spans="2:6" x14ac:dyDescent="0.3">
      <c r="B16" s="33" t="s">
        <v>317</v>
      </c>
      <c r="C16" s="37">
        <v>1900000</v>
      </c>
      <c r="D16" s="37"/>
      <c r="E16" s="37"/>
      <c r="F16" s="37">
        <v>1900000</v>
      </c>
    </row>
    <row r="17" spans="2:6" x14ac:dyDescent="0.3">
      <c r="B17" s="33" t="s">
        <v>318</v>
      </c>
      <c r="C17" s="37">
        <v>1970000</v>
      </c>
      <c r="D17" s="37"/>
      <c r="E17" s="37"/>
      <c r="F17" s="37">
        <v>1970000</v>
      </c>
    </row>
    <row r="18" spans="2:6" x14ac:dyDescent="0.3">
      <c r="B18" s="33" t="s">
        <v>319</v>
      </c>
      <c r="C18" s="37">
        <v>360000</v>
      </c>
      <c r="D18" s="37"/>
      <c r="E18" s="37"/>
      <c r="F18" s="37">
        <v>360000</v>
      </c>
    </row>
    <row r="19" spans="2:6" x14ac:dyDescent="0.3">
      <c r="B19" s="33" t="s">
        <v>320</v>
      </c>
      <c r="C19" s="37">
        <v>66782940</v>
      </c>
      <c r="D19" s="37"/>
      <c r="E19" s="37"/>
      <c r="F19" s="37">
        <v>66782940</v>
      </c>
    </row>
    <row r="20" spans="2:6" x14ac:dyDescent="0.3">
      <c r="B20" s="33" t="s">
        <v>321</v>
      </c>
      <c r="C20" s="37">
        <v>45058000</v>
      </c>
      <c r="D20" s="37"/>
      <c r="E20" s="37"/>
      <c r="F20" s="37">
        <v>45058000</v>
      </c>
    </row>
    <row r="21" spans="2:6" x14ac:dyDescent="0.3">
      <c r="B21" s="33" t="s">
        <v>249</v>
      </c>
      <c r="C21" s="37">
        <v>6843000</v>
      </c>
      <c r="D21" s="37"/>
      <c r="E21" s="37"/>
      <c r="F21" s="37">
        <v>6843000</v>
      </c>
    </row>
    <row r="22" spans="2:6" x14ac:dyDescent="0.3">
      <c r="B22" s="33" t="s">
        <v>322</v>
      </c>
      <c r="C22" s="37">
        <v>270000</v>
      </c>
      <c r="D22" s="37"/>
      <c r="E22" s="37"/>
      <c r="F22" s="37">
        <v>270000</v>
      </c>
    </row>
    <row r="23" spans="2:6" x14ac:dyDescent="0.3">
      <c r="B23" s="33" t="s">
        <v>323</v>
      </c>
      <c r="C23" s="37">
        <v>4090000</v>
      </c>
      <c r="D23" s="37"/>
      <c r="E23" s="37"/>
      <c r="F23" s="37">
        <v>4090000</v>
      </c>
    </row>
    <row r="24" spans="2:6" x14ac:dyDescent="0.3">
      <c r="B24" s="33" t="s">
        <v>250</v>
      </c>
      <c r="C24" s="37">
        <v>56142885</v>
      </c>
      <c r="D24" s="37"/>
      <c r="E24" s="37"/>
      <c r="F24" s="37">
        <v>56142885</v>
      </c>
    </row>
    <row r="25" spans="2:6" x14ac:dyDescent="0.3">
      <c r="B25" s="33" t="s">
        <v>347</v>
      </c>
      <c r="C25" s="37">
        <v>3300000</v>
      </c>
      <c r="D25" s="37"/>
      <c r="E25" s="37"/>
      <c r="F25" s="37">
        <v>3300000</v>
      </c>
    </row>
    <row r="26" spans="2:6" x14ac:dyDescent="0.3">
      <c r="B26" s="33" t="s">
        <v>348</v>
      </c>
      <c r="C26" s="37">
        <v>368000</v>
      </c>
      <c r="D26" s="37"/>
      <c r="E26" s="37"/>
      <c r="F26" s="37">
        <v>368000</v>
      </c>
    </row>
    <row r="27" spans="2:6" x14ac:dyDescent="0.3">
      <c r="B27" s="33" t="s">
        <v>411</v>
      </c>
      <c r="C27" s="37"/>
      <c r="D27" s="37"/>
      <c r="E27" s="37">
        <v>29900000</v>
      </c>
      <c r="F27" s="37">
        <v>29900000</v>
      </c>
    </row>
    <row r="28" spans="2:6" x14ac:dyDescent="0.3">
      <c r="B28" s="33" t="s">
        <v>413</v>
      </c>
      <c r="C28" s="37"/>
      <c r="D28" s="37"/>
      <c r="E28" s="37">
        <v>9760500</v>
      </c>
      <c r="F28" s="37">
        <v>9760500</v>
      </c>
    </row>
    <row r="29" spans="2:6" x14ac:dyDescent="0.3">
      <c r="B29" s="33" t="s">
        <v>324</v>
      </c>
      <c r="C29" s="37">
        <v>353425425</v>
      </c>
      <c r="D29" s="37">
        <v>34280</v>
      </c>
      <c r="E29" s="37">
        <v>55748500</v>
      </c>
      <c r="F29" s="37">
        <v>409208205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75"/>
  <sheetViews>
    <sheetView tabSelected="1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 x14ac:dyDescent="0.3"/>
  <cols>
    <col min="1" max="1" width="9" bestFit="1" customWidth="1"/>
    <col min="2" max="2" width="13" style="40" customWidth="1"/>
    <col min="3" max="3" width="20.875" customWidth="1"/>
    <col min="4" max="4" width="21" style="24" customWidth="1"/>
    <col min="5" max="5" width="24" bestFit="1" customWidth="1"/>
    <col min="6" max="6" width="8" customWidth="1"/>
    <col min="7" max="7" width="37" bestFit="1" customWidth="1"/>
    <col min="8" max="8" width="11.5" bestFit="1" customWidth="1"/>
    <col min="9" max="9" width="28.375" style="40" bestFit="1" customWidth="1"/>
    <col min="10" max="10" width="18.125" style="55" bestFit="1" customWidth="1"/>
    <col min="11" max="11" width="24" style="40" bestFit="1" customWidth="1"/>
    <col min="12" max="12" width="13" bestFit="1" customWidth="1"/>
    <col min="13" max="13" width="18.5" style="59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9"/>
      <c r="Y1" t="s">
        <v>4</v>
      </c>
      <c r="Z1" s="2"/>
    </row>
    <row r="2" spans="1:26" s="55" customFormat="1" ht="33" x14ac:dyDescent="0.3">
      <c r="B2" s="41" t="s">
        <v>33</v>
      </c>
      <c r="C2" s="51" t="s">
        <v>336</v>
      </c>
      <c r="D2" s="52" t="s">
        <v>6</v>
      </c>
      <c r="E2" s="51" t="s">
        <v>1</v>
      </c>
      <c r="F2" s="51" t="s">
        <v>8</v>
      </c>
      <c r="G2" s="51" t="s">
        <v>2</v>
      </c>
      <c r="H2" s="51" t="s">
        <v>10</v>
      </c>
      <c r="I2" s="41" t="s">
        <v>223</v>
      </c>
      <c r="J2" s="51" t="s">
        <v>109</v>
      </c>
      <c r="K2" s="41" t="s">
        <v>221</v>
      </c>
      <c r="L2" s="53" t="s">
        <v>290</v>
      </c>
      <c r="M2" s="54" t="s">
        <v>291</v>
      </c>
      <c r="N2" s="51" t="s">
        <v>3</v>
      </c>
      <c r="O2" s="51" t="s">
        <v>9</v>
      </c>
      <c r="P2" s="51" t="s">
        <v>0</v>
      </c>
      <c r="Q2" s="51" t="s">
        <v>110</v>
      </c>
      <c r="R2" s="51" t="s">
        <v>111</v>
      </c>
      <c r="S2" s="51" t="s">
        <v>112</v>
      </c>
      <c r="T2" s="51" t="s">
        <v>113</v>
      </c>
      <c r="U2" s="51" t="s">
        <v>334</v>
      </c>
      <c r="V2" s="51" t="s">
        <v>114</v>
      </c>
      <c r="W2" s="51" t="s">
        <v>394</v>
      </c>
      <c r="Y2" s="55" t="s">
        <v>5</v>
      </c>
      <c r="Z2" s="56"/>
    </row>
    <row r="3" spans="1:26" s="55" customFormat="1" x14ac:dyDescent="0.3">
      <c r="B3" s="41">
        <v>45694</v>
      </c>
      <c r="C3" s="1" t="s">
        <v>413</v>
      </c>
      <c r="D3" s="52"/>
      <c r="E3" s="1" t="s">
        <v>414</v>
      </c>
      <c r="F3" s="51"/>
      <c r="G3" s="1" t="s">
        <v>415</v>
      </c>
      <c r="H3" s="51">
        <v>1</v>
      </c>
      <c r="I3" s="41">
        <v>45778</v>
      </c>
      <c r="J3" s="51" t="s">
        <v>416</v>
      </c>
      <c r="K3" s="41"/>
      <c r="L3" s="53"/>
      <c r="M3" s="39">
        <v>9760500</v>
      </c>
      <c r="N3" s="1" t="s">
        <v>421</v>
      </c>
      <c r="O3" s="1" t="s">
        <v>271</v>
      </c>
      <c r="P3" s="1" t="s">
        <v>182</v>
      </c>
      <c r="Q3" s="1" t="s">
        <v>373</v>
      </c>
      <c r="R3" s="51"/>
      <c r="S3" s="51"/>
      <c r="T3" s="51"/>
      <c r="U3" s="38" t="str">
        <f t="shared" ref="U3:U67" si="0">IF(ISBLANK(T3)=FALSE, "1.지불 완료", IF(ISBLANK(R3)=FALSE, "2.공급 완료", "3.진행 중"))</f>
        <v>3.진행 중</v>
      </c>
      <c r="V3" s="5" t="s">
        <v>274</v>
      </c>
      <c r="W3" s="1" t="s">
        <v>417</v>
      </c>
      <c r="Z3" s="56"/>
    </row>
    <row r="4" spans="1:26" s="55" customFormat="1" x14ac:dyDescent="0.3">
      <c r="B4" s="43">
        <v>45681</v>
      </c>
      <c r="C4" s="6" t="s">
        <v>23</v>
      </c>
      <c r="D4" s="70"/>
      <c r="E4" s="6" t="s">
        <v>408</v>
      </c>
      <c r="F4" s="67"/>
      <c r="G4" s="6" t="s">
        <v>410</v>
      </c>
      <c r="H4" s="67">
        <v>1</v>
      </c>
      <c r="I4" s="43">
        <f>B4+28</f>
        <v>45709</v>
      </c>
      <c r="J4" s="67" t="s">
        <v>392</v>
      </c>
      <c r="K4" s="43">
        <v>45677</v>
      </c>
      <c r="L4" s="71"/>
      <c r="M4" s="69">
        <v>1335200</v>
      </c>
      <c r="N4" s="6" t="s">
        <v>280</v>
      </c>
      <c r="O4" s="6" t="s">
        <v>271</v>
      </c>
      <c r="P4" s="6" t="s">
        <v>272</v>
      </c>
      <c r="Q4" s="6" t="s">
        <v>22</v>
      </c>
      <c r="R4" s="6" t="s">
        <v>78</v>
      </c>
      <c r="S4" s="6" t="s">
        <v>398</v>
      </c>
      <c r="T4" s="6" t="s">
        <v>420</v>
      </c>
      <c r="U4" s="11" t="str">
        <f t="shared" si="0"/>
        <v>1.지불 완료</v>
      </c>
      <c r="V4" s="8" t="s">
        <v>274</v>
      </c>
      <c r="W4" s="6" t="s">
        <v>407</v>
      </c>
      <c r="Z4" s="56"/>
    </row>
    <row r="5" spans="1:26" s="55" customFormat="1" x14ac:dyDescent="0.3">
      <c r="B5" s="43">
        <v>45681</v>
      </c>
      <c r="C5" s="6" t="s">
        <v>23</v>
      </c>
      <c r="D5" s="70"/>
      <c r="E5" s="6" t="s">
        <v>405</v>
      </c>
      <c r="F5" s="67"/>
      <c r="G5" s="6" t="s">
        <v>409</v>
      </c>
      <c r="H5" s="67">
        <v>1</v>
      </c>
      <c r="I5" s="43">
        <f>B5+28</f>
        <v>45709</v>
      </c>
      <c r="J5" s="67" t="s">
        <v>392</v>
      </c>
      <c r="K5" s="43">
        <v>45681</v>
      </c>
      <c r="L5" s="71"/>
      <c r="M5" s="69">
        <v>1039000</v>
      </c>
      <c r="N5" s="6" t="s">
        <v>280</v>
      </c>
      <c r="O5" s="6" t="s">
        <v>271</v>
      </c>
      <c r="P5" s="6" t="s">
        <v>272</v>
      </c>
      <c r="Q5" s="6" t="s">
        <v>22</v>
      </c>
      <c r="R5" s="6" t="s">
        <v>78</v>
      </c>
      <c r="S5" s="6" t="s">
        <v>412</v>
      </c>
      <c r="T5" s="6" t="s">
        <v>420</v>
      </c>
      <c r="U5" s="11" t="str">
        <f t="shared" si="0"/>
        <v>1.지불 완료</v>
      </c>
      <c r="V5" s="8" t="s">
        <v>274</v>
      </c>
      <c r="W5" s="6" t="s">
        <v>406</v>
      </c>
      <c r="Z5" s="56"/>
    </row>
    <row r="6" spans="1:26" s="55" customFormat="1" x14ac:dyDescent="0.3">
      <c r="B6" s="41">
        <v>45680</v>
      </c>
      <c r="C6" s="1" t="s">
        <v>400</v>
      </c>
      <c r="D6" s="52"/>
      <c r="E6" s="1" t="s">
        <v>404</v>
      </c>
      <c r="F6" s="51"/>
      <c r="G6" s="1" t="s">
        <v>403</v>
      </c>
      <c r="H6" s="51">
        <v>1</v>
      </c>
      <c r="I6" s="41">
        <f>B6+42</f>
        <v>45722</v>
      </c>
      <c r="J6" s="51" t="s">
        <v>60</v>
      </c>
      <c r="K6" s="41"/>
      <c r="L6" s="53"/>
      <c r="M6" s="39">
        <v>29900000</v>
      </c>
      <c r="N6" s="1" t="s">
        <v>402</v>
      </c>
      <c r="O6" s="1" t="s">
        <v>271</v>
      </c>
      <c r="P6" s="1" t="s">
        <v>189</v>
      </c>
      <c r="Q6" s="1" t="s">
        <v>22</v>
      </c>
      <c r="R6" s="51"/>
      <c r="S6" s="51"/>
      <c r="T6" s="51"/>
      <c r="U6" s="38" t="str">
        <f t="shared" si="0"/>
        <v>3.진행 중</v>
      </c>
      <c r="V6" s="5" t="s">
        <v>274</v>
      </c>
      <c r="W6" s="1" t="s">
        <v>401</v>
      </c>
      <c r="Z6" s="56"/>
    </row>
    <row r="7" spans="1:26" s="55" customFormat="1" x14ac:dyDescent="0.3">
      <c r="B7" s="42">
        <v>45680</v>
      </c>
      <c r="C7" s="12" t="s">
        <v>29</v>
      </c>
      <c r="D7" s="63"/>
      <c r="E7" s="12" t="s">
        <v>395</v>
      </c>
      <c r="F7" s="64"/>
      <c r="G7" s="12" t="s">
        <v>396</v>
      </c>
      <c r="H7" s="64">
        <v>1</v>
      </c>
      <c r="I7" s="42">
        <f>B7+28</f>
        <v>45708</v>
      </c>
      <c r="J7" s="64" t="s">
        <v>392</v>
      </c>
      <c r="K7" s="42">
        <v>45693</v>
      </c>
      <c r="L7" s="65"/>
      <c r="M7" s="66">
        <v>34280</v>
      </c>
      <c r="N7" s="12" t="s">
        <v>26</v>
      </c>
      <c r="O7" s="12" t="s">
        <v>271</v>
      </c>
      <c r="P7" s="12" t="s">
        <v>272</v>
      </c>
      <c r="Q7" s="12" t="s">
        <v>22</v>
      </c>
      <c r="R7" s="12" t="s">
        <v>78</v>
      </c>
      <c r="S7" s="64"/>
      <c r="T7" s="64"/>
      <c r="U7" s="14" t="str">
        <f t="shared" si="0"/>
        <v>2.공급 완료</v>
      </c>
      <c r="V7" s="13" t="s">
        <v>274</v>
      </c>
      <c r="W7" s="12" t="s">
        <v>397</v>
      </c>
    </row>
    <row r="8" spans="1:26" s="55" customFormat="1" x14ac:dyDescent="0.3">
      <c r="B8" s="43">
        <v>45680</v>
      </c>
      <c r="C8" s="6" t="s">
        <v>248</v>
      </c>
      <c r="D8" s="70"/>
      <c r="E8" s="6" t="s">
        <v>390</v>
      </c>
      <c r="F8" s="67"/>
      <c r="G8" s="6" t="s">
        <v>391</v>
      </c>
      <c r="H8" s="67">
        <v>1</v>
      </c>
      <c r="I8" s="43">
        <f>B8+28</f>
        <v>45708</v>
      </c>
      <c r="J8" s="67" t="s">
        <v>392</v>
      </c>
      <c r="K8" s="43">
        <v>45680</v>
      </c>
      <c r="L8" s="71"/>
      <c r="M8" s="69">
        <v>6319200</v>
      </c>
      <c r="N8" s="6" t="s">
        <v>26</v>
      </c>
      <c r="O8" s="6" t="s">
        <v>271</v>
      </c>
      <c r="P8" s="72" t="s">
        <v>79</v>
      </c>
      <c r="Q8" s="6" t="s">
        <v>373</v>
      </c>
      <c r="R8" s="10" t="s">
        <v>78</v>
      </c>
      <c r="S8" s="6" t="s">
        <v>398</v>
      </c>
      <c r="T8" s="6" t="s">
        <v>420</v>
      </c>
      <c r="U8" s="11" t="str">
        <f t="shared" si="0"/>
        <v>1.지불 완료</v>
      </c>
      <c r="V8" s="8" t="s">
        <v>274</v>
      </c>
      <c r="W8" s="6" t="s">
        <v>393</v>
      </c>
    </row>
    <row r="9" spans="1:26" s="55" customFormat="1" x14ac:dyDescent="0.3">
      <c r="B9" s="43">
        <v>45673</v>
      </c>
      <c r="C9" s="6" t="s">
        <v>242</v>
      </c>
      <c r="D9" s="70"/>
      <c r="E9" s="73" t="s">
        <v>389</v>
      </c>
      <c r="F9" s="67"/>
      <c r="G9" s="6" t="s">
        <v>219</v>
      </c>
      <c r="H9" s="67">
        <v>1</v>
      </c>
      <c r="I9" s="43">
        <v>45680</v>
      </c>
      <c r="J9" s="67"/>
      <c r="K9" s="43">
        <v>45680</v>
      </c>
      <c r="L9" s="71"/>
      <c r="M9" s="69">
        <v>180000</v>
      </c>
      <c r="N9" s="6" t="s">
        <v>26</v>
      </c>
      <c r="O9" s="6" t="s">
        <v>271</v>
      </c>
      <c r="P9" s="72" t="s">
        <v>79</v>
      </c>
      <c r="Q9" s="6" t="s">
        <v>373</v>
      </c>
      <c r="R9" s="10" t="s">
        <v>78</v>
      </c>
      <c r="S9" s="6" t="s">
        <v>399</v>
      </c>
      <c r="T9" s="6" t="s">
        <v>420</v>
      </c>
      <c r="U9" s="11" t="str">
        <f t="shared" si="0"/>
        <v>1.지불 완료</v>
      </c>
      <c r="V9" s="8" t="s">
        <v>274</v>
      </c>
      <c r="W9" s="73" t="s">
        <v>419</v>
      </c>
    </row>
    <row r="10" spans="1:26" s="55" customFormat="1" x14ac:dyDescent="0.3">
      <c r="B10" s="43">
        <v>45673</v>
      </c>
      <c r="C10" s="73" t="s">
        <v>57</v>
      </c>
      <c r="D10" s="70"/>
      <c r="E10" s="73" t="s">
        <v>386</v>
      </c>
      <c r="F10" s="67"/>
      <c r="G10" s="73" t="s">
        <v>387</v>
      </c>
      <c r="H10" s="67">
        <v>1</v>
      </c>
      <c r="I10" s="43"/>
      <c r="J10" s="67"/>
      <c r="K10" s="43">
        <v>45666</v>
      </c>
      <c r="L10" s="71"/>
      <c r="M10" s="69">
        <v>582000</v>
      </c>
      <c r="N10" s="6" t="s">
        <v>26</v>
      </c>
      <c r="O10" s="6" t="s">
        <v>271</v>
      </c>
      <c r="P10" s="72" t="s">
        <v>79</v>
      </c>
      <c r="Q10" s="6" t="s">
        <v>373</v>
      </c>
      <c r="R10" s="10" t="s">
        <v>78</v>
      </c>
      <c r="S10" s="6" t="s">
        <v>398</v>
      </c>
      <c r="T10" s="6" t="s">
        <v>420</v>
      </c>
      <c r="U10" s="11" t="str">
        <f t="shared" si="0"/>
        <v>1.지불 완료</v>
      </c>
      <c r="V10" s="8" t="s">
        <v>274</v>
      </c>
      <c r="W10" s="73" t="s">
        <v>388</v>
      </c>
    </row>
    <row r="11" spans="1:26" s="55" customFormat="1" x14ac:dyDescent="0.3">
      <c r="B11" s="41">
        <v>45670</v>
      </c>
      <c r="C11" s="1" t="s">
        <v>251</v>
      </c>
      <c r="D11" s="52"/>
      <c r="E11" s="1" t="s">
        <v>361</v>
      </c>
      <c r="F11" s="51"/>
      <c r="G11" s="1" t="s">
        <v>362</v>
      </c>
      <c r="H11" s="51">
        <v>80</v>
      </c>
      <c r="I11" s="41"/>
      <c r="J11" s="51"/>
      <c r="K11" s="41"/>
      <c r="L11" s="53"/>
      <c r="M11" s="39">
        <v>13088000</v>
      </c>
      <c r="N11" s="1" t="s">
        <v>363</v>
      </c>
      <c r="O11" s="1" t="s">
        <v>271</v>
      </c>
      <c r="P11" s="1" t="s">
        <v>364</v>
      </c>
      <c r="Q11" s="57" t="s">
        <v>22</v>
      </c>
      <c r="R11" s="51"/>
      <c r="S11" s="51"/>
      <c r="T11" s="51"/>
      <c r="U11" s="38" t="str">
        <f t="shared" si="0"/>
        <v>3.진행 중</v>
      </c>
      <c r="V11" s="5" t="s">
        <v>274</v>
      </c>
      <c r="W11" s="1" t="s">
        <v>368</v>
      </c>
    </row>
    <row r="12" spans="1:26" x14ac:dyDescent="0.3">
      <c r="A12" s="55"/>
      <c r="B12" s="43">
        <v>45666</v>
      </c>
      <c r="C12" s="6" t="s">
        <v>248</v>
      </c>
      <c r="D12" s="27"/>
      <c r="E12" s="6" t="s">
        <v>354</v>
      </c>
      <c r="F12" s="6"/>
      <c r="G12" s="6" t="s">
        <v>355</v>
      </c>
      <c r="H12" s="6">
        <v>1</v>
      </c>
      <c r="I12" s="43"/>
      <c r="J12" s="67" t="s">
        <v>392</v>
      </c>
      <c r="K12" s="43">
        <v>45680</v>
      </c>
      <c r="L12" s="18"/>
      <c r="M12" s="69">
        <v>1048000</v>
      </c>
      <c r="N12" s="6" t="s">
        <v>357</v>
      </c>
      <c r="O12" s="6" t="s">
        <v>271</v>
      </c>
      <c r="P12" s="6" t="s">
        <v>356</v>
      </c>
      <c r="Q12" s="6" t="s">
        <v>373</v>
      </c>
      <c r="R12" s="10" t="s">
        <v>78</v>
      </c>
      <c r="S12" s="6" t="s">
        <v>398</v>
      </c>
      <c r="T12" s="6" t="s">
        <v>420</v>
      </c>
      <c r="U12" s="11" t="str">
        <f t="shared" si="0"/>
        <v>1.지불 완료</v>
      </c>
      <c r="V12" s="8" t="s">
        <v>274</v>
      </c>
      <c r="W12" s="6" t="s">
        <v>359</v>
      </c>
    </row>
    <row r="13" spans="1:26" x14ac:dyDescent="0.3">
      <c r="A13" s="55"/>
      <c r="B13" s="43">
        <v>45666</v>
      </c>
      <c r="C13" s="6" t="s">
        <v>350</v>
      </c>
      <c r="D13" s="27" t="s">
        <v>351</v>
      </c>
      <c r="E13" s="6" t="s">
        <v>352</v>
      </c>
      <c r="F13" s="6"/>
      <c r="G13" s="6" t="s">
        <v>353</v>
      </c>
      <c r="H13" s="6">
        <v>1</v>
      </c>
      <c r="I13" s="43"/>
      <c r="J13" s="67"/>
      <c r="K13" s="43">
        <v>45677</v>
      </c>
      <c r="L13" s="18"/>
      <c r="M13" s="69">
        <v>2356000</v>
      </c>
      <c r="N13" s="6" t="s">
        <v>357</v>
      </c>
      <c r="O13" s="6" t="s">
        <v>271</v>
      </c>
      <c r="P13" s="6" t="s">
        <v>356</v>
      </c>
      <c r="Q13" s="6" t="s">
        <v>373</v>
      </c>
      <c r="R13" s="6" t="s">
        <v>78</v>
      </c>
      <c r="S13" s="6" t="s">
        <v>412</v>
      </c>
      <c r="T13" s="6" t="s">
        <v>420</v>
      </c>
      <c r="U13" s="11" t="str">
        <f t="shared" si="0"/>
        <v>1.지불 완료</v>
      </c>
      <c r="V13" s="8" t="s">
        <v>274</v>
      </c>
      <c r="W13" s="6" t="s">
        <v>358</v>
      </c>
    </row>
    <row r="14" spans="1:26" x14ac:dyDescent="0.3">
      <c r="B14" s="43">
        <v>45659</v>
      </c>
      <c r="C14" s="6" t="s">
        <v>341</v>
      </c>
      <c r="D14" s="27" t="s">
        <v>342</v>
      </c>
      <c r="E14" s="6" t="s">
        <v>343</v>
      </c>
      <c r="F14" s="6"/>
      <c r="G14" s="6" t="s">
        <v>366</v>
      </c>
      <c r="H14" s="6">
        <v>1</v>
      </c>
      <c r="I14" s="43">
        <f>B14+14</f>
        <v>45673</v>
      </c>
      <c r="J14" s="67"/>
      <c r="K14" s="43">
        <v>45677</v>
      </c>
      <c r="L14" s="18"/>
      <c r="M14" s="60">
        <v>3300000</v>
      </c>
      <c r="N14" s="8" t="s">
        <v>344</v>
      </c>
      <c r="O14" s="6" t="s">
        <v>271</v>
      </c>
      <c r="P14" s="6" t="s">
        <v>182</v>
      </c>
      <c r="Q14" s="6" t="s">
        <v>22</v>
      </c>
      <c r="R14" s="10" t="s">
        <v>78</v>
      </c>
      <c r="S14" s="11" t="s">
        <v>349</v>
      </c>
      <c r="T14" s="6" t="s">
        <v>372</v>
      </c>
      <c r="U14" s="11" t="str">
        <f t="shared" si="0"/>
        <v>1.지불 완료</v>
      </c>
      <c r="V14" s="8" t="s">
        <v>274</v>
      </c>
      <c r="W14" s="6" t="s">
        <v>345</v>
      </c>
    </row>
    <row r="15" spans="1:26" x14ac:dyDescent="0.3">
      <c r="B15" s="43">
        <v>45659</v>
      </c>
      <c r="C15" s="6" t="s">
        <v>337</v>
      </c>
      <c r="D15" s="6" t="s">
        <v>340</v>
      </c>
      <c r="E15" s="58" t="s">
        <v>365</v>
      </c>
      <c r="F15" s="6"/>
      <c r="G15" s="6" t="s">
        <v>338</v>
      </c>
      <c r="H15" s="6">
        <v>2</v>
      </c>
      <c r="I15" s="43">
        <f>B15</f>
        <v>45659</v>
      </c>
      <c r="J15" s="67"/>
      <c r="K15" s="43">
        <v>45659</v>
      </c>
      <c r="L15" s="18"/>
      <c r="M15" s="60">
        <v>368000</v>
      </c>
      <c r="N15" s="6" t="s">
        <v>375</v>
      </c>
      <c r="O15" s="6" t="s">
        <v>271</v>
      </c>
      <c r="P15" s="6" t="s">
        <v>367</v>
      </c>
      <c r="Q15" s="6" t="s">
        <v>22</v>
      </c>
      <c r="R15" s="10" t="s">
        <v>78</v>
      </c>
      <c r="S15" s="11" t="s">
        <v>371</v>
      </c>
      <c r="T15" s="6" t="s">
        <v>376</v>
      </c>
      <c r="U15" s="11" t="str">
        <f t="shared" si="0"/>
        <v>1.지불 완료</v>
      </c>
      <c r="V15" s="8" t="s">
        <v>274</v>
      </c>
      <c r="W15" s="6" t="s">
        <v>339</v>
      </c>
    </row>
    <row r="16" spans="1:26" x14ac:dyDescent="0.3">
      <c r="B16" s="47">
        <v>45653</v>
      </c>
      <c r="C16" s="6" t="s">
        <v>248</v>
      </c>
      <c r="D16" s="27"/>
      <c r="E16" s="6" t="s">
        <v>256</v>
      </c>
      <c r="F16" s="6"/>
      <c r="G16" s="6" t="s">
        <v>264</v>
      </c>
      <c r="H16" s="6">
        <v>680</v>
      </c>
      <c r="I16" s="43">
        <f>B16+4</f>
        <v>45657</v>
      </c>
      <c r="J16" s="67"/>
      <c r="K16" s="43">
        <v>45657</v>
      </c>
      <c r="L16" s="9"/>
      <c r="M16" s="60">
        <v>6898800</v>
      </c>
      <c r="N16" s="6" t="s">
        <v>36</v>
      </c>
      <c r="O16" s="6" t="s">
        <v>271</v>
      </c>
      <c r="P16" s="6" t="s">
        <v>182</v>
      </c>
      <c r="Q16" s="6" t="s">
        <v>22</v>
      </c>
      <c r="R16" s="10" t="s">
        <v>78</v>
      </c>
      <c r="S16" s="11" t="s">
        <v>346</v>
      </c>
      <c r="T16" s="6" t="s">
        <v>360</v>
      </c>
      <c r="U16" s="11" t="str">
        <f t="shared" si="0"/>
        <v>1.지불 완료</v>
      </c>
      <c r="V16" s="8" t="s">
        <v>274</v>
      </c>
      <c r="W16" s="6" t="s">
        <v>275</v>
      </c>
    </row>
    <row r="17" spans="2:23" x14ac:dyDescent="0.3">
      <c r="B17" s="47">
        <v>45653</v>
      </c>
      <c r="C17" s="6" t="s">
        <v>249</v>
      </c>
      <c r="D17" s="27" t="s">
        <v>252</v>
      </c>
      <c r="E17" s="6" t="s">
        <v>257</v>
      </c>
      <c r="F17" s="6"/>
      <c r="G17" s="6" t="s">
        <v>265</v>
      </c>
      <c r="H17" s="6">
        <v>70</v>
      </c>
      <c r="I17" s="43">
        <f>B17+4*7</f>
        <v>45681</v>
      </c>
      <c r="J17" s="67"/>
      <c r="K17" s="43">
        <v>45666</v>
      </c>
      <c r="L17" s="9"/>
      <c r="M17" s="60">
        <v>270000</v>
      </c>
      <c r="N17" s="6" t="s">
        <v>14</v>
      </c>
      <c r="O17" s="6" t="s">
        <v>271</v>
      </c>
      <c r="P17" s="6" t="s">
        <v>272</v>
      </c>
      <c r="Q17" s="6" t="s">
        <v>373</v>
      </c>
      <c r="R17" s="6" t="s">
        <v>78</v>
      </c>
      <c r="S17" s="6" t="s">
        <v>398</v>
      </c>
      <c r="T17" s="6" t="s">
        <v>420</v>
      </c>
      <c r="U17" s="11" t="str">
        <f t="shared" si="0"/>
        <v>1.지불 완료</v>
      </c>
      <c r="V17" s="8" t="s">
        <v>274</v>
      </c>
      <c r="W17" s="6" t="s">
        <v>276</v>
      </c>
    </row>
    <row r="18" spans="2:23" x14ac:dyDescent="0.3">
      <c r="B18" s="47">
        <v>45652</v>
      </c>
      <c r="C18" s="6" t="s">
        <v>250</v>
      </c>
      <c r="D18" s="27" t="s">
        <v>254</v>
      </c>
      <c r="E18" s="6" t="s">
        <v>259</v>
      </c>
      <c r="F18" s="6"/>
      <c r="G18" s="6" t="s">
        <v>267</v>
      </c>
      <c r="H18" s="7">
        <v>1</v>
      </c>
      <c r="I18" s="43">
        <f>B18+10</f>
        <v>45662</v>
      </c>
      <c r="J18" s="67"/>
      <c r="K18" s="43">
        <v>45652</v>
      </c>
      <c r="L18" s="9"/>
      <c r="M18" s="60">
        <v>718600</v>
      </c>
      <c r="N18" s="6" t="s">
        <v>357</v>
      </c>
      <c r="O18" s="6" t="s">
        <v>271</v>
      </c>
      <c r="P18" s="6" t="s">
        <v>272</v>
      </c>
      <c r="Q18" s="6" t="s">
        <v>22</v>
      </c>
      <c r="R18" s="10" t="s">
        <v>78</v>
      </c>
      <c r="S18" s="6" t="s">
        <v>284</v>
      </c>
      <c r="T18" s="6" t="s">
        <v>289</v>
      </c>
      <c r="U18" s="11" t="str">
        <f t="shared" si="0"/>
        <v>1.지불 완료</v>
      </c>
      <c r="V18" s="8" t="s">
        <v>274</v>
      </c>
      <c r="W18" s="6" t="s">
        <v>288</v>
      </c>
    </row>
    <row r="19" spans="2:23" x14ac:dyDescent="0.3">
      <c r="B19" s="47">
        <v>45652</v>
      </c>
      <c r="C19" s="6" t="s">
        <v>250</v>
      </c>
      <c r="D19" s="27" t="s">
        <v>255</v>
      </c>
      <c r="E19" s="6" t="s">
        <v>260</v>
      </c>
      <c r="F19" s="6"/>
      <c r="G19" s="6" t="s">
        <v>268</v>
      </c>
      <c r="H19" s="7">
        <v>1</v>
      </c>
      <c r="I19" s="43">
        <f>B19+10</f>
        <v>45662</v>
      </c>
      <c r="J19" s="67"/>
      <c r="K19" s="43">
        <v>45652</v>
      </c>
      <c r="L19" s="9"/>
      <c r="M19" s="60">
        <v>1304260</v>
      </c>
      <c r="N19" s="6" t="s">
        <v>280</v>
      </c>
      <c r="O19" s="6" t="s">
        <v>271</v>
      </c>
      <c r="P19" s="6" t="s">
        <v>272</v>
      </c>
      <c r="Q19" s="6" t="s">
        <v>22</v>
      </c>
      <c r="R19" s="10" t="s">
        <v>78</v>
      </c>
      <c r="S19" s="6" t="s">
        <v>284</v>
      </c>
      <c r="T19" s="6" t="s">
        <v>289</v>
      </c>
      <c r="U19" s="11" t="str">
        <f t="shared" si="0"/>
        <v>1.지불 완료</v>
      </c>
      <c r="V19" s="8" t="s">
        <v>274</v>
      </c>
      <c r="W19" s="6" t="s">
        <v>282</v>
      </c>
    </row>
    <row r="20" spans="2:23" x14ac:dyDescent="0.3">
      <c r="B20" s="47">
        <v>45650</v>
      </c>
      <c r="C20" s="6" t="s">
        <v>251</v>
      </c>
      <c r="D20" s="27"/>
      <c r="E20" s="6" t="s">
        <v>261</v>
      </c>
      <c r="F20" s="6"/>
      <c r="G20" s="6" t="s">
        <v>287</v>
      </c>
      <c r="H20" s="6">
        <v>110</v>
      </c>
      <c r="I20" s="43">
        <f>B20+15</f>
        <v>45665</v>
      </c>
      <c r="J20" s="67"/>
      <c r="K20" s="43">
        <v>45646</v>
      </c>
      <c r="L20" s="9"/>
      <c r="M20" s="60">
        <v>1300000</v>
      </c>
      <c r="N20" s="6" t="s">
        <v>26</v>
      </c>
      <c r="O20" s="6" t="s">
        <v>271</v>
      </c>
      <c r="P20" s="6" t="s">
        <v>272</v>
      </c>
      <c r="Q20" s="6" t="s">
        <v>22</v>
      </c>
      <c r="R20" s="10" t="s">
        <v>78</v>
      </c>
      <c r="S20" s="6" t="s">
        <v>283</v>
      </c>
      <c r="T20" s="6" t="s">
        <v>289</v>
      </c>
      <c r="U20" s="11" t="str">
        <f t="shared" si="0"/>
        <v>1.지불 완료</v>
      </c>
      <c r="V20" s="8" t="s">
        <v>274</v>
      </c>
      <c r="W20" s="6" t="s">
        <v>277</v>
      </c>
    </row>
    <row r="21" spans="2:23" x14ac:dyDescent="0.3">
      <c r="B21" s="47">
        <v>45650</v>
      </c>
      <c r="C21" s="6" t="s">
        <v>251</v>
      </c>
      <c r="D21" s="27"/>
      <c r="E21" s="6" t="s">
        <v>262</v>
      </c>
      <c r="F21" s="6"/>
      <c r="G21" s="6" t="s">
        <v>269</v>
      </c>
      <c r="H21" s="6">
        <v>70</v>
      </c>
      <c r="I21" s="43">
        <f>B21+15</f>
        <v>45665</v>
      </c>
      <c r="J21" s="67"/>
      <c r="K21" s="43">
        <v>45673</v>
      </c>
      <c r="L21" s="9"/>
      <c r="M21" s="60">
        <v>6209000</v>
      </c>
      <c r="N21" s="6" t="s">
        <v>280</v>
      </c>
      <c r="O21" s="6" t="s">
        <v>271</v>
      </c>
      <c r="P21" s="6" t="s">
        <v>272</v>
      </c>
      <c r="Q21" s="6" t="s">
        <v>373</v>
      </c>
      <c r="R21" s="6" t="s">
        <v>369</v>
      </c>
      <c r="S21" s="6" t="s">
        <v>398</v>
      </c>
      <c r="T21" s="6" t="s">
        <v>420</v>
      </c>
      <c r="U21" s="11" t="str">
        <f t="shared" si="0"/>
        <v>1.지불 완료</v>
      </c>
      <c r="V21" s="8" t="s">
        <v>274</v>
      </c>
      <c r="W21" s="6" t="s">
        <v>278</v>
      </c>
    </row>
    <row r="22" spans="2:23" x14ac:dyDescent="0.3">
      <c r="B22" s="47">
        <v>45650</v>
      </c>
      <c r="C22" s="6" t="s">
        <v>251</v>
      </c>
      <c r="D22" s="27"/>
      <c r="E22" s="6" t="s">
        <v>263</v>
      </c>
      <c r="F22" s="6"/>
      <c r="G22" s="6" t="s">
        <v>270</v>
      </c>
      <c r="H22" s="6">
        <v>70</v>
      </c>
      <c r="I22" s="43">
        <f>B22+15</f>
        <v>45665</v>
      </c>
      <c r="J22" s="67"/>
      <c r="K22" s="49">
        <v>45656</v>
      </c>
      <c r="L22" s="9"/>
      <c r="M22" s="60">
        <v>3010000</v>
      </c>
      <c r="N22" s="6" t="s">
        <v>363</v>
      </c>
      <c r="O22" s="6" t="s">
        <v>271</v>
      </c>
      <c r="P22" s="6" t="s">
        <v>272</v>
      </c>
      <c r="Q22" s="6" t="s">
        <v>22</v>
      </c>
      <c r="R22" s="10" t="s">
        <v>78</v>
      </c>
      <c r="S22" s="6" t="s">
        <v>286</v>
      </c>
      <c r="T22" s="6" t="s">
        <v>289</v>
      </c>
      <c r="U22" s="11" t="str">
        <f t="shared" si="0"/>
        <v>1.지불 완료</v>
      </c>
      <c r="V22" s="8" t="s">
        <v>274</v>
      </c>
      <c r="W22" s="6" t="s">
        <v>279</v>
      </c>
    </row>
    <row r="23" spans="2:23" x14ac:dyDescent="0.3">
      <c r="B23" s="47">
        <v>45645</v>
      </c>
      <c r="C23" s="6" t="s">
        <v>76</v>
      </c>
      <c r="D23" s="26" t="s">
        <v>44</v>
      </c>
      <c r="E23" s="6" t="s">
        <v>213</v>
      </c>
      <c r="F23" s="6">
        <v>1</v>
      </c>
      <c r="G23" s="6" t="s">
        <v>214</v>
      </c>
      <c r="H23" s="6">
        <v>210</v>
      </c>
      <c r="I23" s="44">
        <f>B23+7*4</f>
        <v>45673</v>
      </c>
      <c r="J23" s="67"/>
      <c r="K23" s="43">
        <v>45645</v>
      </c>
      <c r="L23" s="9"/>
      <c r="M23" s="60">
        <v>320000</v>
      </c>
      <c r="N23" s="6" t="s">
        <v>36</v>
      </c>
      <c r="O23" s="6" t="s">
        <v>215</v>
      </c>
      <c r="P23" s="6" t="s">
        <v>79</v>
      </c>
      <c r="Q23" s="6" t="s">
        <v>22</v>
      </c>
      <c r="R23" s="10" t="s">
        <v>78</v>
      </c>
      <c r="S23" s="6" t="s">
        <v>283</v>
      </c>
      <c r="T23" s="6" t="s">
        <v>289</v>
      </c>
      <c r="U23" s="11" t="str">
        <f t="shared" si="0"/>
        <v>1.지불 완료</v>
      </c>
      <c r="V23" s="8" t="s">
        <v>274</v>
      </c>
      <c r="W23" s="6" t="s">
        <v>246</v>
      </c>
    </row>
    <row r="24" spans="2:23" x14ac:dyDescent="0.3">
      <c r="B24" s="47">
        <v>45645</v>
      </c>
      <c r="C24" s="6" t="s">
        <v>242</v>
      </c>
      <c r="D24" s="27" t="s">
        <v>218</v>
      </c>
      <c r="E24" s="6" t="s">
        <v>374</v>
      </c>
      <c r="F24" s="6">
        <v>1</v>
      </c>
      <c r="G24" s="6" t="s">
        <v>219</v>
      </c>
      <c r="H24" s="6">
        <v>100</v>
      </c>
      <c r="I24" s="44">
        <f>B24+7*4</f>
        <v>45673</v>
      </c>
      <c r="J24" s="67"/>
      <c r="K24" s="44">
        <v>45659</v>
      </c>
      <c r="L24" s="9"/>
      <c r="M24" s="60">
        <v>180000</v>
      </c>
      <c r="N24" s="6" t="s">
        <v>53</v>
      </c>
      <c r="O24" s="6" t="s">
        <v>215</v>
      </c>
      <c r="P24" s="6" t="s">
        <v>79</v>
      </c>
      <c r="Q24" s="6" t="s">
        <v>22</v>
      </c>
      <c r="R24" s="6" t="s">
        <v>370</v>
      </c>
      <c r="S24" s="11" t="s">
        <v>371</v>
      </c>
      <c r="T24" s="6" t="s">
        <v>376</v>
      </c>
      <c r="U24" s="11" t="str">
        <f t="shared" si="0"/>
        <v>1.지불 완료</v>
      </c>
      <c r="V24" s="16" t="s">
        <v>274</v>
      </c>
      <c r="W24" s="6" t="s">
        <v>243</v>
      </c>
    </row>
    <row r="25" spans="2:23" x14ac:dyDescent="0.3">
      <c r="B25" s="47">
        <v>45644</v>
      </c>
      <c r="C25" s="6" t="s">
        <v>241</v>
      </c>
      <c r="D25" s="27" t="s">
        <v>245</v>
      </c>
      <c r="E25" s="6" t="s">
        <v>216</v>
      </c>
      <c r="F25" s="6">
        <v>1</v>
      </c>
      <c r="G25" s="18" t="s">
        <v>217</v>
      </c>
      <c r="H25" s="6">
        <v>300</v>
      </c>
      <c r="I25" s="44">
        <f>B25+7*4</f>
        <v>45672</v>
      </c>
      <c r="J25" s="67"/>
      <c r="K25" s="43">
        <v>45644</v>
      </c>
      <c r="L25" s="9"/>
      <c r="M25" s="60">
        <v>270000</v>
      </c>
      <c r="N25" s="6" t="s">
        <v>53</v>
      </c>
      <c r="O25" s="6" t="s">
        <v>215</v>
      </c>
      <c r="P25" s="6" t="s">
        <v>79</v>
      </c>
      <c r="Q25" s="6" t="s">
        <v>22</v>
      </c>
      <c r="R25" s="10" t="s">
        <v>78</v>
      </c>
      <c r="S25" s="11" t="s">
        <v>346</v>
      </c>
      <c r="T25" s="6" t="s">
        <v>376</v>
      </c>
      <c r="U25" s="11" t="str">
        <f t="shared" si="0"/>
        <v>1.지불 완료</v>
      </c>
      <c r="V25" s="16" t="s">
        <v>274</v>
      </c>
      <c r="W25" s="6" t="s">
        <v>244</v>
      </c>
    </row>
    <row r="26" spans="2:23" x14ac:dyDescent="0.3">
      <c r="B26" s="47">
        <v>45642</v>
      </c>
      <c r="C26" s="6" t="s">
        <v>57</v>
      </c>
      <c r="D26" s="27" t="s">
        <v>186</v>
      </c>
      <c r="E26" s="6" t="s">
        <v>187</v>
      </c>
      <c r="F26" s="6">
        <v>1</v>
      </c>
      <c r="G26" s="6" t="s">
        <v>188</v>
      </c>
      <c r="H26" s="6">
        <v>400</v>
      </c>
      <c r="I26" s="44">
        <f>B26+7*4</f>
        <v>45670</v>
      </c>
      <c r="J26" s="67" t="s">
        <v>60</v>
      </c>
      <c r="K26" s="43">
        <v>45639</v>
      </c>
      <c r="L26" s="9"/>
      <c r="M26" s="60">
        <v>1080000</v>
      </c>
      <c r="N26" s="6" t="s">
        <v>53</v>
      </c>
      <c r="O26" s="6" t="s">
        <v>64</v>
      </c>
      <c r="P26" s="6" t="s">
        <v>189</v>
      </c>
      <c r="Q26" s="6" t="s">
        <v>22</v>
      </c>
      <c r="R26" s="10" t="s">
        <v>78</v>
      </c>
      <c r="S26" s="11" t="s">
        <v>346</v>
      </c>
      <c r="T26" s="6" t="s">
        <v>360</v>
      </c>
      <c r="U26" s="11" t="str">
        <f t="shared" si="0"/>
        <v>1.지불 완료</v>
      </c>
      <c r="V26" s="8" t="s">
        <v>50</v>
      </c>
      <c r="W26" s="6" t="s">
        <v>190</v>
      </c>
    </row>
    <row r="27" spans="2:23" x14ac:dyDescent="0.3">
      <c r="B27" s="48">
        <v>45639</v>
      </c>
      <c r="C27" s="6" t="s">
        <v>76</v>
      </c>
      <c r="D27" s="26" t="s">
        <v>44</v>
      </c>
      <c r="E27" s="6" t="s">
        <v>168</v>
      </c>
      <c r="F27" s="6">
        <v>1</v>
      </c>
      <c r="G27" s="6" t="s">
        <v>165</v>
      </c>
      <c r="H27" s="7">
        <v>1</v>
      </c>
      <c r="I27" s="44">
        <f>B27+7*4</f>
        <v>45667</v>
      </c>
      <c r="J27" s="67" t="s">
        <v>13</v>
      </c>
      <c r="K27" s="44">
        <v>45625</v>
      </c>
      <c r="L27" s="9"/>
      <c r="M27" s="60">
        <v>536000</v>
      </c>
      <c r="N27" s="6" t="s">
        <v>36</v>
      </c>
      <c r="O27" s="6" t="s">
        <v>64</v>
      </c>
      <c r="P27" s="6" t="s">
        <v>79</v>
      </c>
      <c r="Q27" s="6" t="s">
        <v>22</v>
      </c>
      <c r="R27" s="10" t="s">
        <v>78</v>
      </c>
      <c r="S27" s="6" t="s">
        <v>166</v>
      </c>
      <c r="T27" s="6" t="s">
        <v>239</v>
      </c>
      <c r="U27" s="11" t="str">
        <f t="shared" si="0"/>
        <v>1.지불 완료</v>
      </c>
      <c r="V27" s="8" t="s">
        <v>50</v>
      </c>
      <c r="W27" s="23" t="s">
        <v>167</v>
      </c>
    </row>
    <row r="28" spans="2:23" x14ac:dyDescent="0.3">
      <c r="B28" s="46">
        <v>45637</v>
      </c>
      <c r="C28" s="20" t="s">
        <v>154</v>
      </c>
      <c r="D28" s="25"/>
      <c r="E28" s="20" t="s">
        <v>155</v>
      </c>
      <c r="F28" s="1">
        <v>1</v>
      </c>
      <c r="G28" s="20" t="s">
        <v>160</v>
      </c>
      <c r="H28" s="34">
        <v>1</v>
      </c>
      <c r="I28" s="45">
        <v>45716</v>
      </c>
      <c r="J28" s="45"/>
      <c r="K28" s="41"/>
      <c r="L28" s="4"/>
      <c r="M28" s="61">
        <f>6000000/2</f>
        <v>3000000</v>
      </c>
      <c r="N28" s="35" t="s">
        <v>326</v>
      </c>
      <c r="O28" s="20" t="s">
        <v>158</v>
      </c>
      <c r="P28" s="20" t="s">
        <v>157</v>
      </c>
      <c r="Q28" s="1" t="s">
        <v>22</v>
      </c>
      <c r="R28" s="20"/>
      <c r="S28" s="1"/>
      <c r="T28" s="35"/>
      <c r="U28" s="38" t="str">
        <f t="shared" si="0"/>
        <v>3.진행 중</v>
      </c>
      <c r="V28" s="5" t="s">
        <v>220</v>
      </c>
      <c r="W28" s="20" t="s">
        <v>156</v>
      </c>
    </row>
    <row r="29" spans="2:23" x14ac:dyDescent="0.3">
      <c r="B29" s="47">
        <v>45637</v>
      </c>
      <c r="C29" s="23" t="s">
        <v>154</v>
      </c>
      <c r="D29" s="27"/>
      <c r="E29" s="23" t="s">
        <v>155</v>
      </c>
      <c r="F29" s="6">
        <v>1</v>
      </c>
      <c r="G29" s="23" t="s">
        <v>160</v>
      </c>
      <c r="H29" s="7">
        <v>1</v>
      </c>
      <c r="I29" s="44">
        <v>45716</v>
      </c>
      <c r="J29" s="44"/>
      <c r="K29" s="43"/>
      <c r="L29" s="9"/>
      <c r="M29" s="60">
        <f>6000000/2</f>
        <v>3000000</v>
      </c>
      <c r="N29" s="36" t="s">
        <v>327</v>
      </c>
      <c r="O29" s="23" t="s">
        <v>158</v>
      </c>
      <c r="P29" s="23" t="s">
        <v>157</v>
      </c>
      <c r="Q29" s="6" t="s">
        <v>22</v>
      </c>
      <c r="R29" s="23" t="s">
        <v>222</v>
      </c>
      <c r="S29" s="8" t="s">
        <v>332</v>
      </c>
      <c r="T29" s="36" t="s">
        <v>328</v>
      </c>
      <c r="U29" s="11" t="str">
        <f t="shared" si="0"/>
        <v>1.지불 완료</v>
      </c>
      <c r="V29" s="8" t="s">
        <v>220</v>
      </c>
      <c r="W29" s="23" t="s">
        <v>156</v>
      </c>
    </row>
    <row r="30" spans="2:23" x14ac:dyDescent="0.3">
      <c r="B30" s="47">
        <v>45629</v>
      </c>
      <c r="C30" s="6" t="s">
        <v>250</v>
      </c>
      <c r="D30" s="27" t="s">
        <v>253</v>
      </c>
      <c r="E30" s="6" t="s">
        <v>258</v>
      </c>
      <c r="F30" s="6"/>
      <c r="G30" s="6" t="s">
        <v>266</v>
      </c>
      <c r="H30" s="6">
        <v>110</v>
      </c>
      <c r="I30" s="43">
        <f>B30+10</f>
        <v>45639</v>
      </c>
      <c r="J30" s="67"/>
      <c r="K30" s="49">
        <v>45641</v>
      </c>
      <c r="L30" s="9"/>
      <c r="M30" s="60">
        <v>1575350</v>
      </c>
      <c r="N30" s="6" t="s">
        <v>280</v>
      </c>
      <c r="O30" s="6" t="s">
        <v>271</v>
      </c>
      <c r="P30" s="6" t="s">
        <v>272</v>
      </c>
      <c r="Q30" s="6" t="s">
        <v>273</v>
      </c>
      <c r="R30" s="10" t="s">
        <v>78</v>
      </c>
      <c r="S30" s="6" t="s">
        <v>285</v>
      </c>
      <c r="T30" s="6" t="s">
        <v>289</v>
      </c>
      <c r="U30" s="11" t="str">
        <f t="shared" si="0"/>
        <v>1.지불 완료</v>
      </c>
      <c r="V30" s="8" t="s">
        <v>274</v>
      </c>
      <c r="W30" s="6" t="s">
        <v>281</v>
      </c>
    </row>
    <row r="31" spans="2:23" x14ac:dyDescent="0.3">
      <c r="B31" s="44">
        <v>45621</v>
      </c>
      <c r="C31" s="6" t="s">
        <v>23</v>
      </c>
      <c r="D31" s="27" t="s">
        <v>135</v>
      </c>
      <c r="E31" s="6" t="s">
        <v>136</v>
      </c>
      <c r="F31" s="6">
        <v>1</v>
      </c>
      <c r="G31" s="6" t="s">
        <v>137</v>
      </c>
      <c r="H31" s="7">
        <v>1</v>
      </c>
      <c r="I31" s="44"/>
      <c r="J31" s="67"/>
      <c r="K31" s="44">
        <v>45623</v>
      </c>
      <c r="L31" s="15"/>
      <c r="M31" s="62">
        <v>1898190</v>
      </c>
      <c r="N31" s="6" t="s">
        <v>26</v>
      </c>
      <c r="O31" s="6" t="s">
        <v>64</v>
      </c>
      <c r="P31" s="6" t="s">
        <v>127</v>
      </c>
      <c r="Q31" s="6" t="s">
        <v>22</v>
      </c>
      <c r="R31" s="6" t="s">
        <v>119</v>
      </c>
      <c r="S31" s="6" t="s">
        <v>148</v>
      </c>
      <c r="T31" s="6" t="s">
        <v>173</v>
      </c>
      <c r="U31" s="11" t="str">
        <f t="shared" si="0"/>
        <v>1.지불 완료</v>
      </c>
      <c r="V31" s="8" t="s">
        <v>50</v>
      </c>
      <c r="W31" s="6" t="s">
        <v>138</v>
      </c>
    </row>
    <row r="32" spans="2:23" x14ac:dyDescent="0.3">
      <c r="B32" s="44">
        <v>45608</v>
      </c>
      <c r="C32" s="6" t="s">
        <v>23</v>
      </c>
      <c r="D32" s="27" t="s">
        <v>143</v>
      </c>
      <c r="E32" s="6" t="s">
        <v>144</v>
      </c>
      <c r="F32" s="6">
        <v>1</v>
      </c>
      <c r="G32" s="6" t="s">
        <v>145</v>
      </c>
      <c r="H32" s="7">
        <v>1</v>
      </c>
      <c r="I32" s="44"/>
      <c r="J32" s="67"/>
      <c r="K32" s="44">
        <v>45616</v>
      </c>
      <c r="L32" s="15"/>
      <c r="M32" s="62">
        <v>480500</v>
      </c>
      <c r="N32" s="6" t="s">
        <v>26</v>
      </c>
      <c r="O32" s="6" t="s">
        <v>64</v>
      </c>
      <c r="P32" s="6" t="s">
        <v>63</v>
      </c>
      <c r="Q32" s="6" t="s">
        <v>22</v>
      </c>
      <c r="R32" s="6" t="s">
        <v>119</v>
      </c>
      <c r="S32" s="6" t="s">
        <v>148</v>
      </c>
      <c r="T32" s="6" t="s">
        <v>173</v>
      </c>
      <c r="U32" s="11" t="str">
        <f t="shared" si="0"/>
        <v>1.지불 완료</v>
      </c>
      <c r="V32" s="8" t="s">
        <v>50</v>
      </c>
      <c r="W32" s="6" t="s">
        <v>146</v>
      </c>
    </row>
    <row r="33" spans="2:24" x14ac:dyDescent="0.3">
      <c r="B33" s="44">
        <v>45608</v>
      </c>
      <c r="C33" s="6" t="s">
        <v>23</v>
      </c>
      <c r="D33" s="27" t="s">
        <v>139</v>
      </c>
      <c r="E33" s="6" t="s">
        <v>140</v>
      </c>
      <c r="F33" s="6">
        <v>1</v>
      </c>
      <c r="G33" s="6" t="s">
        <v>141</v>
      </c>
      <c r="H33" s="7">
        <v>1</v>
      </c>
      <c r="I33" s="44"/>
      <c r="J33" s="67"/>
      <c r="K33" s="44">
        <v>45616</v>
      </c>
      <c r="L33" s="9"/>
      <c r="M33" s="60">
        <v>788260</v>
      </c>
      <c r="N33" s="6" t="s">
        <v>26</v>
      </c>
      <c r="O33" s="6" t="s">
        <v>64</v>
      </c>
      <c r="P33" s="6" t="s">
        <v>63</v>
      </c>
      <c r="Q33" s="6" t="s">
        <v>22</v>
      </c>
      <c r="R33" s="6" t="s">
        <v>119</v>
      </c>
      <c r="S33" s="6" t="s">
        <v>148</v>
      </c>
      <c r="T33" s="6" t="s">
        <v>173</v>
      </c>
      <c r="U33" s="11" t="str">
        <f t="shared" si="0"/>
        <v>1.지불 완료</v>
      </c>
      <c r="V33" s="8" t="s">
        <v>50</v>
      </c>
      <c r="W33" s="6" t="s">
        <v>142</v>
      </c>
    </row>
    <row r="34" spans="2:24" x14ac:dyDescent="0.3">
      <c r="B34" s="44">
        <v>45601</v>
      </c>
      <c r="C34" s="6" t="s">
        <v>23</v>
      </c>
      <c r="D34" s="27" t="s">
        <v>131</v>
      </c>
      <c r="E34" s="6" t="s">
        <v>24</v>
      </c>
      <c r="F34" s="6">
        <v>1</v>
      </c>
      <c r="G34" s="6" t="s">
        <v>147</v>
      </c>
      <c r="H34" s="7">
        <v>1</v>
      </c>
      <c r="I34" s="44"/>
      <c r="J34" s="67"/>
      <c r="K34" s="44">
        <v>45611</v>
      </c>
      <c r="L34" s="9"/>
      <c r="M34" s="60">
        <v>2922850</v>
      </c>
      <c r="N34" s="6" t="s">
        <v>26</v>
      </c>
      <c r="O34" s="6" t="s">
        <v>64</v>
      </c>
      <c r="P34" s="6" t="s">
        <v>63</v>
      </c>
      <c r="Q34" s="6" t="s">
        <v>22</v>
      </c>
      <c r="R34" s="6" t="s">
        <v>119</v>
      </c>
      <c r="S34" s="6" t="s">
        <v>148</v>
      </c>
      <c r="T34" s="6" t="s">
        <v>173</v>
      </c>
      <c r="U34" s="11" t="str">
        <f t="shared" si="0"/>
        <v>1.지불 완료</v>
      </c>
      <c r="V34" s="8" t="s">
        <v>50</v>
      </c>
      <c r="W34" s="6" t="s">
        <v>120</v>
      </c>
    </row>
    <row r="35" spans="2:24" x14ac:dyDescent="0.3">
      <c r="B35" s="44">
        <v>45598</v>
      </c>
      <c r="C35" s="6" t="s">
        <v>23</v>
      </c>
      <c r="D35" s="26" t="s">
        <v>44</v>
      </c>
      <c r="E35" s="6" t="s">
        <v>129</v>
      </c>
      <c r="F35" s="6">
        <v>1</v>
      </c>
      <c r="G35" s="6" t="s">
        <v>130</v>
      </c>
      <c r="H35" s="7">
        <v>1</v>
      </c>
      <c r="I35" s="44"/>
      <c r="J35" s="67"/>
      <c r="K35" s="44">
        <v>45601</v>
      </c>
      <c r="L35" s="9"/>
      <c r="M35" s="60">
        <v>4065500</v>
      </c>
      <c r="N35" s="6" t="s">
        <v>26</v>
      </c>
      <c r="O35" s="6" t="s">
        <v>64</v>
      </c>
      <c r="P35" s="6" t="s">
        <v>127</v>
      </c>
      <c r="Q35" s="6" t="s">
        <v>22</v>
      </c>
      <c r="R35" s="6" t="s">
        <v>119</v>
      </c>
      <c r="S35" s="6" t="s">
        <v>148</v>
      </c>
      <c r="T35" s="6" t="s">
        <v>173</v>
      </c>
      <c r="U35" s="11" t="str">
        <f t="shared" si="0"/>
        <v>1.지불 완료</v>
      </c>
      <c r="V35" s="8" t="s">
        <v>50</v>
      </c>
      <c r="W35" s="6" t="s">
        <v>128</v>
      </c>
    </row>
    <row r="36" spans="2:24" x14ac:dyDescent="0.3">
      <c r="B36" s="44">
        <v>45598</v>
      </c>
      <c r="C36" s="6" t="s">
        <v>23</v>
      </c>
      <c r="D36" s="27" t="s">
        <v>131</v>
      </c>
      <c r="E36" s="6" t="s">
        <v>132</v>
      </c>
      <c r="F36" s="6">
        <v>1</v>
      </c>
      <c r="G36" s="6" t="s">
        <v>133</v>
      </c>
      <c r="H36" s="7">
        <v>1</v>
      </c>
      <c r="I36" s="44"/>
      <c r="J36" s="67"/>
      <c r="K36" s="44">
        <v>45601</v>
      </c>
      <c r="L36" s="9"/>
      <c r="M36" s="60">
        <v>1873650</v>
      </c>
      <c r="N36" s="6" t="s">
        <v>26</v>
      </c>
      <c r="O36" s="6" t="s">
        <v>64</v>
      </c>
      <c r="P36" s="6" t="s">
        <v>127</v>
      </c>
      <c r="Q36" s="6" t="s">
        <v>22</v>
      </c>
      <c r="R36" s="6" t="s">
        <v>119</v>
      </c>
      <c r="S36" s="6" t="s">
        <v>148</v>
      </c>
      <c r="T36" s="6" t="s">
        <v>173</v>
      </c>
      <c r="U36" s="11" t="str">
        <f t="shared" si="0"/>
        <v>1.지불 완료</v>
      </c>
      <c r="V36" s="8" t="s">
        <v>50</v>
      </c>
      <c r="W36" s="6" t="s">
        <v>134</v>
      </c>
    </row>
    <row r="37" spans="2:24" x14ac:dyDescent="0.3">
      <c r="B37" s="44">
        <v>45602</v>
      </c>
      <c r="C37" s="6" t="s">
        <v>115</v>
      </c>
      <c r="D37" s="27" t="s">
        <v>116</v>
      </c>
      <c r="E37" s="6" t="s">
        <v>117</v>
      </c>
      <c r="F37" s="6">
        <v>1</v>
      </c>
      <c r="G37" s="6" t="s">
        <v>55</v>
      </c>
      <c r="H37" s="6">
        <v>55</v>
      </c>
      <c r="I37" s="44">
        <f>B37+14</f>
        <v>45616</v>
      </c>
      <c r="J37" s="67" t="s">
        <v>56</v>
      </c>
      <c r="K37" s="44">
        <v>45609</v>
      </c>
      <c r="L37" s="9"/>
      <c r="M37" s="60">
        <v>330000</v>
      </c>
      <c r="N37" s="6" t="s">
        <v>36</v>
      </c>
      <c r="O37" s="6" t="s">
        <v>64</v>
      </c>
      <c r="P37" s="6" t="s">
        <v>79</v>
      </c>
      <c r="Q37" s="6" t="s">
        <v>22</v>
      </c>
      <c r="R37" s="10" t="s">
        <v>78</v>
      </c>
      <c r="S37" s="11" t="s">
        <v>191</v>
      </c>
      <c r="T37" s="6" t="s">
        <v>124</v>
      </c>
      <c r="U37" s="11" t="str">
        <f t="shared" si="0"/>
        <v>1.지불 완료</v>
      </c>
      <c r="V37" s="8" t="s">
        <v>50</v>
      </c>
      <c r="W37" s="6" t="s">
        <v>194</v>
      </c>
    </row>
    <row r="38" spans="2:24" x14ac:dyDescent="0.3">
      <c r="B38" s="44">
        <v>45597</v>
      </c>
      <c r="C38" s="6" t="s">
        <v>23</v>
      </c>
      <c r="D38" s="26" t="s">
        <v>44</v>
      </c>
      <c r="E38" s="6" t="s">
        <v>27</v>
      </c>
      <c r="F38" s="6">
        <v>1</v>
      </c>
      <c r="G38" s="6" t="s">
        <v>28</v>
      </c>
      <c r="H38" s="7">
        <v>1</v>
      </c>
      <c r="I38" s="44">
        <f>B38+10</f>
        <v>45607</v>
      </c>
      <c r="J38" s="67" t="s">
        <v>25</v>
      </c>
      <c r="K38" s="44">
        <v>45596</v>
      </c>
      <c r="L38" s="9"/>
      <c r="M38" s="60">
        <v>761100</v>
      </c>
      <c r="N38" s="6" t="s">
        <v>26</v>
      </c>
      <c r="O38" s="6" t="s">
        <v>64</v>
      </c>
      <c r="P38" s="6" t="s">
        <v>77</v>
      </c>
      <c r="Q38" s="6" t="s">
        <v>22</v>
      </c>
      <c r="R38" s="10" t="s">
        <v>78</v>
      </c>
      <c r="S38" s="11" t="s">
        <v>192</v>
      </c>
      <c r="T38" s="11" t="s">
        <v>65</v>
      </c>
      <c r="U38" s="11" t="str">
        <f t="shared" si="0"/>
        <v>1.지불 완료</v>
      </c>
      <c r="V38" s="8" t="s">
        <v>50</v>
      </c>
      <c r="W38" s="6" t="s">
        <v>193</v>
      </c>
    </row>
    <row r="39" spans="2:24" x14ac:dyDescent="0.3">
      <c r="B39" s="44">
        <v>45597</v>
      </c>
      <c r="C39" s="6" t="s">
        <v>29</v>
      </c>
      <c r="D39" s="26" t="s">
        <v>44</v>
      </c>
      <c r="E39" s="6" t="s">
        <v>30</v>
      </c>
      <c r="F39" s="6">
        <v>1</v>
      </c>
      <c r="G39" s="6" t="s">
        <v>31</v>
      </c>
      <c r="H39" s="7">
        <v>1</v>
      </c>
      <c r="I39" s="44">
        <f>B39+15</f>
        <v>45612</v>
      </c>
      <c r="J39" s="67" t="s">
        <v>32</v>
      </c>
      <c r="K39" s="44">
        <v>45600</v>
      </c>
      <c r="L39" s="9"/>
      <c r="M39" s="60">
        <v>6675000</v>
      </c>
      <c r="N39" s="6" t="s">
        <v>26</v>
      </c>
      <c r="O39" s="6" t="s">
        <v>64</v>
      </c>
      <c r="P39" s="6" t="s">
        <v>63</v>
      </c>
      <c r="Q39" s="6" t="s">
        <v>22</v>
      </c>
      <c r="R39" s="10" t="s">
        <v>78</v>
      </c>
      <c r="S39" s="11" t="s">
        <v>175</v>
      </c>
      <c r="T39" s="11" t="s">
        <v>176</v>
      </c>
      <c r="U39" s="11" t="str">
        <f t="shared" si="0"/>
        <v>1.지불 완료</v>
      </c>
      <c r="V39" s="8" t="s">
        <v>50</v>
      </c>
      <c r="W39" s="6" t="s">
        <v>207</v>
      </c>
    </row>
    <row r="40" spans="2:24" x14ac:dyDescent="0.3">
      <c r="B40" s="48">
        <v>45595</v>
      </c>
      <c r="C40" s="6" t="s">
        <v>76</v>
      </c>
      <c r="D40" s="26" t="s">
        <v>44</v>
      </c>
      <c r="E40" s="6" t="s">
        <v>34</v>
      </c>
      <c r="F40" s="6">
        <v>1</v>
      </c>
      <c r="G40" s="6" t="s">
        <v>35</v>
      </c>
      <c r="H40" s="6">
        <v>200</v>
      </c>
      <c r="I40" s="44">
        <f>B40+28</f>
        <v>45623</v>
      </c>
      <c r="J40" s="67" t="s">
        <v>13</v>
      </c>
      <c r="K40" s="48" t="s">
        <v>44</v>
      </c>
      <c r="L40" s="9"/>
      <c r="M40" s="60">
        <v>800000</v>
      </c>
      <c r="N40" s="6" t="s">
        <v>36</v>
      </c>
      <c r="O40" s="6" t="s">
        <v>64</v>
      </c>
      <c r="P40" s="6" t="s">
        <v>81</v>
      </c>
      <c r="Q40" s="6" t="s">
        <v>22</v>
      </c>
      <c r="R40" s="10" t="s">
        <v>78</v>
      </c>
      <c r="S40" s="11" t="s">
        <v>195</v>
      </c>
      <c r="T40" s="11" t="s">
        <v>176</v>
      </c>
      <c r="U40" s="11" t="str">
        <f t="shared" si="0"/>
        <v>1.지불 완료</v>
      </c>
      <c r="V40" s="8" t="s">
        <v>50</v>
      </c>
      <c r="W40" s="6" t="s">
        <v>179</v>
      </c>
    </row>
    <row r="41" spans="2:24" x14ac:dyDescent="0.3">
      <c r="B41" s="44">
        <v>45594</v>
      </c>
      <c r="C41" s="6" t="s">
        <v>11</v>
      </c>
      <c r="D41" s="27" t="s">
        <v>125</v>
      </c>
      <c r="E41" s="6" t="s">
        <v>37</v>
      </c>
      <c r="F41" s="6">
        <v>1</v>
      </c>
      <c r="G41" s="6" t="s">
        <v>38</v>
      </c>
      <c r="H41" s="6">
        <v>110</v>
      </c>
      <c r="I41" s="44">
        <f>B41+28</f>
        <v>45622</v>
      </c>
      <c r="J41" s="67" t="s">
        <v>13</v>
      </c>
      <c r="K41" s="44">
        <v>45608</v>
      </c>
      <c r="L41" s="9"/>
      <c r="M41" s="60">
        <v>1463000</v>
      </c>
      <c r="N41" s="6" t="s">
        <v>14</v>
      </c>
      <c r="O41" s="6" t="s">
        <v>64</v>
      </c>
      <c r="P41" s="6" t="s">
        <v>63</v>
      </c>
      <c r="Q41" s="6" t="s">
        <v>22</v>
      </c>
      <c r="R41" s="10" t="s">
        <v>78</v>
      </c>
      <c r="S41" s="11" t="s">
        <v>247</v>
      </c>
      <c r="T41" s="11" t="s">
        <v>239</v>
      </c>
      <c r="U41" s="11" t="str">
        <f t="shared" si="0"/>
        <v>1.지불 완료</v>
      </c>
      <c r="V41" s="8" t="s">
        <v>50</v>
      </c>
      <c r="W41" s="6" t="s">
        <v>126</v>
      </c>
    </row>
    <row r="42" spans="2:24" x14ac:dyDescent="0.3">
      <c r="B42" s="44">
        <v>45589</v>
      </c>
      <c r="C42" s="6" t="s">
        <v>41</v>
      </c>
      <c r="D42" s="27" t="s">
        <v>210</v>
      </c>
      <c r="E42" s="6" t="s">
        <v>42</v>
      </c>
      <c r="F42" s="6">
        <v>1</v>
      </c>
      <c r="G42" s="6" t="s">
        <v>43</v>
      </c>
      <c r="H42" s="7">
        <v>1</v>
      </c>
      <c r="I42" s="44">
        <f>B42+28</f>
        <v>45617</v>
      </c>
      <c r="J42" s="67" t="s">
        <v>13</v>
      </c>
      <c r="K42" s="44">
        <v>45597</v>
      </c>
      <c r="L42" s="9"/>
      <c r="M42" s="60">
        <v>4090000</v>
      </c>
      <c r="N42" s="6" t="s">
        <v>14</v>
      </c>
      <c r="O42" s="6" t="s">
        <v>64</v>
      </c>
      <c r="P42" s="6" t="s">
        <v>79</v>
      </c>
      <c r="Q42" s="6" t="s">
        <v>22</v>
      </c>
      <c r="R42" s="10" t="s">
        <v>78</v>
      </c>
      <c r="S42" s="11" t="s">
        <v>209</v>
      </c>
      <c r="T42" s="11" t="s">
        <v>176</v>
      </c>
      <c r="U42" s="11" t="str">
        <f t="shared" si="0"/>
        <v>1.지불 완료</v>
      </c>
      <c r="V42" s="8" t="s">
        <v>50</v>
      </c>
      <c r="W42" s="6" t="s">
        <v>208</v>
      </c>
    </row>
    <row r="43" spans="2:24" x14ac:dyDescent="0.3">
      <c r="B43" s="44">
        <v>45586</v>
      </c>
      <c r="C43" s="6" t="s">
        <v>45</v>
      </c>
      <c r="D43" s="27" t="s">
        <v>161</v>
      </c>
      <c r="E43" s="6" t="s">
        <v>46</v>
      </c>
      <c r="F43" s="6">
        <v>1</v>
      </c>
      <c r="G43" s="6" t="s">
        <v>47</v>
      </c>
      <c r="H43" s="7">
        <v>1</v>
      </c>
      <c r="I43" s="44">
        <f>B43+140</f>
        <v>45726</v>
      </c>
      <c r="J43" s="67" t="s">
        <v>48</v>
      </c>
      <c r="K43" s="44">
        <v>45638</v>
      </c>
      <c r="L43" s="9"/>
      <c r="M43" s="60">
        <v>15006000</v>
      </c>
      <c r="N43" s="6" t="s">
        <v>49</v>
      </c>
      <c r="O43" s="6" t="s">
        <v>64</v>
      </c>
      <c r="P43" s="23" t="s">
        <v>163</v>
      </c>
      <c r="Q43" s="6" t="s">
        <v>22</v>
      </c>
      <c r="R43" s="10" t="s">
        <v>78</v>
      </c>
      <c r="S43" s="11" t="s">
        <v>240</v>
      </c>
      <c r="T43" s="11" t="s">
        <v>239</v>
      </c>
      <c r="U43" s="11" t="str">
        <f t="shared" si="0"/>
        <v>1.지불 완료</v>
      </c>
      <c r="V43" s="8" t="s">
        <v>50</v>
      </c>
      <c r="W43" s="23" t="s">
        <v>164</v>
      </c>
      <c r="X43" s="68" t="s">
        <v>418</v>
      </c>
    </row>
    <row r="44" spans="2:24" x14ac:dyDescent="0.3">
      <c r="B44" s="44">
        <v>45583</v>
      </c>
      <c r="C44" s="6" t="s">
        <v>118</v>
      </c>
      <c r="D44" s="27"/>
      <c r="E44" s="6" t="s">
        <v>51</v>
      </c>
      <c r="F44" s="6">
        <v>1</v>
      </c>
      <c r="G44" s="6" t="s">
        <v>52</v>
      </c>
      <c r="H44" s="6">
        <v>1</v>
      </c>
      <c r="I44" s="44">
        <f>B44+28</f>
        <v>45611</v>
      </c>
      <c r="J44" s="67" t="s">
        <v>13</v>
      </c>
      <c r="K44" s="44">
        <v>45587</v>
      </c>
      <c r="L44" s="9"/>
      <c r="M44" s="60">
        <v>1900000</v>
      </c>
      <c r="N44" s="6" t="s">
        <v>53</v>
      </c>
      <c r="O44" s="6" t="s">
        <v>64</v>
      </c>
      <c r="P44" s="6" t="s">
        <v>77</v>
      </c>
      <c r="Q44" s="6" t="s">
        <v>22</v>
      </c>
      <c r="R44" s="10" t="s">
        <v>78</v>
      </c>
      <c r="S44" s="11" t="s">
        <v>200</v>
      </c>
      <c r="T44" s="11" t="s">
        <v>201</v>
      </c>
      <c r="U44" s="11" t="str">
        <f t="shared" si="0"/>
        <v>1.지불 완료</v>
      </c>
      <c r="V44" s="8" t="s">
        <v>50</v>
      </c>
      <c r="W44" s="6" t="s">
        <v>199</v>
      </c>
    </row>
    <row r="45" spans="2:24" x14ac:dyDescent="0.3">
      <c r="B45" s="44">
        <v>45583</v>
      </c>
      <c r="C45" s="6" t="s">
        <v>76</v>
      </c>
      <c r="D45" s="26" t="s">
        <v>44</v>
      </c>
      <c r="E45" s="6" t="s">
        <v>54</v>
      </c>
      <c r="F45" s="6">
        <v>1</v>
      </c>
      <c r="G45" s="6" t="s">
        <v>55</v>
      </c>
      <c r="H45" s="6">
        <v>50</v>
      </c>
      <c r="I45" s="44">
        <f>B45+14</f>
        <v>45597</v>
      </c>
      <c r="J45" s="67" t="s">
        <v>56</v>
      </c>
      <c r="K45" s="48" t="s">
        <v>44</v>
      </c>
      <c r="L45" s="9"/>
      <c r="M45" s="60">
        <v>2500000</v>
      </c>
      <c r="N45" s="6" t="s">
        <v>36</v>
      </c>
      <c r="O45" s="6" t="s">
        <v>64</v>
      </c>
      <c r="P45" s="6" t="s">
        <v>82</v>
      </c>
      <c r="Q45" s="6" t="s">
        <v>22</v>
      </c>
      <c r="R45" s="10" t="s">
        <v>78</v>
      </c>
      <c r="S45" s="11" t="s">
        <v>195</v>
      </c>
      <c r="T45" s="11" t="s">
        <v>176</v>
      </c>
      <c r="U45" s="11" t="str">
        <f t="shared" si="0"/>
        <v>1.지불 완료</v>
      </c>
      <c r="V45" s="8" t="s">
        <v>50</v>
      </c>
      <c r="W45" s="6" t="s">
        <v>177</v>
      </c>
    </row>
    <row r="46" spans="2:24" x14ac:dyDescent="0.3">
      <c r="B46" s="48">
        <v>45582</v>
      </c>
      <c r="C46" s="6" t="s">
        <v>57</v>
      </c>
      <c r="D46" s="27" t="s">
        <v>181</v>
      </c>
      <c r="E46" s="6" t="s">
        <v>58</v>
      </c>
      <c r="F46" s="6">
        <v>1</v>
      </c>
      <c r="G46" s="6" t="s">
        <v>59</v>
      </c>
      <c r="H46" s="6">
        <v>300</v>
      </c>
      <c r="I46" s="44">
        <f>B46+42</f>
        <v>45624</v>
      </c>
      <c r="J46" s="67" t="s">
        <v>60</v>
      </c>
      <c r="K46" s="44">
        <v>45610</v>
      </c>
      <c r="L46" s="9"/>
      <c r="M46" s="60">
        <v>7277250</v>
      </c>
      <c r="N46" s="6" t="s">
        <v>53</v>
      </c>
      <c r="O46" s="6" t="s">
        <v>64</v>
      </c>
      <c r="P46" s="6" t="s">
        <v>182</v>
      </c>
      <c r="Q46" s="6" t="s">
        <v>22</v>
      </c>
      <c r="R46" s="10" t="s">
        <v>78</v>
      </c>
      <c r="S46" s="11" t="s">
        <v>184</v>
      </c>
      <c r="T46" s="11" t="s">
        <v>239</v>
      </c>
      <c r="U46" s="11" t="str">
        <f t="shared" si="0"/>
        <v>1.지불 완료</v>
      </c>
      <c r="V46" s="8" t="s">
        <v>50</v>
      </c>
      <c r="W46" s="6" t="s">
        <v>183</v>
      </c>
    </row>
    <row r="47" spans="2:24" x14ac:dyDescent="0.3">
      <c r="B47" s="44">
        <v>45580</v>
      </c>
      <c r="C47" s="6" t="s">
        <v>11</v>
      </c>
      <c r="D47" s="27" t="s">
        <v>15</v>
      </c>
      <c r="E47" s="6" t="s">
        <v>12</v>
      </c>
      <c r="F47" s="6">
        <v>1</v>
      </c>
      <c r="G47" s="6" t="s">
        <v>16</v>
      </c>
      <c r="H47" s="6">
        <v>110</v>
      </c>
      <c r="I47" s="44">
        <f>B47+28</f>
        <v>45608</v>
      </c>
      <c r="J47" s="67" t="s">
        <v>13</v>
      </c>
      <c r="K47" s="48" t="s">
        <v>44</v>
      </c>
      <c r="L47" s="9"/>
      <c r="M47" s="60">
        <v>1925000</v>
      </c>
      <c r="N47" s="6" t="s">
        <v>14</v>
      </c>
      <c r="O47" s="6" t="s">
        <v>64</v>
      </c>
      <c r="P47" s="6" t="s">
        <v>63</v>
      </c>
      <c r="Q47" s="6" t="s">
        <v>22</v>
      </c>
      <c r="R47" s="10" t="s">
        <v>78</v>
      </c>
      <c r="S47" s="11" t="s">
        <v>198</v>
      </c>
      <c r="T47" s="11" t="s">
        <v>65</v>
      </c>
      <c r="U47" s="11" t="str">
        <f t="shared" si="0"/>
        <v>1.지불 완료</v>
      </c>
      <c r="V47" s="8" t="s">
        <v>50</v>
      </c>
      <c r="W47" s="6" t="s">
        <v>197</v>
      </c>
    </row>
    <row r="48" spans="2:24" x14ac:dyDescent="0.3">
      <c r="B48" s="44">
        <v>45580</v>
      </c>
      <c r="C48" s="6" t="s">
        <v>11</v>
      </c>
      <c r="D48" s="27" t="s">
        <v>15</v>
      </c>
      <c r="E48" s="6" t="s">
        <v>12</v>
      </c>
      <c r="F48" s="6">
        <v>2</v>
      </c>
      <c r="G48" s="6" t="s">
        <v>17</v>
      </c>
      <c r="H48" s="6">
        <v>65</v>
      </c>
      <c r="I48" s="44">
        <f t="shared" ref="I48:I58" si="1">B48+28</f>
        <v>45608</v>
      </c>
      <c r="J48" s="67" t="s">
        <v>13</v>
      </c>
      <c r="K48" s="48" t="s">
        <v>44</v>
      </c>
      <c r="L48" s="9"/>
      <c r="M48" s="60">
        <v>1137500</v>
      </c>
      <c r="N48" s="6" t="s">
        <v>14</v>
      </c>
      <c r="O48" s="6" t="s">
        <v>64</v>
      </c>
      <c r="P48" s="6" t="s">
        <v>63</v>
      </c>
      <c r="Q48" s="6" t="s">
        <v>22</v>
      </c>
      <c r="R48" s="10" t="s">
        <v>78</v>
      </c>
      <c r="S48" s="11" t="s">
        <v>198</v>
      </c>
      <c r="T48" s="11" t="s">
        <v>65</v>
      </c>
      <c r="U48" s="11" t="str">
        <f t="shared" si="0"/>
        <v>1.지불 완료</v>
      </c>
      <c r="V48" s="16" t="s">
        <v>50</v>
      </c>
      <c r="W48" s="6" t="s">
        <v>197</v>
      </c>
    </row>
    <row r="49" spans="2:23" x14ac:dyDescent="0.3">
      <c r="B49" s="44">
        <v>45580</v>
      </c>
      <c r="C49" s="6" t="s">
        <v>11</v>
      </c>
      <c r="D49" s="27" t="s">
        <v>15</v>
      </c>
      <c r="E49" s="6" t="s">
        <v>12</v>
      </c>
      <c r="F49" s="6">
        <v>3</v>
      </c>
      <c r="G49" s="6" t="s">
        <v>18</v>
      </c>
      <c r="H49" s="6">
        <v>75</v>
      </c>
      <c r="I49" s="44">
        <f t="shared" si="1"/>
        <v>45608</v>
      </c>
      <c r="J49" s="67" t="s">
        <v>13</v>
      </c>
      <c r="K49" s="48" t="s">
        <v>44</v>
      </c>
      <c r="L49" s="9"/>
      <c r="M49" s="60">
        <v>1035000</v>
      </c>
      <c r="N49" s="6" t="s">
        <v>14</v>
      </c>
      <c r="O49" s="6" t="s">
        <v>64</v>
      </c>
      <c r="P49" s="6" t="s">
        <v>63</v>
      </c>
      <c r="Q49" s="6" t="s">
        <v>22</v>
      </c>
      <c r="R49" s="10" t="s">
        <v>78</v>
      </c>
      <c r="S49" s="11" t="s">
        <v>198</v>
      </c>
      <c r="T49" s="11" t="s">
        <v>65</v>
      </c>
      <c r="U49" s="11" t="str">
        <f t="shared" si="0"/>
        <v>1.지불 완료</v>
      </c>
      <c r="V49" s="16" t="s">
        <v>50</v>
      </c>
      <c r="W49" s="6" t="s">
        <v>197</v>
      </c>
    </row>
    <row r="50" spans="2:23" x14ac:dyDescent="0.3">
      <c r="B50" s="44">
        <v>45580</v>
      </c>
      <c r="C50" s="6" t="s">
        <v>11</v>
      </c>
      <c r="D50" s="27" t="s">
        <v>15</v>
      </c>
      <c r="E50" s="6" t="s">
        <v>12</v>
      </c>
      <c r="F50" s="6">
        <v>4</v>
      </c>
      <c r="G50" s="6" t="s">
        <v>19</v>
      </c>
      <c r="H50" s="6">
        <v>50</v>
      </c>
      <c r="I50" s="44">
        <f t="shared" si="1"/>
        <v>45608</v>
      </c>
      <c r="J50" s="67" t="s">
        <v>13</v>
      </c>
      <c r="K50" s="48" t="s">
        <v>44</v>
      </c>
      <c r="L50" s="9"/>
      <c r="M50" s="60">
        <v>312500</v>
      </c>
      <c r="N50" s="6" t="s">
        <v>14</v>
      </c>
      <c r="O50" s="6" t="s">
        <v>64</v>
      </c>
      <c r="P50" s="6" t="s">
        <v>63</v>
      </c>
      <c r="Q50" s="6" t="s">
        <v>22</v>
      </c>
      <c r="R50" s="10" t="s">
        <v>78</v>
      </c>
      <c r="S50" s="11" t="s">
        <v>198</v>
      </c>
      <c r="T50" s="11" t="s">
        <v>65</v>
      </c>
      <c r="U50" s="11" t="str">
        <f t="shared" si="0"/>
        <v>1.지불 완료</v>
      </c>
      <c r="V50" s="16" t="s">
        <v>50</v>
      </c>
      <c r="W50" s="6" t="s">
        <v>197</v>
      </c>
    </row>
    <row r="51" spans="2:23" x14ac:dyDescent="0.3">
      <c r="B51" s="44">
        <v>45580</v>
      </c>
      <c r="C51" s="6" t="s">
        <v>11</v>
      </c>
      <c r="D51" s="27" t="s">
        <v>15</v>
      </c>
      <c r="E51" s="6" t="s">
        <v>12</v>
      </c>
      <c r="F51" s="6">
        <v>5</v>
      </c>
      <c r="G51" s="6" t="s">
        <v>20</v>
      </c>
      <c r="H51" s="6">
        <v>50</v>
      </c>
      <c r="I51" s="44">
        <f t="shared" si="1"/>
        <v>45608</v>
      </c>
      <c r="J51" s="67" t="s">
        <v>13</v>
      </c>
      <c r="K51" s="48" t="s">
        <v>44</v>
      </c>
      <c r="L51" s="9"/>
      <c r="M51" s="60">
        <v>250000</v>
      </c>
      <c r="N51" s="6" t="s">
        <v>14</v>
      </c>
      <c r="O51" s="6" t="s">
        <v>64</v>
      </c>
      <c r="P51" s="6" t="s">
        <v>63</v>
      </c>
      <c r="Q51" s="6" t="s">
        <v>22</v>
      </c>
      <c r="R51" s="10" t="s">
        <v>78</v>
      </c>
      <c r="S51" s="11" t="s">
        <v>198</v>
      </c>
      <c r="T51" s="11" t="s">
        <v>65</v>
      </c>
      <c r="U51" s="11" t="str">
        <f t="shared" si="0"/>
        <v>1.지불 완료</v>
      </c>
      <c r="V51" s="16" t="s">
        <v>50</v>
      </c>
      <c r="W51" s="6" t="s">
        <v>197</v>
      </c>
    </row>
    <row r="52" spans="2:23" x14ac:dyDescent="0.3">
      <c r="B52" s="44">
        <v>45580</v>
      </c>
      <c r="C52" s="6" t="s">
        <v>11</v>
      </c>
      <c r="D52" s="27" t="s">
        <v>15</v>
      </c>
      <c r="E52" s="6" t="s">
        <v>12</v>
      </c>
      <c r="F52" s="6">
        <v>6</v>
      </c>
      <c r="G52" s="6" t="s">
        <v>21</v>
      </c>
      <c r="H52" s="6">
        <v>50</v>
      </c>
      <c r="I52" s="44">
        <f t="shared" si="1"/>
        <v>45608</v>
      </c>
      <c r="J52" s="67" t="s">
        <v>13</v>
      </c>
      <c r="K52" s="48" t="s">
        <v>44</v>
      </c>
      <c r="L52" s="9"/>
      <c r="M52" s="60">
        <v>450000</v>
      </c>
      <c r="N52" s="6" t="s">
        <v>14</v>
      </c>
      <c r="O52" s="6" t="s">
        <v>64</v>
      </c>
      <c r="P52" s="6" t="s">
        <v>63</v>
      </c>
      <c r="Q52" s="6" t="s">
        <v>22</v>
      </c>
      <c r="R52" s="10" t="s">
        <v>78</v>
      </c>
      <c r="S52" s="11" t="s">
        <v>198</v>
      </c>
      <c r="T52" s="11" t="s">
        <v>65</v>
      </c>
      <c r="U52" s="11" t="str">
        <f t="shared" si="0"/>
        <v>1.지불 완료</v>
      </c>
      <c r="V52" s="16" t="s">
        <v>50</v>
      </c>
      <c r="W52" s="6" t="s">
        <v>197</v>
      </c>
    </row>
    <row r="53" spans="2:23" x14ac:dyDescent="0.3">
      <c r="B53" s="44">
        <v>45573</v>
      </c>
      <c r="C53" s="6" t="s">
        <v>23</v>
      </c>
      <c r="D53" s="26" t="s">
        <v>44</v>
      </c>
      <c r="E53" s="6" t="s">
        <v>39</v>
      </c>
      <c r="F53" s="6">
        <v>1</v>
      </c>
      <c r="G53" s="6" t="s">
        <v>40</v>
      </c>
      <c r="H53" s="7">
        <v>1</v>
      </c>
      <c r="I53" s="44">
        <f t="shared" ref="I53:I69" si="2">B53+10</f>
        <v>45583</v>
      </c>
      <c r="J53" s="67" t="s">
        <v>25</v>
      </c>
      <c r="K53" s="44"/>
      <c r="L53" s="9"/>
      <c r="M53" s="60">
        <v>16832480</v>
      </c>
      <c r="N53" s="6" t="s">
        <v>26</v>
      </c>
      <c r="O53" s="6" t="s">
        <v>64</v>
      </c>
      <c r="P53" s="6" t="s">
        <v>63</v>
      </c>
      <c r="Q53" s="6" t="s">
        <v>22</v>
      </c>
      <c r="R53" s="10" t="s">
        <v>78</v>
      </c>
      <c r="S53" s="11" t="s">
        <v>192</v>
      </c>
      <c r="T53" s="11" t="s">
        <v>65</v>
      </c>
      <c r="U53" s="11" t="str">
        <f t="shared" si="0"/>
        <v>1.지불 완료</v>
      </c>
      <c r="V53" s="16" t="s">
        <v>50</v>
      </c>
      <c r="W53" s="6" t="s">
        <v>196</v>
      </c>
    </row>
    <row r="54" spans="2:23" x14ac:dyDescent="0.3">
      <c r="B54" s="48">
        <v>45573</v>
      </c>
      <c r="C54" s="6" t="s">
        <v>83</v>
      </c>
      <c r="D54" s="28" t="s">
        <v>185</v>
      </c>
      <c r="E54" s="6" t="s">
        <v>84</v>
      </c>
      <c r="F54" s="6">
        <v>1</v>
      </c>
      <c r="G54" s="6" t="s">
        <v>85</v>
      </c>
      <c r="H54" s="6">
        <v>1</v>
      </c>
      <c r="I54" s="44">
        <f t="shared" si="1"/>
        <v>45601</v>
      </c>
      <c r="J54" s="67" t="s">
        <v>13</v>
      </c>
      <c r="K54" s="44">
        <v>45586</v>
      </c>
      <c r="L54" s="9"/>
      <c r="M54" s="60">
        <v>1970000</v>
      </c>
      <c r="N54" s="6" t="s">
        <v>53</v>
      </c>
      <c r="O54" s="6" t="s">
        <v>64</v>
      </c>
      <c r="P54" s="6" t="s">
        <v>77</v>
      </c>
      <c r="Q54" s="6" t="s">
        <v>22</v>
      </c>
      <c r="R54" s="10" t="s">
        <v>78</v>
      </c>
      <c r="S54" s="11" t="s">
        <v>203</v>
      </c>
      <c r="T54" s="11" t="s">
        <v>201</v>
      </c>
      <c r="U54" s="11" t="str">
        <f t="shared" si="0"/>
        <v>1.지불 완료</v>
      </c>
      <c r="V54" s="16" t="s">
        <v>50</v>
      </c>
      <c r="W54" s="6" t="s">
        <v>202</v>
      </c>
    </row>
    <row r="55" spans="2:23" x14ac:dyDescent="0.3">
      <c r="B55" s="44">
        <v>45573</v>
      </c>
      <c r="C55" s="6" t="s">
        <v>93</v>
      </c>
      <c r="D55" s="27" t="s">
        <v>94</v>
      </c>
      <c r="E55" s="6" t="s">
        <v>169</v>
      </c>
      <c r="F55" s="6">
        <v>3</v>
      </c>
      <c r="G55" s="6" t="s">
        <v>170</v>
      </c>
      <c r="H55" s="6">
        <v>45</v>
      </c>
      <c r="I55" s="44">
        <f>B55+70</f>
        <v>45643</v>
      </c>
      <c r="J55" s="67"/>
      <c r="K55" s="44">
        <v>45638</v>
      </c>
      <c r="L55" s="9"/>
      <c r="M55" s="60">
        <v>5475000</v>
      </c>
      <c r="N55" s="6" t="s">
        <v>53</v>
      </c>
      <c r="O55" s="6" t="s">
        <v>64</v>
      </c>
      <c r="P55" s="6" t="s">
        <v>171</v>
      </c>
      <c r="Q55" s="6" t="s">
        <v>22</v>
      </c>
      <c r="R55" s="10" t="s">
        <v>78</v>
      </c>
      <c r="S55" s="6" t="s">
        <v>166</v>
      </c>
      <c r="T55" s="11" t="s">
        <v>239</v>
      </c>
      <c r="U55" s="11" t="str">
        <f t="shared" si="0"/>
        <v>1.지불 완료</v>
      </c>
      <c r="V55" s="16" t="s">
        <v>50</v>
      </c>
      <c r="W55" s="6" t="s">
        <v>172</v>
      </c>
    </row>
    <row r="56" spans="2:23" x14ac:dyDescent="0.3">
      <c r="B56" s="48">
        <v>45573</v>
      </c>
      <c r="C56" s="6" t="s">
        <v>76</v>
      </c>
      <c r="D56" s="26" t="s">
        <v>44</v>
      </c>
      <c r="E56" s="6" t="s">
        <v>80</v>
      </c>
      <c r="F56" s="6">
        <v>1</v>
      </c>
      <c r="G56" s="6" t="s">
        <v>35</v>
      </c>
      <c r="H56" s="6">
        <v>103</v>
      </c>
      <c r="I56" s="44">
        <f t="shared" si="1"/>
        <v>45601</v>
      </c>
      <c r="J56" s="67" t="s">
        <v>13</v>
      </c>
      <c r="K56" s="48" t="s">
        <v>44</v>
      </c>
      <c r="L56" s="9"/>
      <c r="M56" s="60">
        <v>400000</v>
      </c>
      <c r="N56" s="6" t="s">
        <v>36</v>
      </c>
      <c r="O56" s="6" t="s">
        <v>64</v>
      </c>
      <c r="P56" s="6" t="s">
        <v>81</v>
      </c>
      <c r="Q56" s="6" t="s">
        <v>22</v>
      </c>
      <c r="R56" s="10" t="s">
        <v>78</v>
      </c>
      <c r="S56" s="11" t="s">
        <v>195</v>
      </c>
      <c r="T56" s="11" t="s">
        <v>176</v>
      </c>
      <c r="U56" s="11" t="str">
        <f t="shared" si="0"/>
        <v>1.지불 완료</v>
      </c>
      <c r="V56" s="8" t="s">
        <v>50</v>
      </c>
      <c r="W56" s="6" t="s">
        <v>178</v>
      </c>
    </row>
    <row r="57" spans="2:23" x14ac:dyDescent="0.3">
      <c r="B57" s="44">
        <v>45562</v>
      </c>
      <c r="C57" s="6" t="s">
        <v>66</v>
      </c>
      <c r="D57" s="26" t="s">
        <v>44</v>
      </c>
      <c r="E57" s="6" t="s">
        <v>67</v>
      </c>
      <c r="F57" s="6">
        <v>1</v>
      </c>
      <c r="G57" s="6" t="s">
        <v>68</v>
      </c>
      <c r="H57" s="7">
        <v>1</v>
      </c>
      <c r="I57" s="44">
        <f>B57+15</f>
        <v>45577</v>
      </c>
      <c r="J57" s="67" t="s">
        <v>32</v>
      </c>
      <c r="K57" s="44">
        <v>45579</v>
      </c>
      <c r="L57" s="9"/>
      <c r="M57" s="60">
        <v>66782940</v>
      </c>
      <c r="N57" s="6" t="s">
        <v>26</v>
      </c>
      <c r="O57" s="6" t="s">
        <v>64</v>
      </c>
      <c r="P57" s="6" t="s">
        <v>63</v>
      </c>
      <c r="Q57" s="6" t="s">
        <v>22</v>
      </c>
      <c r="R57" s="10" t="s">
        <v>78</v>
      </c>
      <c r="S57" s="11" t="s">
        <v>205</v>
      </c>
      <c r="T57" s="11" t="s">
        <v>69</v>
      </c>
      <c r="U57" s="11" t="str">
        <f t="shared" si="0"/>
        <v>1.지불 완료</v>
      </c>
      <c r="V57" s="16" t="s">
        <v>50</v>
      </c>
      <c r="W57" s="6" t="s">
        <v>204</v>
      </c>
    </row>
    <row r="58" spans="2:23" x14ac:dyDescent="0.3">
      <c r="B58" s="44">
        <v>45559</v>
      </c>
      <c r="C58" s="6" t="s">
        <v>76</v>
      </c>
      <c r="D58" s="26" t="s">
        <v>44</v>
      </c>
      <c r="E58" s="6" t="s">
        <v>74</v>
      </c>
      <c r="F58" s="6">
        <v>1</v>
      </c>
      <c r="G58" s="6" t="s">
        <v>75</v>
      </c>
      <c r="H58" s="6">
        <v>14</v>
      </c>
      <c r="I58" s="44">
        <f t="shared" si="1"/>
        <v>45587</v>
      </c>
      <c r="J58" s="67" t="s">
        <v>13</v>
      </c>
      <c r="K58" s="44">
        <v>45565</v>
      </c>
      <c r="L58" s="9"/>
      <c r="M58" s="60">
        <v>210000</v>
      </c>
      <c r="N58" s="6" t="s">
        <v>36</v>
      </c>
      <c r="O58" s="6" t="s">
        <v>64</v>
      </c>
      <c r="P58" s="6" t="s">
        <v>77</v>
      </c>
      <c r="Q58" s="6" t="s">
        <v>22</v>
      </c>
      <c r="R58" s="10" t="s">
        <v>78</v>
      </c>
      <c r="S58" s="11" t="s">
        <v>224</v>
      </c>
      <c r="T58" s="11" t="s">
        <v>72</v>
      </c>
      <c r="U58" s="11" t="str">
        <f t="shared" si="0"/>
        <v>1.지불 완료</v>
      </c>
      <c r="V58" s="16" t="s">
        <v>50</v>
      </c>
      <c r="W58" s="6" t="s">
        <v>385</v>
      </c>
    </row>
    <row r="59" spans="2:23" x14ac:dyDescent="0.3">
      <c r="B59" s="44">
        <v>45558</v>
      </c>
      <c r="C59" s="6" t="s">
        <v>23</v>
      </c>
      <c r="D59" s="27"/>
      <c r="E59" s="6" t="s">
        <v>70</v>
      </c>
      <c r="F59" s="6">
        <v>1</v>
      </c>
      <c r="G59" s="6" t="s">
        <v>71</v>
      </c>
      <c r="H59" s="7">
        <v>1</v>
      </c>
      <c r="I59" s="44">
        <f t="shared" si="2"/>
        <v>45568</v>
      </c>
      <c r="J59" s="67" t="s">
        <v>25</v>
      </c>
      <c r="K59" s="44">
        <v>45560</v>
      </c>
      <c r="L59" s="9"/>
      <c r="M59" s="60">
        <v>1304100</v>
      </c>
      <c r="N59" s="6" t="s">
        <v>26</v>
      </c>
      <c r="O59" s="6" t="s">
        <v>64</v>
      </c>
      <c r="P59" s="6" t="s">
        <v>77</v>
      </c>
      <c r="Q59" s="6" t="s">
        <v>22</v>
      </c>
      <c r="R59" s="10" t="s">
        <v>78</v>
      </c>
      <c r="S59" s="11" t="s">
        <v>224</v>
      </c>
      <c r="T59" s="11" t="s">
        <v>72</v>
      </c>
      <c r="U59" s="11" t="str">
        <f t="shared" si="0"/>
        <v>1.지불 완료</v>
      </c>
      <c r="V59" s="16" t="s">
        <v>50</v>
      </c>
      <c r="W59" s="6" t="s">
        <v>225</v>
      </c>
    </row>
    <row r="60" spans="2:23" x14ac:dyDescent="0.3">
      <c r="B60" s="44">
        <v>45558</v>
      </c>
      <c r="C60" s="6" t="s">
        <v>23</v>
      </c>
      <c r="D60" s="27"/>
      <c r="E60" s="6" t="s">
        <v>73</v>
      </c>
      <c r="F60" s="6">
        <v>1</v>
      </c>
      <c r="G60" s="6" t="s">
        <v>68</v>
      </c>
      <c r="H60" s="7">
        <v>1</v>
      </c>
      <c r="I60" s="44">
        <f t="shared" si="2"/>
        <v>45568</v>
      </c>
      <c r="J60" s="67" t="s">
        <v>25</v>
      </c>
      <c r="K60" s="44">
        <v>45560</v>
      </c>
      <c r="L60" s="9"/>
      <c r="M60" s="60">
        <v>15905345</v>
      </c>
      <c r="N60" s="6" t="s">
        <v>26</v>
      </c>
      <c r="O60" s="6" t="s">
        <v>64</v>
      </c>
      <c r="P60" s="6" t="s">
        <v>63</v>
      </c>
      <c r="Q60" s="6" t="s">
        <v>22</v>
      </c>
      <c r="R60" s="10" t="s">
        <v>78</v>
      </c>
      <c r="S60" s="11" t="s">
        <v>224</v>
      </c>
      <c r="T60" s="11" t="s">
        <v>72</v>
      </c>
      <c r="U60" s="11" t="str">
        <f t="shared" si="0"/>
        <v>1.지불 완료</v>
      </c>
      <c r="V60" s="16" t="s">
        <v>50</v>
      </c>
      <c r="W60" s="6" t="s">
        <v>226</v>
      </c>
    </row>
    <row r="61" spans="2:23" x14ac:dyDescent="0.3">
      <c r="B61" s="44">
        <v>45549</v>
      </c>
      <c r="C61" s="6" t="s">
        <v>95</v>
      </c>
      <c r="D61" s="26" t="s">
        <v>44</v>
      </c>
      <c r="E61" s="6" t="s">
        <v>96</v>
      </c>
      <c r="F61" s="6">
        <v>1</v>
      </c>
      <c r="G61" s="6" t="s">
        <v>97</v>
      </c>
      <c r="H61" s="17">
        <v>1</v>
      </c>
      <c r="I61" s="44">
        <f t="shared" ref="I61" si="3">B61+28</f>
        <v>45577</v>
      </c>
      <c r="J61" s="67" t="s">
        <v>13</v>
      </c>
      <c r="K61" s="44" t="s">
        <v>212</v>
      </c>
      <c r="L61" s="9"/>
      <c r="M61" s="60">
        <f>5544000/2</f>
        <v>2772000</v>
      </c>
      <c r="N61" s="18" t="s">
        <v>303</v>
      </c>
      <c r="O61" s="6"/>
      <c r="P61" s="6"/>
      <c r="Q61" s="6" t="s">
        <v>22</v>
      </c>
      <c r="R61" s="10" t="s">
        <v>78</v>
      </c>
      <c r="S61" s="19" t="s">
        <v>304</v>
      </c>
      <c r="T61" s="19" t="s">
        <v>306</v>
      </c>
      <c r="U61" s="11" t="str">
        <f t="shared" si="0"/>
        <v>1.지불 완료</v>
      </c>
      <c r="V61" s="16" t="s">
        <v>50</v>
      </c>
      <c r="W61" s="6" t="s">
        <v>211</v>
      </c>
    </row>
    <row r="62" spans="2:23" x14ac:dyDescent="0.3">
      <c r="B62" s="44">
        <v>45549</v>
      </c>
      <c r="C62" s="6" t="s">
        <v>95</v>
      </c>
      <c r="D62" s="26" t="s">
        <v>44</v>
      </c>
      <c r="E62" s="6" t="s">
        <v>96</v>
      </c>
      <c r="F62" s="6">
        <v>1</v>
      </c>
      <c r="G62" s="6" t="s">
        <v>97</v>
      </c>
      <c r="H62" s="17">
        <v>1</v>
      </c>
      <c r="I62" s="44">
        <f t="shared" ref="I62:I64" si="4">B62+28</f>
        <v>45577</v>
      </c>
      <c r="J62" s="67" t="s">
        <v>13</v>
      </c>
      <c r="K62" s="44" t="s">
        <v>212</v>
      </c>
      <c r="L62" s="9"/>
      <c r="M62" s="60">
        <f>5544000/2</f>
        <v>2772000</v>
      </c>
      <c r="N62" s="18" t="s">
        <v>302</v>
      </c>
      <c r="O62" s="6"/>
      <c r="P62" s="6"/>
      <c r="Q62" s="6" t="s">
        <v>22</v>
      </c>
      <c r="R62" s="10" t="s">
        <v>78</v>
      </c>
      <c r="S62" s="19" t="s">
        <v>305</v>
      </c>
      <c r="T62" s="19" t="s">
        <v>307</v>
      </c>
      <c r="U62" s="11" t="str">
        <f t="shared" si="0"/>
        <v>1.지불 완료</v>
      </c>
      <c r="V62" s="16" t="s">
        <v>50</v>
      </c>
      <c r="W62" s="6" t="s">
        <v>211</v>
      </c>
    </row>
    <row r="63" spans="2:23" x14ac:dyDescent="0.3">
      <c r="B63" s="44">
        <v>45548</v>
      </c>
      <c r="C63" s="6" t="s">
        <v>57</v>
      </c>
      <c r="D63" s="27" t="s">
        <v>88</v>
      </c>
      <c r="E63" s="6" t="s">
        <v>86</v>
      </c>
      <c r="F63" s="6">
        <v>1</v>
      </c>
      <c r="G63" s="6" t="s">
        <v>87</v>
      </c>
      <c r="H63" s="6">
        <v>2</v>
      </c>
      <c r="I63" s="44">
        <f t="shared" si="4"/>
        <v>45576</v>
      </c>
      <c r="J63" s="67" t="s">
        <v>13</v>
      </c>
      <c r="K63" s="44">
        <v>45559</v>
      </c>
      <c r="L63" s="9"/>
      <c r="M63" s="60">
        <v>1446000</v>
      </c>
      <c r="N63" s="6" t="s">
        <v>53</v>
      </c>
      <c r="O63" s="6" t="s">
        <v>89</v>
      </c>
      <c r="P63" s="6" t="s">
        <v>90</v>
      </c>
      <c r="Q63" s="6" t="s">
        <v>22</v>
      </c>
      <c r="R63" s="10" t="s">
        <v>78</v>
      </c>
      <c r="S63" s="11" t="s">
        <v>227</v>
      </c>
      <c r="T63" s="11" t="s">
        <v>69</v>
      </c>
      <c r="U63" s="11" t="str">
        <f t="shared" si="0"/>
        <v>1.지불 완료</v>
      </c>
      <c r="V63" s="16" t="s">
        <v>50</v>
      </c>
      <c r="W63" s="6" t="s">
        <v>228</v>
      </c>
    </row>
    <row r="64" spans="2:23" x14ac:dyDescent="0.3">
      <c r="B64" s="44">
        <v>45544</v>
      </c>
      <c r="C64" s="6" t="s">
        <v>93</v>
      </c>
      <c r="D64" s="27" t="s">
        <v>94</v>
      </c>
      <c r="E64" s="6" t="s">
        <v>91</v>
      </c>
      <c r="F64" s="6">
        <v>1</v>
      </c>
      <c r="G64" s="6" t="s">
        <v>92</v>
      </c>
      <c r="H64" s="6">
        <v>320</v>
      </c>
      <c r="I64" s="44">
        <f t="shared" si="4"/>
        <v>45572</v>
      </c>
      <c r="J64" s="67" t="s">
        <v>13</v>
      </c>
      <c r="K64" s="44">
        <v>45558</v>
      </c>
      <c r="L64" s="9"/>
      <c r="M64" s="60">
        <v>4680000</v>
      </c>
      <c r="N64" s="6" t="s">
        <v>53</v>
      </c>
      <c r="O64" s="6" t="s">
        <v>64</v>
      </c>
      <c r="P64" s="6" t="s">
        <v>81</v>
      </c>
      <c r="Q64" s="6" t="s">
        <v>22</v>
      </c>
      <c r="R64" s="10" t="s">
        <v>78</v>
      </c>
      <c r="S64" s="11" t="s">
        <v>229</v>
      </c>
      <c r="T64" s="11" t="s">
        <v>72</v>
      </c>
      <c r="U64" s="11" t="str">
        <f t="shared" si="0"/>
        <v>1.지불 완료</v>
      </c>
      <c r="V64" s="16" t="s">
        <v>50</v>
      </c>
      <c r="W64" s="6" t="s">
        <v>230</v>
      </c>
    </row>
    <row r="65" spans="2:23" x14ac:dyDescent="0.3">
      <c r="B65" s="48">
        <v>45544</v>
      </c>
      <c r="C65" s="6" t="s">
        <v>45</v>
      </c>
      <c r="D65" s="27" t="s">
        <v>106</v>
      </c>
      <c r="E65" s="6" t="s">
        <v>61</v>
      </c>
      <c r="F65" s="6">
        <v>1</v>
      </c>
      <c r="G65" s="6" t="s">
        <v>62</v>
      </c>
      <c r="H65" s="7">
        <v>1</v>
      </c>
      <c r="I65" s="44">
        <f>B65+140</f>
        <v>45684</v>
      </c>
      <c r="J65" s="67" t="s">
        <v>48</v>
      </c>
      <c r="K65" s="50" t="s">
        <v>296</v>
      </c>
      <c r="L65" s="9"/>
      <c r="M65" s="60">
        <f>30052000*0.3</f>
        <v>9015600</v>
      </c>
      <c r="N65" s="18" t="s">
        <v>292</v>
      </c>
      <c r="O65" s="6" t="s">
        <v>64</v>
      </c>
      <c r="P65" s="6" t="s">
        <v>81</v>
      </c>
      <c r="Q65" s="6" t="s">
        <v>22</v>
      </c>
      <c r="R65" s="10" t="s">
        <v>78</v>
      </c>
      <c r="S65" s="18" t="s">
        <v>298</v>
      </c>
      <c r="T65" s="18" t="s">
        <v>301</v>
      </c>
      <c r="U65" s="11" t="str">
        <f t="shared" si="0"/>
        <v>1.지불 완료</v>
      </c>
      <c r="V65" s="16" t="s">
        <v>50</v>
      </c>
      <c r="W65" s="6" t="s">
        <v>180</v>
      </c>
    </row>
    <row r="66" spans="2:23" x14ac:dyDescent="0.3">
      <c r="B66" s="48">
        <v>45544</v>
      </c>
      <c r="C66" s="6" t="s">
        <v>45</v>
      </c>
      <c r="D66" s="27" t="s">
        <v>106</v>
      </c>
      <c r="E66" s="6" t="s">
        <v>61</v>
      </c>
      <c r="F66" s="6">
        <v>1</v>
      </c>
      <c r="G66" s="6" t="s">
        <v>62</v>
      </c>
      <c r="H66" s="7">
        <v>1</v>
      </c>
      <c r="I66" s="44">
        <f>B66+140</f>
        <v>45684</v>
      </c>
      <c r="J66" s="67" t="s">
        <v>48</v>
      </c>
      <c r="K66" s="43" t="s">
        <v>295</v>
      </c>
      <c r="L66" s="9"/>
      <c r="M66" s="60">
        <f>30052000*0.4</f>
        <v>12020800</v>
      </c>
      <c r="N66" s="18" t="s">
        <v>293</v>
      </c>
      <c r="O66" s="6" t="s">
        <v>64</v>
      </c>
      <c r="P66" s="6" t="s">
        <v>81</v>
      </c>
      <c r="Q66" s="6" t="s">
        <v>22</v>
      </c>
      <c r="R66" s="10" t="s">
        <v>78</v>
      </c>
      <c r="S66" s="18" t="s">
        <v>297</v>
      </c>
      <c r="T66" s="18" t="s">
        <v>300</v>
      </c>
      <c r="U66" s="11" t="str">
        <f t="shared" si="0"/>
        <v>1.지불 완료</v>
      </c>
      <c r="V66" s="16" t="s">
        <v>50</v>
      </c>
      <c r="W66" s="6" t="s">
        <v>180</v>
      </c>
    </row>
    <row r="67" spans="2:23" x14ac:dyDescent="0.3">
      <c r="B67" s="48">
        <v>45544</v>
      </c>
      <c r="C67" s="6" t="s">
        <v>45</v>
      </c>
      <c r="D67" s="27" t="s">
        <v>106</v>
      </c>
      <c r="E67" s="6" t="s">
        <v>61</v>
      </c>
      <c r="F67" s="6">
        <v>1</v>
      </c>
      <c r="G67" s="6" t="s">
        <v>62</v>
      </c>
      <c r="H67" s="7">
        <v>1</v>
      </c>
      <c r="I67" s="44">
        <f>B67+140</f>
        <v>45684</v>
      </c>
      <c r="J67" s="67" t="s">
        <v>48</v>
      </c>
      <c r="K67" s="43"/>
      <c r="L67" s="9"/>
      <c r="M67" s="60">
        <f>30052000*0.3</f>
        <v>9015600</v>
      </c>
      <c r="N67" s="30" t="s">
        <v>294</v>
      </c>
      <c r="O67" s="6" t="s">
        <v>64</v>
      </c>
      <c r="P67" s="6" t="s">
        <v>81</v>
      </c>
      <c r="Q67" s="6" t="s">
        <v>22</v>
      </c>
      <c r="R67" s="10" t="s">
        <v>78</v>
      </c>
      <c r="S67" s="31" t="s">
        <v>378</v>
      </c>
      <c r="T67" s="31" t="s">
        <v>299</v>
      </c>
      <c r="U67" s="11" t="str">
        <f t="shared" si="0"/>
        <v>1.지불 완료</v>
      </c>
      <c r="V67" s="16" t="s">
        <v>50</v>
      </c>
      <c r="W67" s="6" t="s">
        <v>180</v>
      </c>
    </row>
    <row r="68" spans="2:23" x14ac:dyDescent="0.3">
      <c r="B68" s="48">
        <v>45541</v>
      </c>
      <c r="C68" s="6" t="s">
        <v>76</v>
      </c>
      <c r="D68" s="26" t="s">
        <v>44</v>
      </c>
      <c r="E68" s="6" t="s">
        <v>105</v>
      </c>
      <c r="F68" s="6">
        <v>1</v>
      </c>
      <c r="G68" s="6" t="s">
        <v>35</v>
      </c>
      <c r="H68" s="7">
        <v>1</v>
      </c>
      <c r="I68" s="44">
        <f>B68+140</f>
        <v>45681</v>
      </c>
      <c r="J68" s="67" t="s">
        <v>48</v>
      </c>
      <c r="K68" s="48" t="s">
        <v>44</v>
      </c>
      <c r="L68" s="9"/>
      <c r="M68" s="60">
        <v>8274400</v>
      </c>
      <c r="N68" s="6" t="s">
        <v>36</v>
      </c>
      <c r="O68" s="6" t="s">
        <v>64</v>
      </c>
      <c r="P68" s="6" t="s">
        <v>81</v>
      </c>
      <c r="Q68" s="6" t="s">
        <v>22</v>
      </c>
      <c r="R68" s="10" t="s">
        <v>78</v>
      </c>
      <c r="S68" s="11" t="s">
        <v>235</v>
      </c>
      <c r="T68" s="11" t="s">
        <v>101</v>
      </c>
      <c r="U68" s="11" t="str">
        <f t="shared" ref="U68:U75" si="5">IF(ISBLANK(T68)=FALSE, "1.지불 완료", IF(ISBLANK(R68)=FALSE, "2.공급 완료", "3.진행 중"))</f>
        <v>1.지불 완료</v>
      </c>
      <c r="V68" s="16" t="s">
        <v>50</v>
      </c>
      <c r="W68" s="6" t="s">
        <v>236</v>
      </c>
    </row>
    <row r="69" spans="2:23" x14ac:dyDescent="0.3">
      <c r="B69" s="44">
        <v>45532</v>
      </c>
      <c r="C69" s="6" t="s">
        <v>23</v>
      </c>
      <c r="D69" s="27"/>
      <c r="E69" s="6" t="s">
        <v>107</v>
      </c>
      <c r="F69" s="6">
        <v>1</v>
      </c>
      <c r="G69" s="6" t="s">
        <v>108</v>
      </c>
      <c r="H69" s="7">
        <v>1</v>
      </c>
      <c r="I69" s="44">
        <f t="shared" si="2"/>
        <v>45542</v>
      </c>
      <c r="J69" s="67" t="s">
        <v>25</v>
      </c>
      <c r="K69" s="44">
        <v>45532</v>
      </c>
      <c r="L69" s="9"/>
      <c r="M69" s="60">
        <v>982500</v>
      </c>
      <c r="N69" s="6" t="s">
        <v>26</v>
      </c>
      <c r="O69" s="6" t="s">
        <v>64</v>
      </c>
      <c r="P69" s="6" t="s">
        <v>81</v>
      </c>
      <c r="Q69" s="6" t="s">
        <v>22</v>
      </c>
      <c r="R69" s="10" t="s">
        <v>78</v>
      </c>
      <c r="S69" s="11" t="s">
        <v>237</v>
      </c>
      <c r="T69" s="11" t="s">
        <v>101</v>
      </c>
      <c r="U69" s="11" t="str">
        <f t="shared" si="5"/>
        <v>1.지불 완료</v>
      </c>
      <c r="V69" s="16" t="s">
        <v>50</v>
      </c>
      <c r="W69" s="6" t="s">
        <v>238</v>
      </c>
    </row>
    <row r="70" spans="2:23" x14ac:dyDescent="0.3">
      <c r="B70" s="44">
        <v>45525</v>
      </c>
      <c r="C70" s="6" t="s">
        <v>57</v>
      </c>
      <c r="D70" s="27" t="s">
        <v>102</v>
      </c>
      <c r="E70" s="6" t="s">
        <v>103</v>
      </c>
      <c r="F70" s="6">
        <v>1</v>
      </c>
      <c r="G70" s="6" t="s">
        <v>104</v>
      </c>
      <c r="H70" s="6">
        <v>1</v>
      </c>
      <c r="I70" s="44">
        <f t="shared" ref="I70" si="6">B70+28</f>
        <v>45553</v>
      </c>
      <c r="J70" s="67" t="s">
        <v>13</v>
      </c>
      <c r="K70" s="44">
        <v>45539</v>
      </c>
      <c r="L70" s="9"/>
      <c r="M70" s="60">
        <v>788000</v>
      </c>
      <c r="N70" s="6" t="s">
        <v>53</v>
      </c>
      <c r="O70" s="6" t="s">
        <v>64</v>
      </c>
      <c r="P70" s="6" t="s">
        <v>81</v>
      </c>
      <c r="Q70" s="6" t="s">
        <v>22</v>
      </c>
      <c r="R70" s="10" t="s">
        <v>78</v>
      </c>
      <c r="S70" s="11" t="s">
        <v>231</v>
      </c>
      <c r="T70" s="11" t="s">
        <v>72</v>
      </c>
      <c r="U70" s="11" t="str">
        <f t="shared" si="5"/>
        <v>1.지불 완료</v>
      </c>
      <c r="V70" s="16" t="s">
        <v>50</v>
      </c>
      <c r="W70" s="6" t="s">
        <v>234</v>
      </c>
    </row>
    <row r="71" spans="2:23" ht="33" x14ac:dyDescent="0.3">
      <c r="B71" s="44">
        <v>45495</v>
      </c>
      <c r="C71" s="6" t="s">
        <v>98</v>
      </c>
      <c r="D71" s="26" t="s">
        <v>44</v>
      </c>
      <c r="E71" s="6" t="s">
        <v>99</v>
      </c>
      <c r="F71" s="6">
        <v>1</v>
      </c>
      <c r="G71" s="6" t="s">
        <v>100</v>
      </c>
      <c r="H71" s="6">
        <v>180</v>
      </c>
      <c r="I71" s="44">
        <f>B71+140</f>
        <v>45635</v>
      </c>
      <c r="J71" s="67" t="s">
        <v>48</v>
      </c>
      <c r="K71" s="48" t="s">
        <v>44</v>
      </c>
      <c r="L71" s="21">
        <v>4950</v>
      </c>
      <c r="M71" s="60">
        <v>6637950</v>
      </c>
      <c r="N71" s="18" t="s">
        <v>233</v>
      </c>
      <c r="O71" s="6" t="s">
        <v>64</v>
      </c>
      <c r="P71" s="6" t="s">
        <v>79</v>
      </c>
      <c r="Q71" s="6" t="s">
        <v>22</v>
      </c>
      <c r="R71" s="10" t="s">
        <v>78</v>
      </c>
      <c r="S71" s="11" t="s">
        <v>231</v>
      </c>
      <c r="T71" s="11" t="s">
        <v>101</v>
      </c>
      <c r="U71" s="11" t="str">
        <f t="shared" si="5"/>
        <v>1.지불 완료</v>
      </c>
      <c r="V71" s="16" t="s">
        <v>50</v>
      </c>
      <c r="W71" s="22" t="s">
        <v>232</v>
      </c>
    </row>
    <row r="72" spans="2:23" x14ac:dyDescent="0.3">
      <c r="B72" s="44">
        <v>45458</v>
      </c>
      <c r="C72" s="6" t="s">
        <v>308</v>
      </c>
      <c r="D72" s="26" t="s">
        <v>212</v>
      </c>
      <c r="E72" s="6" t="s">
        <v>381</v>
      </c>
      <c r="F72" s="6">
        <v>1</v>
      </c>
      <c r="G72" s="6" t="s">
        <v>382</v>
      </c>
      <c r="H72" s="6">
        <v>1</v>
      </c>
      <c r="I72" s="44"/>
      <c r="J72" s="67"/>
      <c r="K72" s="43">
        <v>45681</v>
      </c>
      <c r="L72" s="21"/>
      <c r="M72" s="60">
        <v>24000000</v>
      </c>
      <c r="N72" s="18" t="s">
        <v>383</v>
      </c>
      <c r="O72" s="6" t="s">
        <v>271</v>
      </c>
      <c r="P72" s="6" t="s">
        <v>189</v>
      </c>
      <c r="Q72" s="6" t="s">
        <v>373</v>
      </c>
      <c r="R72" s="10" t="s">
        <v>370</v>
      </c>
      <c r="S72" s="6" t="s">
        <v>398</v>
      </c>
      <c r="T72" s="6" t="s">
        <v>420</v>
      </c>
      <c r="U72" s="11" t="str">
        <f t="shared" si="5"/>
        <v>1.지불 완료</v>
      </c>
      <c r="V72" s="16" t="s">
        <v>274</v>
      </c>
      <c r="W72" s="22" t="s">
        <v>380</v>
      </c>
    </row>
    <row r="73" spans="2:23" x14ac:dyDescent="0.3">
      <c r="B73" s="44">
        <v>45458</v>
      </c>
      <c r="C73" s="6" t="s">
        <v>123</v>
      </c>
      <c r="D73" s="26" t="s">
        <v>44</v>
      </c>
      <c r="E73" s="6" t="s">
        <v>121</v>
      </c>
      <c r="F73" s="6">
        <v>1</v>
      </c>
      <c r="G73" s="6" t="s">
        <v>122</v>
      </c>
      <c r="H73" s="6">
        <v>1</v>
      </c>
      <c r="I73" s="44"/>
      <c r="J73" s="67"/>
      <c r="K73" s="44">
        <v>45622</v>
      </c>
      <c r="L73" s="9"/>
      <c r="M73" s="60">
        <v>24000000</v>
      </c>
      <c r="N73" s="6" t="s">
        <v>384</v>
      </c>
      <c r="O73" s="6" t="s">
        <v>64</v>
      </c>
      <c r="P73" s="6" t="s">
        <v>79</v>
      </c>
      <c r="Q73" s="6" t="s">
        <v>22</v>
      </c>
      <c r="R73" s="10" t="s">
        <v>78</v>
      </c>
      <c r="S73" s="6" t="s">
        <v>174</v>
      </c>
      <c r="T73" s="6" t="s">
        <v>124</v>
      </c>
      <c r="U73" s="11" t="str">
        <f t="shared" si="5"/>
        <v>1.지불 완료</v>
      </c>
      <c r="V73" s="8" t="s">
        <v>50</v>
      </c>
      <c r="W73" s="6" t="s">
        <v>206</v>
      </c>
    </row>
    <row r="74" spans="2:23" x14ac:dyDescent="0.3">
      <c r="B74" s="44">
        <v>45458</v>
      </c>
      <c r="C74" s="6" t="s">
        <v>123</v>
      </c>
      <c r="D74" s="26" t="s">
        <v>44</v>
      </c>
      <c r="E74" s="6" t="s">
        <v>121</v>
      </c>
      <c r="F74" s="6">
        <v>1</v>
      </c>
      <c r="G74" s="6" t="s">
        <v>122</v>
      </c>
      <c r="H74" s="6">
        <v>1</v>
      </c>
      <c r="I74" s="44"/>
      <c r="J74" s="67"/>
      <c r="K74" s="44">
        <v>45458</v>
      </c>
      <c r="L74" s="9"/>
      <c r="M74" s="60">
        <v>32000000</v>
      </c>
      <c r="N74" s="30" t="s">
        <v>377</v>
      </c>
      <c r="O74" s="6" t="s">
        <v>64</v>
      </c>
      <c r="P74" s="6" t="s">
        <v>79</v>
      </c>
      <c r="Q74" s="6" t="s">
        <v>22</v>
      </c>
      <c r="R74" s="10" t="s">
        <v>78</v>
      </c>
      <c r="S74" s="31" t="s">
        <v>378</v>
      </c>
      <c r="T74" s="31" t="s">
        <v>379</v>
      </c>
      <c r="U74" s="11" t="str">
        <f t="shared" si="5"/>
        <v>1.지불 완료</v>
      </c>
      <c r="V74" s="8" t="s">
        <v>50</v>
      </c>
      <c r="W74" s="6" t="s">
        <v>206</v>
      </c>
    </row>
    <row r="75" spans="2:23" x14ac:dyDescent="0.3">
      <c r="B75" s="44">
        <v>45392</v>
      </c>
      <c r="C75" s="6" t="s">
        <v>150</v>
      </c>
      <c r="D75" s="27"/>
      <c r="E75" s="6" t="s">
        <v>149</v>
      </c>
      <c r="F75" s="6">
        <v>1</v>
      </c>
      <c r="G75" s="6" t="s">
        <v>159</v>
      </c>
      <c r="H75" s="7">
        <v>1</v>
      </c>
      <c r="I75" s="44">
        <v>45657</v>
      </c>
      <c r="J75" s="67"/>
      <c r="K75" s="44">
        <v>45644</v>
      </c>
      <c r="L75" s="9"/>
      <c r="M75" s="60">
        <v>5000000</v>
      </c>
      <c r="N75" s="6" t="s">
        <v>151</v>
      </c>
      <c r="O75" s="6" t="s">
        <v>64</v>
      </c>
      <c r="P75" s="6" t="s">
        <v>152</v>
      </c>
      <c r="Q75" s="6" t="s">
        <v>22</v>
      </c>
      <c r="R75" s="6" t="s">
        <v>162</v>
      </c>
      <c r="S75" s="8" t="s">
        <v>332</v>
      </c>
      <c r="T75" s="6" t="s">
        <v>289</v>
      </c>
      <c r="U75" s="11" t="str">
        <f t="shared" si="5"/>
        <v>1.지불 완료</v>
      </c>
      <c r="V75" s="8" t="s">
        <v>220</v>
      </c>
      <c r="W75" s="6" t="s">
        <v>153</v>
      </c>
    </row>
  </sheetData>
  <autoFilter ref="A2:Z75" xr:uid="{E8B29AE8-3ABB-4472-8BB0-DFDEC1FBF892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성필 최</cp:lastModifiedBy>
  <dcterms:created xsi:type="dcterms:W3CDTF">2024-11-01T02:22:49Z</dcterms:created>
  <dcterms:modified xsi:type="dcterms:W3CDTF">2025-02-11T02:45:20Z</dcterms:modified>
</cp:coreProperties>
</file>
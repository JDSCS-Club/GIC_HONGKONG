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_Top Management\3_매입현황\"/>
    </mc:Choice>
  </mc:AlternateContent>
  <xr:revisionPtr revIDLastSave="0" documentId="13_ncr:1_{E1622CE9-592D-4ED7-9132-873AB09C913F}" xr6:coauthVersionLast="47" xr6:coauthVersionMax="47" xr10:uidLastSave="{00000000-0000-0000-0000-000000000000}"/>
  <bookViews>
    <workbookView xWindow="-120" yWindow="-120" windowWidth="29040" windowHeight="17640" xr2:uid="{F090A3CC-17C1-465D-AD2F-3AD5FFD0C608}"/>
  </bookViews>
  <sheets>
    <sheet name="업체별 종합" sheetId="6" r:id="rId1"/>
    <sheet name="계약별 상세" sheetId="3" r:id="rId2"/>
  </sheets>
  <definedNames>
    <definedName name="_xlnm._FilterDatabase" localSheetId="1" hidden="1">'계약별 상세'!$A$2:$Z$118</definedName>
  </definedName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3" l="1"/>
  <c r="U3" i="3"/>
  <c r="U7" i="3"/>
  <c r="U6" i="3"/>
  <c r="U12" i="3" l="1"/>
  <c r="U5" i="3"/>
  <c r="I5" i="3"/>
  <c r="U11" i="3" l="1"/>
  <c r="U10" i="3"/>
  <c r="U9" i="3"/>
  <c r="U8" i="3"/>
  <c r="U13" i="3"/>
  <c r="U39" i="3"/>
  <c r="U94" i="3"/>
  <c r="U93" i="3"/>
  <c r="U92" i="3"/>
  <c r="U91" i="3"/>
  <c r="U90" i="3"/>
  <c r="U118" i="3" l="1"/>
  <c r="U117" i="3"/>
  <c r="U116" i="3"/>
  <c r="U115" i="3"/>
  <c r="U114" i="3"/>
  <c r="U113" i="3"/>
  <c r="U112" i="3"/>
  <c r="U111" i="3"/>
  <c r="U110" i="3"/>
  <c r="U109" i="3"/>
  <c r="U108" i="3"/>
  <c r="U107" i="3"/>
  <c r="U106" i="3"/>
  <c r="U105" i="3"/>
  <c r="U104" i="3"/>
  <c r="U103" i="3"/>
  <c r="U102" i="3"/>
  <c r="U101" i="3"/>
  <c r="U100" i="3"/>
  <c r="U99" i="3"/>
  <c r="U98" i="3"/>
  <c r="U97" i="3"/>
  <c r="U96" i="3"/>
  <c r="U95" i="3"/>
  <c r="U89" i="3"/>
  <c r="U88" i="3"/>
  <c r="U19" i="3" l="1"/>
  <c r="U18" i="3"/>
  <c r="U14" i="3" l="1"/>
  <c r="U15" i="3"/>
  <c r="I15" i="3"/>
  <c r="U16" i="3"/>
  <c r="I16" i="3"/>
  <c r="U17" i="3" l="1"/>
  <c r="U87" i="3"/>
  <c r="U86" i="3"/>
  <c r="U85" i="3"/>
  <c r="U84" i="3"/>
  <c r="U83" i="3"/>
  <c r="U82" i="3"/>
  <c r="U81" i="3"/>
  <c r="U80" i="3"/>
  <c r="U79" i="3"/>
  <c r="U78" i="3"/>
  <c r="U77" i="3"/>
  <c r="U76" i="3"/>
  <c r="U75" i="3"/>
  <c r="U74" i="3"/>
  <c r="U73" i="3"/>
  <c r="U72" i="3"/>
  <c r="U71" i="3"/>
  <c r="U70" i="3"/>
  <c r="U69" i="3"/>
  <c r="U68" i="3"/>
  <c r="U67" i="3"/>
  <c r="U66" i="3"/>
  <c r="U65" i="3"/>
  <c r="U64" i="3"/>
  <c r="U63" i="3"/>
  <c r="U62" i="3"/>
  <c r="U61" i="3"/>
  <c r="U60" i="3"/>
  <c r="U59" i="3"/>
  <c r="U58" i="3"/>
  <c r="U57" i="3"/>
  <c r="U56" i="3"/>
  <c r="U55" i="3"/>
  <c r="U54" i="3"/>
  <c r="U53" i="3"/>
  <c r="U52" i="3"/>
  <c r="U51" i="3"/>
  <c r="U50" i="3"/>
  <c r="U49" i="3"/>
  <c r="U48" i="3"/>
  <c r="U47" i="3"/>
  <c r="U46" i="3"/>
  <c r="U45" i="3"/>
  <c r="U44" i="3"/>
  <c r="U43" i="3"/>
  <c r="U42" i="3"/>
  <c r="U41" i="3"/>
  <c r="U40" i="3"/>
  <c r="U38" i="3"/>
  <c r="U37" i="3"/>
  <c r="U36" i="3"/>
  <c r="U35" i="3"/>
  <c r="U34" i="3"/>
  <c r="U3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I21" i="3"/>
  <c r="I20" i="3"/>
  <c r="I22" i="3"/>
  <c r="I23" i="3"/>
  <c r="I24" i="3"/>
  <c r="I30" i="3" l="1"/>
  <c r="I31" i="3"/>
  <c r="M45" i="3"/>
  <c r="M46" i="3"/>
  <c r="I32" i="3"/>
  <c r="M83" i="3" l="1"/>
  <c r="M84" i="3"/>
  <c r="M82" i="3"/>
  <c r="M79" i="3"/>
  <c r="M78" i="3"/>
  <c r="I78" i="3"/>
  <c r="I83" i="3"/>
  <c r="I84" i="3"/>
  <c r="I95" i="3"/>
  <c r="I87" i="3"/>
  <c r="I86" i="3"/>
  <c r="I85" i="3"/>
  <c r="I82" i="3"/>
  <c r="I81" i="3"/>
  <c r="I80" i="3"/>
  <c r="I79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44" i="3"/>
  <c r="I43" i="3"/>
  <c r="I41" i="3"/>
  <c r="I42" i="3"/>
  <c r="I40" i="3"/>
  <c r="I38" i="3"/>
  <c r="I37" i="3"/>
  <c r="I36" i="3"/>
  <c r="I35" i="3"/>
  <c r="I34" i="3"/>
  <c r="I47" i="3"/>
  <c r="I33" i="3"/>
</calcChain>
</file>

<file path=xl/sharedStrings.xml><?xml version="1.0" encoding="utf-8"?>
<sst xmlns="http://schemas.openxmlformats.org/spreadsheetml/2006/main" count="1568" uniqueCount="563">
  <si>
    <t>고객 PO no.</t>
    <phoneticPr fontId="1" type="noConversion"/>
  </si>
  <si>
    <t>계약번호</t>
    <phoneticPr fontId="1" type="noConversion"/>
  </si>
  <si>
    <t>품명</t>
    <phoneticPr fontId="1" type="noConversion"/>
  </si>
  <si>
    <t>지불조건</t>
    <phoneticPr fontId="1" type="noConversion"/>
  </si>
  <si>
    <t>지불완료</t>
    <phoneticPr fontId="1" type="noConversion"/>
  </si>
  <si>
    <t>공급완료</t>
    <phoneticPr fontId="1" type="noConversion"/>
  </si>
  <si>
    <t>견적번호</t>
    <phoneticPr fontId="1" type="noConversion"/>
  </si>
  <si>
    <t>*. 대금 및 공급 지급완료가 되면 자료가 Update되고 그 다음차 수정시 제외한다.</t>
    <phoneticPr fontId="1" type="noConversion"/>
  </si>
  <si>
    <t>Item no.</t>
    <phoneticPr fontId="1" type="noConversion"/>
  </si>
  <si>
    <t>고객사</t>
    <phoneticPr fontId="1" type="noConversion"/>
  </si>
  <si>
    <t>수량</t>
    <phoneticPr fontId="1" type="noConversion"/>
  </si>
  <si>
    <t>㈜태신전자</t>
    <phoneticPr fontId="1" type="noConversion"/>
  </si>
  <si>
    <t>제BEUP KNK24-1015-1호</t>
    <phoneticPr fontId="1" type="noConversion"/>
  </si>
  <si>
    <t>발주 후 4주내</t>
    <phoneticPr fontId="1" type="noConversion"/>
  </si>
  <si>
    <t>납품 후 100% 지불</t>
    <phoneticPr fontId="1" type="noConversion"/>
  </si>
  <si>
    <t>TS241008-10</t>
    <phoneticPr fontId="1" type="noConversion"/>
  </si>
  <si>
    <t>HUB</t>
    <phoneticPr fontId="1" type="noConversion"/>
  </si>
  <si>
    <t>TCIU</t>
    <phoneticPr fontId="1" type="noConversion"/>
  </si>
  <si>
    <t>MTX</t>
    <phoneticPr fontId="1" type="noConversion"/>
  </si>
  <si>
    <t>MOP</t>
    <phoneticPr fontId="1" type="noConversion"/>
  </si>
  <si>
    <t>MOP-SUB</t>
    <phoneticPr fontId="1" type="noConversion"/>
  </si>
  <si>
    <t>VOIP MODULE</t>
    <phoneticPr fontId="1" type="noConversion"/>
  </si>
  <si>
    <t>계약 서명확인</t>
    <phoneticPr fontId="1" type="noConversion"/>
  </si>
  <si>
    <t>파츠맨</t>
    <phoneticPr fontId="1" type="noConversion"/>
  </si>
  <si>
    <t>제BEUP KNK24-1105-1호</t>
    <phoneticPr fontId="1" type="noConversion"/>
  </si>
  <si>
    <t>발주 후 10일</t>
    <phoneticPr fontId="1" type="noConversion"/>
  </si>
  <si>
    <t>물품납기시</t>
    <phoneticPr fontId="1" type="noConversion"/>
  </si>
  <si>
    <t>제BEUP KNK24-1101-2호</t>
    <phoneticPr fontId="1" type="noConversion"/>
  </si>
  <si>
    <t>스큐류외</t>
    <phoneticPr fontId="1" type="noConversion"/>
  </si>
  <si>
    <t>제BEUP KNK24-1101-1호</t>
    <phoneticPr fontId="1" type="noConversion"/>
  </si>
  <si>
    <t>PCB외</t>
    <phoneticPr fontId="1" type="noConversion"/>
  </si>
  <si>
    <t>발주 후 15일</t>
    <phoneticPr fontId="1" type="noConversion"/>
  </si>
  <si>
    <r>
      <t xml:space="preserve">계약일자
</t>
    </r>
    <r>
      <rPr>
        <sz val="10"/>
        <color rgb="FFFF0000"/>
        <rFont val="맑은 고딕"/>
        <family val="3"/>
        <charset val="129"/>
        <scheme val="minor"/>
      </rPr>
      <t>(서명일 기준)</t>
    </r>
    <phoneticPr fontId="1" type="noConversion"/>
  </si>
  <si>
    <t>제BEUP JDS24-1023-1호</t>
    <phoneticPr fontId="1" type="noConversion"/>
  </si>
  <si>
    <t>HK향 PCB코팅 10종</t>
    <phoneticPr fontId="1" type="noConversion"/>
  </si>
  <si>
    <t>제작완료시 지급</t>
    <phoneticPr fontId="1" type="noConversion"/>
  </si>
  <si>
    <t>제BEUP KNK24-1029-1호</t>
    <phoneticPr fontId="1" type="noConversion"/>
  </si>
  <si>
    <t>SSD PCB제작</t>
    <phoneticPr fontId="1" type="noConversion"/>
  </si>
  <si>
    <t>제BEUP KNK24-1008-1호</t>
    <phoneticPr fontId="1" type="noConversion"/>
  </si>
  <si>
    <t>CTM부품자재</t>
    <phoneticPr fontId="1" type="noConversion"/>
  </si>
  <si>
    <t>캐드존</t>
    <phoneticPr fontId="1" type="noConversion"/>
  </si>
  <si>
    <t>제BEUP KNK24-1024-1호</t>
    <phoneticPr fontId="1" type="noConversion"/>
  </si>
  <si>
    <t>PCB아트웍/조립비</t>
    <phoneticPr fontId="1" type="noConversion"/>
  </si>
  <si>
    <t>확인불가</t>
    <phoneticPr fontId="1" type="noConversion"/>
  </si>
  <si>
    <t>㈜일성</t>
    <phoneticPr fontId="1" type="noConversion"/>
  </si>
  <si>
    <t>제BEUP KNK24-1021-1호</t>
    <phoneticPr fontId="1" type="noConversion"/>
  </si>
  <si>
    <t>5종 PCB제작</t>
    <phoneticPr fontId="1" type="noConversion"/>
  </si>
  <si>
    <t>발주 후 20주내</t>
    <phoneticPr fontId="1" type="noConversion"/>
  </si>
  <si>
    <t>납품 후 100% 현금지급</t>
    <phoneticPr fontId="1" type="noConversion"/>
  </si>
  <si>
    <t>VAT 별도</t>
    <phoneticPr fontId="1" type="noConversion"/>
  </si>
  <si>
    <t>제BEUP JDS24-1018-2호</t>
    <phoneticPr fontId="1" type="noConversion"/>
  </si>
  <si>
    <t>이더넷스위치</t>
    <phoneticPr fontId="1" type="noConversion"/>
  </si>
  <si>
    <t>납품 후 지급</t>
    <phoneticPr fontId="1" type="noConversion"/>
  </si>
  <si>
    <t>제BEUP JDS24-1018-1호</t>
    <phoneticPr fontId="1" type="noConversion"/>
  </si>
  <si>
    <t>PAB</t>
    <phoneticPr fontId="1" type="noConversion"/>
  </si>
  <si>
    <t>발주 후 2주내</t>
    <phoneticPr fontId="1" type="noConversion"/>
  </si>
  <si>
    <t>아이닉스</t>
    <phoneticPr fontId="1" type="noConversion"/>
  </si>
  <si>
    <t>제BEUP JDS24-1016-1호</t>
    <phoneticPr fontId="1" type="noConversion"/>
  </si>
  <si>
    <t>M12 D-CD FEMALE 4PIN CONNECTOR</t>
    <phoneticPr fontId="1" type="noConversion"/>
  </si>
  <si>
    <t>발주 후 6주내</t>
    <phoneticPr fontId="1" type="noConversion"/>
  </si>
  <si>
    <t>제BEUP JDS24-0522-1호</t>
    <phoneticPr fontId="1" type="noConversion"/>
  </si>
  <si>
    <t>11종 PCB제작</t>
    <phoneticPr fontId="1" type="noConversion"/>
  </si>
  <si>
    <t>GIC CSP24-0913-1호</t>
    <phoneticPr fontId="1" type="noConversion"/>
  </si>
  <si>
    <t>㈜지아이씨</t>
    <phoneticPr fontId="1" type="noConversion"/>
  </si>
  <si>
    <t>241104 지급(입금) / 매입증빙 확인</t>
    <phoneticPr fontId="1" type="noConversion"/>
  </si>
  <si>
    <t>㈜일렉콤티에스</t>
    <phoneticPr fontId="1" type="noConversion"/>
  </si>
  <si>
    <t>제BEUP KNK24-0927-1호</t>
    <phoneticPr fontId="1" type="noConversion"/>
  </si>
  <si>
    <t>CL10B104KB8NNNC외</t>
    <phoneticPr fontId="1" type="noConversion"/>
  </si>
  <si>
    <t>241017 지급(입금) / 매입증빙 확인</t>
    <phoneticPr fontId="1" type="noConversion"/>
  </si>
  <si>
    <t>제BEUP KNK24-0923-2호</t>
    <phoneticPr fontId="1" type="noConversion"/>
  </si>
  <si>
    <t>그리스 외</t>
    <phoneticPr fontId="1" type="noConversion"/>
  </si>
  <si>
    <t>241004 지급(입금) / 매입증빙 확인</t>
    <phoneticPr fontId="1" type="noConversion"/>
  </si>
  <si>
    <t>제BEUP KNK24-0923-1호</t>
    <phoneticPr fontId="1" type="noConversion"/>
  </si>
  <si>
    <t>제BEUP KNK24-0924-1호</t>
    <phoneticPr fontId="1" type="noConversion"/>
  </si>
  <si>
    <t>HK향 PCB코팅 1종</t>
    <phoneticPr fontId="1" type="noConversion"/>
  </si>
  <si>
    <t>아이리코(I RICCO)</t>
    <phoneticPr fontId="1" type="noConversion"/>
  </si>
  <si>
    <t>GIC CSP24-0923-1호</t>
    <phoneticPr fontId="1" type="noConversion"/>
  </si>
  <si>
    <t>입고 확인</t>
    <phoneticPr fontId="1" type="noConversion"/>
  </si>
  <si>
    <t>GIC CSP24-0524-1호</t>
    <phoneticPr fontId="1" type="noConversion"/>
  </si>
  <si>
    <t>제BEUP JDS24-1007-1호</t>
    <phoneticPr fontId="1" type="noConversion"/>
  </si>
  <si>
    <t>GIC CSP24-0524-2호</t>
    <phoneticPr fontId="1" type="noConversion"/>
  </si>
  <si>
    <t>GIC CSP24-0409-1호</t>
    <phoneticPr fontId="1" type="noConversion"/>
  </si>
  <si>
    <t>㈜유에스케이</t>
    <phoneticPr fontId="1" type="noConversion"/>
  </si>
  <si>
    <t>제BEUP JDS24-1007-3호</t>
    <phoneticPr fontId="1" type="noConversion"/>
  </si>
  <si>
    <t>홍콩예비품 6종 Front_Panel</t>
    <phoneticPr fontId="1" type="noConversion"/>
  </si>
  <si>
    <t>제BEUP KNK24-0913-1호</t>
    <phoneticPr fontId="1" type="noConversion"/>
  </si>
  <si>
    <t>MotherBoard IMB-161-L</t>
    <phoneticPr fontId="1" type="noConversion"/>
  </si>
  <si>
    <t>INQUT2409-009</t>
    <phoneticPr fontId="1" type="noConversion"/>
  </si>
  <si>
    <t>DWE-2024-JUN-11-001</t>
    <phoneticPr fontId="1" type="noConversion"/>
  </si>
  <si>
    <t>제BEUP_24-0909-1호</t>
    <phoneticPr fontId="1" type="noConversion"/>
  </si>
  <si>
    <t>홍콩예비품 8종 명판</t>
    <phoneticPr fontId="1" type="noConversion"/>
  </si>
  <si>
    <t>이지파워</t>
    <phoneticPr fontId="1" type="noConversion"/>
  </si>
  <si>
    <t>EGPO-1301-AG</t>
    <phoneticPr fontId="1" type="noConversion"/>
  </si>
  <si>
    <t>바이슨</t>
    <phoneticPr fontId="1" type="noConversion"/>
  </si>
  <si>
    <t>제BEUP CSP24-0914-1호</t>
    <phoneticPr fontId="1" type="noConversion"/>
  </si>
  <si>
    <t>계단 리프트 ASS'Y 제작 및 설치</t>
    <phoneticPr fontId="1" type="noConversion"/>
  </si>
  <si>
    <t>유니퀘스트㈜</t>
    <phoneticPr fontId="1" type="noConversion"/>
  </si>
  <si>
    <t>제BEUP JDS24-0722-1호</t>
    <phoneticPr fontId="1" type="noConversion"/>
  </si>
  <si>
    <t>SM619GECDFSTCX59C</t>
    <phoneticPr fontId="1" type="noConversion"/>
  </si>
  <si>
    <t>240910 지급(입금) / 매입증빙 확인</t>
    <phoneticPr fontId="1" type="noConversion"/>
  </si>
  <si>
    <t>INQUT2408-021</t>
    <phoneticPr fontId="1" type="noConversion"/>
  </si>
  <si>
    <t>제BEUP JDS24-0821-1호</t>
    <phoneticPr fontId="1" type="noConversion"/>
  </si>
  <si>
    <t>Coding Pliers</t>
    <phoneticPr fontId="1" type="noConversion"/>
  </si>
  <si>
    <t>제BEUP JDS24-0828-1호</t>
    <phoneticPr fontId="1" type="noConversion"/>
  </si>
  <si>
    <t>견24-05-22</t>
    <phoneticPr fontId="1" type="noConversion"/>
  </si>
  <si>
    <t>제BEUP JDS24-0828-2호</t>
    <phoneticPr fontId="1" type="noConversion"/>
  </si>
  <si>
    <t>스큐류 2.6x12외</t>
    <phoneticPr fontId="1" type="noConversion"/>
  </si>
  <si>
    <t>납기(계약서)</t>
    <phoneticPr fontId="1" type="noConversion"/>
  </si>
  <si>
    <t>계약 서명 여부</t>
    <phoneticPr fontId="1" type="noConversion"/>
  </si>
  <si>
    <t>입고 여부</t>
    <phoneticPr fontId="1" type="noConversion"/>
  </si>
  <si>
    <t>전자세금계산서 수취 여부</t>
    <phoneticPr fontId="1" type="noConversion"/>
  </si>
  <si>
    <t>입금 여부</t>
    <phoneticPr fontId="1" type="noConversion"/>
  </si>
  <si>
    <t>비고</t>
    <phoneticPr fontId="1" type="noConversion"/>
  </si>
  <si>
    <t>㈜세일엔지니어링</t>
    <phoneticPr fontId="1" type="noConversion"/>
  </si>
  <si>
    <t>2401106-02</t>
    <phoneticPr fontId="1" type="noConversion"/>
  </si>
  <si>
    <t>제BEUP JDS24-1106-1호</t>
    <phoneticPr fontId="1" type="noConversion"/>
  </si>
  <si>
    <t>㈜엔에스티정보통신</t>
    <phoneticPr fontId="1" type="noConversion"/>
  </si>
  <si>
    <t xml:space="preserve">입고 확인 </t>
    <phoneticPr fontId="1" type="noConversion"/>
  </si>
  <si>
    <t>1_BEUPSYS\5-1_업체구매요청서\1_부품구매요청서및계약서\파츠맨\GIC CSP24-0913-1호 NVRCTMMSR 3종생산\MOPLCD</t>
    <phoneticPr fontId="1" type="noConversion"/>
  </si>
  <si>
    <t>제BEUP KNK24-0615-1호</t>
    <phoneticPr fontId="1" type="noConversion"/>
  </si>
  <si>
    <t>NVR/CTM HW개발계약</t>
    <phoneticPr fontId="1" type="noConversion"/>
  </si>
  <si>
    <t>드림온테크 유한회사</t>
    <phoneticPr fontId="1" type="noConversion"/>
  </si>
  <si>
    <t>241129 지급(입금) / 매입증빙 확인</t>
    <phoneticPr fontId="1" type="noConversion"/>
  </si>
  <si>
    <t>TS241021-10</t>
    <phoneticPr fontId="1" type="noConversion"/>
  </si>
  <si>
    <t>1_BEUPSYS\5-1_업체구매요청서\1_부품구매요청서및계약서\(주)태신전자\GIC CSP24-0913-1호 NVRCTMMSR 3종생산\2_SSD</t>
    <phoneticPr fontId="1" type="noConversion"/>
  </si>
  <si>
    <t>GIC CSP24-0923-1호 추가PCB공급건</t>
    <phoneticPr fontId="1" type="noConversion"/>
  </si>
  <si>
    <t>1_BEUPSYS\5-1_업체구매요청서\1_부품구매요청서및계약서\파츠맨\GIC CSP24-0923-1호 추가PCB공급건\MOP추가생산</t>
    <phoneticPr fontId="1" type="noConversion"/>
  </si>
  <si>
    <t>제BEUP KNK24-1102-2호</t>
    <phoneticPr fontId="1" type="noConversion"/>
  </si>
  <si>
    <t>MOP추가부품</t>
    <phoneticPr fontId="1" type="noConversion"/>
  </si>
  <si>
    <t>PQ-24103101</t>
    <phoneticPr fontId="1" type="noConversion"/>
  </si>
  <si>
    <t>제BEUP KNK24-1102-1호</t>
    <phoneticPr fontId="1" type="noConversion"/>
  </si>
  <si>
    <t>VOIP모듈추가구매</t>
    <phoneticPr fontId="1" type="noConversion"/>
  </si>
  <si>
    <t>1_BEUPSYS\5-1_업체구매요청서\1_부품구매요청서및계약서\파츠맨\GIC CSP24-0923-1호 추가PCB공급건\VOIPMODULE추가생산</t>
    <phoneticPr fontId="1" type="noConversion"/>
  </si>
  <si>
    <t>PQ-24112501</t>
    <phoneticPr fontId="1" type="noConversion"/>
  </si>
  <si>
    <t>제BEUP KNK24-1125-1호</t>
    <phoneticPr fontId="1" type="noConversion"/>
  </si>
  <si>
    <t>11월부자재구매</t>
    <phoneticPr fontId="1" type="noConversion"/>
  </si>
  <si>
    <t>1_BEUPSYS\5-1_업체구매요청서\1_부품구매요청서및계약서\파츠맨\GIC CSP24-0923-1호 추가PCB공급건\11월자재비용</t>
    <phoneticPr fontId="1" type="noConversion"/>
  </si>
  <si>
    <t>PQ-24111201</t>
    <phoneticPr fontId="1" type="noConversion"/>
  </si>
  <si>
    <t>제BEUP KNK24-1112-1호</t>
    <phoneticPr fontId="1" type="noConversion"/>
  </si>
  <si>
    <t>PBX수리추가 부품</t>
    <phoneticPr fontId="1" type="noConversion"/>
  </si>
  <si>
    <t>1_BEUPSYS\5-1_업체구매요청서\1_부품구매요청서및계약서\파츠맨\GIC CSP24-0913-1호 NVRCTMMSR 3종생산\PBX추가자재(수리용)</t>
    <phoneticPr fontId="1" type="noConversion"/>
  </si>
  <si>
    <t>PQ-24111202</t>
    <phoneticPr fontId="1" type="noConversion"/>
  </si>
  <si>
    <t>제BEUP KNK24-1112-2호</t>
    <phoneticPr fontId="1" type="noConversion"/>
  </si>
  <si>
    <t>NVR/CTM 추가자재</t>
    <phoneticPr fontId="1" type="noConversion"/>
  </si>
  <si>
    <t>1_BEUPSYS\5-1_업체구매요청서\1_부품구매요청서및계약서\파츠맨\GIC CSP24-0913-1호 NVRCTMMSR 3종생산\NVRCTM추가자재</t>
    <phoneticPr fontId="1" type="noConversion"/>
  </si>
  <si>
    <t>MOPLCD 자재</t>
    <phoneticPr fontId="1" type="noConversion"/>
  </si>
  <si>
    <t>241202 전자세금계산서</t>
    <phoneticPr fontId="1" type="noConversion"/>
  </si>
  <si>
    <t>제BEUP KNK24-0410-1호</t>
    <phoneticPr fontId="1" type="noConversion"/>
  </si>
  <si>
    <t>이동진</t>
    <phoneticPr fontId="1" type="noConversion"/>
  </si>
  <si>
    <t>구매등완료후</t>
    <phoneticPr fontId="1" type="noConversion"/>
  </si>
  <si>
    <t>GIC CSP24-0524-2호_PSR-Hub외9종생산</t>
    <phoneticPr fontId="1" type="noConversion"/>
  </si>
  <si>
    <t>1_BEUPSYS\5-1_업체구매요청서\1_부품구매요청서및계약서\프리렌서계약_이동진\GIC CSP24-0524-2호_PSR-Hub외9종생산</t>
    <phoneticPr fontId="1" type="noConversion"/>
  </si>
  <si>
    <t>박진호</t>
    <phoneticPr fontId="1" type="noConversion"/>
  </si>
  <si>
    <t>제BEUP KNK24-1211-1호</t>
    <phoneticPr fontId="1" type="noConversion"/>
  </si>
  <si>
    <t>1_BEUPSYS\5-1_업체구매요청서\1_부품구매요청서및계약서\프리렌서계약_박진호\DWE-2024-JUN-11-001_7호선3차분TCMS개조</t>
    <phoneticPr fontId="1" type="noConversion"/>
  </si>
  <si>
    <t>DWE-2024-JUN-11-001_7호선3차분TCMS개조</t>
    <phoneticPr fontId="1" type="noConversion"/>
  </si>
  <si>
    <t xml:space="preserve">㈜다원시스 </t>
    <phoneticPr fontId="1" type="noConversion"/>
  </si>
  <si>
    <t>하드웨어 구매 및 테스트절차정리</t>
    <phoneticPr fontId="1" type="noConversion"/>
  </si>
  <si>
    <t>CSC/운행기록장치 소프트웨어 개발</t>
    <phoneticPr fontId="1" type="noConversion"/>
  </si>
  <si>
    <t>견24-10-15</t>
    <phoneticPr fontId="1" type="noConversion"/>
  </si>
  <si>
    <t>업무 완료</t>
    <phoneticPr fontId="1" type="noConversion"/>
  </si>
  <si>
    <t>GIC CSP24-0913-1호 NVRCTMMSR 3종생산</t>
    <phoneticPr fontId="1" type="noConversion"/>
  </si>
  <si>
    <t>1_BEUPSYS\5-1_업체구매요청서\1_부품구매요청서및계약서\일성\GIC CSP24-0913-1호 NVRCTMMSR 3종생산</t>
    <phoneticPr fontId="1" type="noConversion"/>
  </si>
  <si>
    <t>PCB코팅 및 케이블 작업</t>
    <phoneticPr fontId="1" type="noConversion"/>
  </si>
  <si>
    <t>241213 전자세금계산서</t>
    <phoneticPr fontId="1" type="noConversion"/>
  </si>
  <si>
    <t>1_BEUPSYS/5-1_업체구매요청서/1_부품구매요청서및계약서/아이리코/240524_GIC CSP24-0524-1호_MOP외2종생산</t>
    <phoneticPr fontId="1" type="noConversion"/>
  </si>
  <si>
    <t>제BEUP JDS24-1212-1호</t>
    <phoneticPr fontId="1" type="noConversion"/>
  </si>
  <si>
    <t>제BEUP JDS24-1007-2호</t>
  </si>
  <si>
    <t>홍콩예비품 파워 3종</t>
    <phoneticPr fontId="1" type="noConversion"/>
  </si>
  <si>
    <t>GIC CSP24-0524-2호</t>
  </si>
  <si>
    <t>1_BEUPSYS/5-1_업체구매요청서/1_부품구매요청서및계약서/이지파워/GIC CSP24-0524-2호_PSR-Hub외9종생산/제BEUP JDS24-1007-2호</t>
    <phoneticPr fontId="1" type="noConversion"/>
  </si>
  <si>
    <t>241216 지급(입금) / 매입증빙 확인</t>
    <phoneticPr fontId="1" type="noConversion"/>
  </si>
  <si>
    <t>241126 전자세금계산서</t>
    <phoneticPr fontId="1" type="noConversion"/>
  </si>
  <si>
    <t>241106 전자세금계산서</t>
    <phoneticPr fontId="1" type="noConversion"/>
  </si>
  <si>
    <t>241108 지급(입금) / 매입증빙 확인</t>
    <phoneticPr fontId="1" type="noConversion"/>
  </si>
  <si>
    <t>1_BEUPSYS\5-1_업체구매요청서\1_부품구매요청서및계약서\아이리코(I RICCO)\240409_GIC CSP24-0409-1호_PAB외4종생산\241018_BEUP JDS24-1018-1_PAB 배선작업</t>
    <phoneticPr fontId="1" type="noConversion"/>
  </si>
  <si>
    <t>1_BEUPSYS\5-1_업체구매요청서\1_부품구매요청서및계약서\아이리코(I RICCO)\241016_GIC CSP24-0524-2호_PSR-Hub외9종생산\241004_BEUP JDS24-1007-1호_M12컨넥터 배선작업</t>
    <phoneticPr fontId="1" type="noConversion"/>
  </si>
  <si>
    <t>1_BEUPSYS\5-1_업체구매요청서\1_부품구매요청서및계약서\아이리코(I RICCO)\241016_GIC CSP24-0524-2호_PSR-Hub외9종생산\241023_BEUP JDS24-1023-1호_M12컨넥터 배선작업</t>
    <phoneticPr fontId="1" type="noConversion"/>
  </si>
  <si>
    <t>1_BEUPSYS\5-1_업체구매요청서\1_부품구매요청서및계약서\(주)일성\GIC CSP24-0524-2호_PSR-Hub외9종생산</t>
    <phoneticPr fontId="1" type="noConversion"/>
  </si>
  <si>
    <t>INQUT2410-010</t>
  </si>
  <si>
    <t>GIC CSP24-0923-1호</t>
  </si>
  <si>
    <t>1_BEUPSYS/5-1_업체구매요청서/1_부품구매요청서및계약서/아이닉스/GIC CSP24-0923-1호_MSR PWR Board for MSR외 10종</t>
  </si>
  <si>
    <t>241130 전자세금계산서</t>
    <phoneticPr fontId="1" type="noConversion"/>
  </si>
  <si>
    <t>UKS-2K2410071-A</t>
  </si>
  <si>
    <t>INQUT2412-013</t>
  </si>
  <si>
    <t>제BEUP JDS24-1216-1호</t>
    <phoneticPr fontId="1" type="noConversion"/>
  </si>
  <si>
    <t>Wire,0.5 mm²,328ft</t>
    <phoneticPr fontId="1" type="noConversion"/>
  </si>
  <si>
    <t>GIC CSP24-0524-1호</t>
  </si>
  <si>
    <t>1_BEUPSYS/5-1_업체구매요청서/1_부품구매요청서및계약서/아이닉스/GIC CSP24-0524-1호_MOP외2종생산</t>
  </si>
  <si>
    <t>241113 전자세금계산서</t>
    <phoneticPr fontId="1" type="noConversion"/>
  </si>
  <si>
    <t>241030 전자세금계산서</t>
    <phoneticPr fontId="1" type="noConversion"/>
  </si>
  <si>
    <t>1_BEUPSYS\5-1_업체구매요청서\1_부품구매요청서및계약서\파츠맨\GIC CSP24-0923-1호 추가PCB공급건\10월자재진행</t>
    <phoneticPr fontId="1" type="noConversion"/>
  </si>
  <si>
    <t>1_BEUPSYS\5-1_업체구매요청서\1_부품구매요청서및계약서\㈜세일엔지니어링\241104_GIC CSP24-0524-1호_MOP외2종</t>
    <phoneticPr fontId="1" type="noConversion"/>
  </si>
  <si>
    <t>241031 전자세금계산서 / 10월 3건 통합</t>
    <phoneticPr fontId="1" type="noConversion"/>
  </si>
  <si>
    <t>1_BEUPSYS\5-1_업체구매요청서\1_부품구매요청서및계약서\파츠맨\GIC CSP24-0913-1호 NVRCTMMSR 3종생산\CTM</t>
    <phoneticPr fontId="1" type="noConversion"/>
  </si>
  <si>
    <t>1_BEUPSYS\5-1_업체구매요청서\1_부품구매요청서및계약서\㈜태신전자\GIC CSP24-0913-1호 NVRCTMMSR 3종생산\1_MTX_TCIU_HUB_MOP</t>
    <phoneticPr fontId="1" type="noConversion"/>
  </si>
  <si>
    <t>241029 전자세금계산서</t>
    <phoneticPr fontId="1" type="noConversion"/>
  </si>
  <si>
    <t>1_BEUPSYS\5-1_업체구매요청서\1_부품구매요청서및계약서\㈜엔에스티정보통신\GIC CSP24-0923-1호_MSR PWR Board for MSR외 10종\제BEUP JDS24-1018-2호</t>
    <phoneticPr fontId="1" type="noConversion"/>
  </si>
  <si>
    <t>241022 전자세금계산서</t>
    <phoneticPr fontId="1" type="noConversion"/>
  </si>
  <si>
    <t>241113 지급(입금) / 매입증빙 확인</t>
    <phoneticPr fontId="1" type="noConversion"/>
  </si>
  <si>
    <t>1_BEUPSYS\5-1_업체구매요청서\1_부품구매요청서및계약서\㈜유에스케이\GIC CSP24-0524-2호_PSR-Hub외9종생산\6종_Front Panel</t>
    <phoneticPr fontId="1" type="noConversion"/>
  </si>
  <si>
    <r>
      <t xml:space="preserve">241021 전자세금계산서 / </t>
    </r>
    <r>
      <rPr>
        <sz val="11"/>
        <color rgb="FFFF0000"/>
        <rFont val="맑은 고딕"/>
        <family val="3"/>
        <charset val="129"/>
        <scheme val="minor"/>
      </rPr>
      <t>금액 차이(\20,000) 확인 필요</t>
    </r>
    <phoneticPr fontId="1" type="noConversion"/>
  </si>
  <si>
    <t>1_BEUPSYS\5-1_업체구매요청서\1_부품구매요청서및계약서\주식회사 일렉콤티에스\GIC CSP24-0913-1호 NVRCTMMSR 3종생산\MSR_SC</t>
    <phoneticPr fontId="1" type="noConversion"/>
  </si>
  <si>
    <t>241014 전자세금계산서</t>
    <phoneticPr fontId="1" type="noConversion"/>
  </si>
  <si>
    <t>1_BEUPSYS\5-1_업체구매요청서\1_부품구매요청서및계약서\드림온테크 유한회사\240524_GIC CSP24-0524-1호_MOP외2종생산</t>
    <phoneticPr fontId="1" type="noConversion"/>
  </si>
  <si>
    <t>1_BEUPSYS\5-1_업체구매요청서\1_부품구매요청서및계약서\㈜메카전자\GIC CSP24-0913-1호 NVRCTMMSR 3종생산</t>
    <phoneticPr fontId="1" type="noConversion"/>
  </si>
  <si>
    <t>1_BEUPSYS\5-1_업체구매요청서\1_부품구매요청서및계약서\캐드존\240524_GIC CSP24-0524-1호_MOP외2종생산</t>
    <phoneticPr fontId="1" type="noConversion"/>
  </si>
  <si>
    <t>241105 전자세금계산서</t>
    <phoneticPr fontId="1" type="noConversion"/>
  </si>
  <si>
    <t>00994</t>
    <phoneticPr fontId="1" type="noConversion"/>
  </si>
  <si>
    <t>1_BEUPSYS\5-1_업체구매요청서\1_부품구매요청서및계약서\바이슨</t>
    <phoneticPr fontId="1" type="noConversion"/>
  </si>
  <si>
    <t>확인불가</t>
  </si>
  <si>
    <t>제BEUP JDS24-1219-1호</t>
    <phoneticPr fontId="1" type="noConversion"/>
  </si>
  <si>
    <t>PCB 코팅 및 접지케이블</t>
    <phoneticPr fontId="1" type="noConversion"/>
  </si>
  <si>
    <t>제BEUP JDS24-1218-2호</t>
    <phoneticPr fontId="1" type="noConversion"/>
  </si>
  <si>
    <t>EPDM SEALING FOAM</t>
    <phoneticPr fontId="1" type="noConversion"/>
  </si>
  <si>
    <t>ES20241217-06</t>
  </si>
  <si>
    <t>품가스켓</t>
    <phoneticPr fontId="1" type="noConversion"/>
  </si>
  <si>
    <t>사업소득세 3.3% 공제</t>
    <phoneticPr fontId="1" type="noConversion"/>
  </si>
  <si>
    <t>납품일자 /
업무종료일자(프리랜서)</t>
    <phoneticPr fontId="1" type="noConversion"/>
  </si>
  <si>
    <t>업무 착수</t>
    <phoneticPr fontId="1" type="noConversion"/>
  </si>
  <si>
    <t>예상납기일 /
업무종료일자(프리랜서)</t>
    <phoneticPr fontId="1" type="noConversion"/>
  </si>
  <si>
    <t>240930 전자세금계산서</t>
    <phoneticPr fontId="1" type="noConversion"/>
  </si>
  <si>
    <t>1_BEUPSYS\5-1_업체구매요청서\1_부품구매요청서및계약서\파츠맨\GIC CSP24-0923-1호 추가PCB공급건\9월자재비용</t>
    <phoneticPr fontId="1" type="noConversion"/>
  </si>
  <si>
    <t>1_BEUPSYS\5-1_업체구매요청서\1_부품구매요청서및계약서\파츠맨\GIC CSP24-0913-1호 NVRCTMMSR 3종생산\NVR</t>
    <phoneticPr fontId="1" type="noConversion"/>
  </si>
  <si>
    <t>240927 전자세금계산서</t>
    <phoneticPr fontId="1" type="noConversion"/>
  </si>
  <si>
    <t>1_BEUPSYS\5-1_업체구매요청서\1_부품구매요청서및계약서\아이닉스\DWE-2024-JUN-11-001_7호선3차분TCMS개조_CSC수리부품구매</t>
    <phoneticPr fontId="1" type="noConversion"/>
  </si>
  <si>
    <t>240921 전자세금계산서</t>
    <phoneticPr fontId="1" type="noConversion"/>
  </si>
  <si>
    <t>1_BEUPSYS\5-1_업체구매요청서\1_부품구매요청서및계약서\이지파워\GIC CSP24-0524-2호_PSR-Hub외9종생산\제BEUP_24-0909-1호</t>
    <phoneticPr fontId="1" type="noConversion"/>
  </si>
  <si>
    <t>240904 전자세금계산서</t>
    <phoneticPr fontId="1" type="noConversion"/>
  </si>
  <si>
    <t>1_BEUPSYS\5-1_업체구매요청서\1_부품구매요청서및계약서\유니퀘스트㈜\240524_GIC CSP24-0524-1호_MOP외2종생산</t>
    <phoneticPr fontId="1" type="noConversion"/>
  </si>
  <si>
    <r>
      <t>입금 후 1주일 내 물품발송
환율은 납품 시 고시가로 한다(</t>
    </r>
    <r>
      <rPr>
        <sz val="11"/>
        <color rgb="FF0070C0"/>
        <rFont val="맑은 고딕"/>
        <family val="3"/>
        <charset val="129"/>
        <scheme val="minor"/>
      </rPr>
      <t>\6,637,950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</si>
  <si>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t>1_BEUPSYS\5-1_업체구매요청서\1_부품구매요청서및계약서\아이닉스\GIC CSP24-0524-2호_PSR-Hub외9종생산</t>
    <phoneticPr fontId="1" type="noConversion"/>
  </si>
  <si>
    <t>240831 전자세금계산서</t>
    <phoneticPr fontId="1" type="noConversion"/>
  </si>
  <si>
    <t>1_BEUPSYS\5-1_업체구매요청서\1_부품구매요청서및계약서\아이리코(I RICCO)\241016_GIC CSP24-0524-2호_PSR-Hub외9종생산\Board 코팅</t>
    <phoneticPr fontId="1" type="noConversion"/>
  </si>
  <si>
    <t>240828 전자세금계산서</t>
    <phoneticPr fontId="1" type="noConversion"/>
  </si>
  <si>
    <t>1_BEUPSYS\5-1_업체구매요청서\1_부품구매요청서및계약서\파츠맨\GIC CSP24-0524-2호_PSR-Hub외9종생산\8월자재진행</t>
    <phoneticPr fontId="1" type="noConversion"/>
  </si>
  <si>
    <t>241220 지급(입금) / 매입증빙 확인</t>
    <phoneticPr fontId="1" type="noConversion"/>
  </si>
  <si>
    <t>241218 전자세금계산서</t>
    <phoneticPr fontId="1" type="noConversion"/>
  </si>
  <si>
    <t>㈜화인테크폴리머</t>
    <phoneticPr fontId="1" type="noConversion"/>
  </si>
  <si>
    <t>㈜이송이엠씨</t>
    <phoneticPr fontId="1" type="noConversion"/>
  </si>
  <si>
    <t>1_BEUPSYS\5-1_업체구매요청서\1_부품구매요청서및계약서\㈜이송이엠씨\GIC CSP24-0524-1호_MOP외2종생산</t>
    <phoneticPr fontId="1" type="noConversion"/>
  </si>
  <si>
    <t>1_BEUPSYS\5-1_업체구매요청서\1_부품구매요청서및계약서\㈜화인테크폴리머\GIC CSP24-0524-1호_MOP외2종생산</t>
    <phoneticPr fontId="1" type="noConversion"/>
  </si>
  <si>
    <t>024002</t>
    <phoneticPr fontId="1" type="noConversion"/>
  </si>
  <si>
    <t>1_BEUPSYS\5-1_업체구매요청서\1_부품구매요청서및계약서\아이리코(I RICCO)\240524_GIC CSP24-0524-1호_MOP외2종생산\제BEUP JDS24-1219-1호</t>
    <phoneticPr fontId="1" type="noConversion"/>
  </si>
  <si>
    <t>241112 전자세금계산서</t>
    <phoneticPr fontId="1" type="noConversion"/>
  </si>
  <si>
    <t>아이리코(I RICCO)</t>
  </si>
  <si>
    <t>㈜태신전자</t>
  </si>
  <si>
    <t>파츠맨</t>
  </si>
  <si>
    <t>㈜메카전자</t>
  </si>
  <si>
    <t>TS241227-10</t>
  </si>
  <si>
    <t>PQ-24120301</t>
  </si>
  <si>
    <t>PQ-24122401</t>
  </si>
  <si>
    <t>PQ-24122403</t>
  </si>
  <si>
    <t>제BEUP JDS24-1227-1호</t>
  </si>
  <si>
    <t>제BEUP KNK24-1227-1호</t>
  </si>
  <si>
    <t>제BEUP KNK24-1203-1호</t>
  </si>
  <si>
    <t>제BEUP KNK24-1226-1호</t>
  </si>
  <si>
    <t>제BEUP KNK24-1226-2호</t>
  </si>
  <si>
    <t>제BEUP KNK24-1216-1호</t>
  </si>
  <si>
    <t>제BEUP KNK24-1212-1호</t>
  </si>
  <si>
    <t>제BEUP KNK24-1218-1호</t>
  </si>
  <si>
    <t>PCB코팅(MOP_MSR)</t>
  </si>
  <si>
    <t>HK-MOP-SUB-A1. PCB생산</t>
  </si>
  <si>
    <t>SSD부품비</t>
  </si>
  <si>
    <t>CTM부품자재(추가)</t>
  </si>
  <si>
    <t>12월부자재비용</t>
  </si>
  <si>
    <t xml:space="preserve">NVR보드생산 </t>
  </si>
  <si>
    <t>MOPLCD 보드생산</t>
  </si>
  <si>
    <t>㈜지아이씨</t>
  </si>
  <si>
    <t>GIC CSP24-0913-1호</t>
  </si>
  <si>
    <t>계약 서명</t>
  </si>
  <si>
    <t>VAT 별도</t>
  </si>
  <si>
    <t>1_BEUPSYS/5-1_업체구매요청서/1_부품구매요청서및계약서/아이리코(I RICCO)/240923_GIC CSP24-0923-1호_MSR PWR Board for MSR외 10종/제BEUP JDS24-1227-1호_홍콩보드코팅_아이리코</t>
  </si>
  <si>
    <t>1_BEUPSYS\5-1_업체구매요청서\1_부품구매요청서및계약서\㈜태신전자\GIC CSP24-0913-1호 NVRCTMMSR 3종생산\3_MOPSUB추가생산</t>
  </si>
  <si>
    <t>1_BEUPSYS\5-1_업체구매요청서\1_부품구매요청서및계약서\㈜메카전자\GIC CSP24-0913-1호 NVRCTMMSR 3종생산\MSR-SSD_조립생산</t>
  </si>
  <si>
    <t>1_BEUPSYS\5-1_업체구매요청서\1_부품구매요청서및계약서\㈜메카전자\GIC CSP24-0913-1호 NVRCTMMSR 3종생산\NVR생산</t>
  </si>
  <si>
    <t>1_BEUPSYS\5-1_업체구매요청서\1_부품구매요청서및계약서\㈜메카전자\GIC CSP24-0913-1호 NVRCTMMSR 3종생산\MOPLCD</t>
  </si>
  <si>
    <t>물품납기시</t>
  </si>
  <si>
    <t>1_BEUPSYS\5-1_업체구매요청서\1_부품구매요청서및계약서\파츠맨\GIC CSP24-0913-1호 NVRCTMMSR 3종생산\SSD-서명완료지급필요_1,575,350</t>
    <phoneticPr fontId="1" type="noConversion"/>
  </si>
  <si>
    <t>1_BEUPSYS\5-1_업체구매요청서\1_부품구매요청서및계약서\파츠맨\GIC CSP24-0913-1호 NVRCTMMSR 3종생산\12월부자재-서명완료지급필요_1304260</t>
    <phoneticPr fontId="1" type="noConversion"/>
  </si>
  <si>
    <t>241220 전자세금계산서</t>
    <phoneticPr fontId="1" type="noConversion"/>
  </si>
  <si>
    <t>241226 전자세금계산서</t>
    <phoneticPr fontId="1" type="noConversion"/>
  </si>
  <si>
    <t>241216 전자세금계산서</t>
    <phoneticPr fontId="1" type="noConversion"/>
  </si>
  <si>
    <t>241230 전자세금계산서</t>
    <phoneticPr fontId="1" type="noConversion"/>
  </si>
  <si>
    <t>SSD보드생산</t>
    <phoneticPr fontId="1" type="noConversion"/>
  </si>
  <si>
    <t>1_BEUPSYS\5-1_업체구매요청서\1_부품구매요청서및계약서\파츠맨\GIC CSP24-0913-1호 NVRCTMMSR 3종생산\c</t>
    <phoneticPr fontId="1" type="noConversion"/>
  </si>
  <si>
    <t>241231 지급(입금) / 매입증빙 확인</t>
    <phoneticPr fontId="1" type="noConversion"/>
  </si>
  <si>
    <t>공급금액(US$)</t>
    <phoneticPr fontId="1" type="noConversion"/>
  </si>
  <si>
    <t>공급금액(KRW)</t>
    <phoneticPr fontId="1" type="noConversion"/>
  </si>
  <si>
    <t>2차납품 5종 30% : ₩9,015,600(VAT별도)</t>
    <phoneticPr fontId="1" type="noConversion"/>
  </si>
  <si>
    <t>1차납품 6종 40% : ₩12,020,800(VAT별도)</t>
    <phoneticPr fontId="1" type="noConversion"/>
  </si>
  <si>
    <r>
      <rPr>
        <sz val="11"/>
        <rFont val="맑은 고딕"/>
        <family val="3"/>
        <charset val="129"/>
        <scheme val="minor"/>
      </rPr>
      <t xml:space="preserve">선금 30% : </t>
    </r>
    <r>
      <rPr>
        <sz val="11"/>
        <rFont val="맑은 고딕"/>
        <family val="3"/>
        <charset val="129"/>
      </rPr>
      <t>₩9,015,600(VAT별도)</t>
    </r>
    <phoneticPr fontId="1" type="noConversion"/>
  </si>
  <si>
    <t>(1차납품 6종) 2024-08-15</t>
    <phoneticPr fontId="1" type="noConversion"/>
  </si>
  <si>
    <t>(2차납품 5종) 2024-10-24</t>
    <phoneticPr fontId="1" type="noConversion"/>
  </si>
  <si>
    <t>(1차납품 6종) 240830 전자세금계산서</t>
    <phoneticPr fontId="1" type="noConversion"/>
  </si>
  <si>
    <t>(잔금-2차납품 5종) 241031 전자세금계산서</t>
    <phoneticPr fontId="1" type="noConversion"/>
  </si>
  <si>
    <t>(선금) 240528 지급(입금) 내역 확인</t>
    <phoneticPr fontId="1" type="noConversion"/>
  </si>
  <si>
    <t>(1차납품 6종) 240913 지급(입금) / 매입증빙 확인</t>
    <phoneticPr fontId="1" type="noConversion"/>
  </si>
  <si>
    <t>(잔금-2차납품 5종) 241108 지급(입금) / 매입증빙 확인</t>
    <phoneticPr fontId="1" type="noConversion"/>
  </si>
  <si>
    <t>1. 계약 시 선금 50%</t>
    <phoneticPr fontId="1" type="noConversion"/>
  </si>
  <si>
    <t>2. 설치 후 잔금 50%</t>
    <phoneticPr fontId="1" type="noConversion"/>
  </si>
  <si>
    <t>(잔금) 241016 전자세금계산서</t>
    <phoneticPr fontId="1" type="noConversion"/>
  </si>
  <si>
    <t>(선금) 240914 전자세금계산서</t>
    <phoneticPr fontId="1" type="noConversion"/>
  </si>
  <si>
    <t>(잔금) 241017 지급(입금) / 매입증빙 확인</t>
    <phoneticPr fontId="1" type="noConversion"/>
  </si>
  <si>
    <t>(선금) 240914 지급(입금) / 매입증빙 확인</t>
    <phoneticPr fontId="1" type="noConversion"/>
  </si>
  <si>
    <t>드림온테크 유한회사</t>
  </si>
  <si>
    <t>바이슨</t>
  </si>
  <si>
    <t>박진호</t>
  </si>
  <si>
    <t>아이닉스</t>
  </si>
  <si>
    <t>유니퀘스트㈜</t>
  </si>
  <si>
    <t>이동진</t>
  </si>
  <si>
    <t>이지파워</t>
  </si>
  <si>
    <t>㈜세일엔지니어링</t>
  </si>
  <si>
    <t>㈜엔에스티정보통신</t>
  </si>
  <si>
    <t>㈜유에스케이</t>
  </si>
  <si>
    <t>㈜이송이엠씨</t>
  </si>
  <si>
    <t>㈜일렉콤티에스</t>
  </si>
  <si>
    <t>㈜일성</t>
  </si>
  <si>
    <t>㈜화인테크폴리머</t>
  </si>
  <si>
    <t>캐드존</t>
  </si>
  <si>
    <t>총합계</t>
  </si>
  <si>
    <t>합계 : 공급금액(KRW)</t>
  </si>
  <si>
    <r>
      <t>잔금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</si>
  <si>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r>
      <t>초도금 50% : ₩3,000,000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</si>
  <si>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(초도금) 241220 지급(입금) / 매입증빙 확인</t>
    <phoneticPr fontId="1" type="noConversion"/>
  </si>
  <si>
    <t>1.지불 완료</t>
  </si>
  <si>
    <t>3.진행 중</t>
  </si>
  <si>
    <t>전자세금계산서 미수취 / 프리렌서계약</t>
    <phoneticPr fontId="1" type="noConversion"/>
  </si>
  <si>
    <t>진행상황</t>
  </si>
  <si>
    <t>진행상황</t>
    <phoneticPr fontId="1" type="noConversion"/>
  </si>
  <si>
    <t>공급업체</t>
  </si>
  <si>
    <t>공급업체</t>
    <phoneticPr fontId="1" type="noConversion"/>
  </si>
  <si>
    <t>우석케미칼</t>
    <phoneticPr fontId="1" type="noConversion"/>
  </si>
  <si>
    <t>HUMISEAL PCB 코팅 용액</t>
    <phoneticPr fontId="1" type="noConversion"/>
  </si>
  <si>
    <t>1_BEUPSYS/5-1_업체구매요청서/1_부품구매요청서및계약서/우석케미칼/240923_GIC CSP24-0923-1호_MSR PWR Board for MSR외 10종</t>
  </si>
  <si>
    <t>TD2024129472865</t>
    <phoneticPr fontId="1" type="noConversion"/>
  </si>
  <si>
    <t>디에스테크놀로지</t>
    <phoneticPr fontId="1" type="noConversion"/>
  </si>
  <si>
    <t>DST20250102-2BN</t>
    <phoneticPr fontId="1" type="noConversion"/>
  </si>
  <si>
    <t>제BEUP JDS25-0102-2호</t>
    <phoneticPr fontId="1" type="noConversion"/>
  </si>
  <si>
    <t>선금 100%</t>
    <phoneticPr fontId="1" type="noConversion"/>
  </si>
  <si>
    <t>1_BEUPSYS/5-1_업체구매요청서/1_부품구매요청서및계약서/디에스테크놀로지/240923_GIC CSP24-0923-1호_MSR PWR Board for MSR외 10종</t>
  </si>
  <si>
    <t>241231 전자세금계산서</t>
    <phoneticPr fontId="1" type="noConversion"/>
  </si>
  <si>
    <t>디에스테크놀로지</t>
  </si>
  <si>
    <t>우석케미칼</t>
  </si>
  <si>
    <t>250103 전자세금계산서</t>
    <phoneticPr fontId="1" type="noConversion"/>
  </si>
  <si>
    <t>파츠맨</t>
    <phoneticPr fontId="1" type="noConversion"/>
  </si>
  <si>
    <t>-</t>
    <phoneticPr fontId="1" type="noConversion"/>
  </si>
  <si>
    <t>제BEUP LDJ25-0109-1호</t>
    <phoneticPr fontId="1" type="noConversion"/>
  </si>
  <si>
    <t>HK MOP SUB 보드 제작 사급자재 외</t>
    <phoneticPr fontId="1" type="noConversion"/>
  </si>
  <si>
    <t>제BEUP LDJ25-0109-2호</t>
    <phoneticPr fontId="1" type="noConversion"/>
  </si>
  <si>
    <t>HK MOP SUB 보드 제작 SMT 작업</t>
    <phoneticPr fontId="1" type="noConversion"/>
  </si>
  <si>
    <t>GIC CSP24-0524-2호</t>
    <phoneticPr fontId="1" type="noConversion"/>
  </si>
  <si>
    <t>물품납기시</t>
    <phoneticPr fontId="1" type="noConversion"/>
  </si>
  <si>
    <t>1_BEUPSYS\5-1_업체구매요청서\1_부품구매요청서및계약서\파츠맨\GIC CSP24-0524-2호_PSR-Hub외9종생산\2025-1 구매 진행</t>
    <phoneticPr fontId="1" type="noConversion"/>
  </si>
  <si>
    <t>1_BEUPSYS\5-1_업체구매요청서\1_부품구매요청서및계약서\아이리코(I RICCO)\241016_GIC CSP24-0524-2호_PSR-Hub외9종생산\2025-1 구매 진행</t>
    <phoneticPr fontId="1" type="noConversion"/>
  </si>
  <si>
    <t>250103 지급(입금) / 매입증빙 확인</t>
    <phoneticPr fontId="1" type="noConversion"/>
  </si>
  <si>
    <t>제BEUP LDJ25-0113-1호</t>
    <phoneticPr fontId="1" type="noConversion"/>
  </si>
  <si>
    <t>HK CTM 보드 PCB 외</t>
    <phoneticPr fontId="1" type="noConversion"/>
  </si>
  <si>
    <t>물품납기시</t>
    <phoneticPr fontId="1" type="noConversion"/>
  </si>
  <si>
    <t>GIC CSP24-0913-1호</t>
    <phoneticPr fontId="1" type="noConversion"/>
  </si>
  <si>
    <t>제BEUP JDS25-0102-1호</t>
    <phoneticPr fontId="1" type="noConversion"/>
  </si>
  <si>
    <t>Development Tool</t>
    <phoneticPr fontId="1" type="noConversion"/>
  </si>
  <si>
    <t>GIC CSP24-0923-1호</t>
    <phoneticPr fontId="1" type="noConversion"/>
  </si>
  <si>
    <t>1_BEUPSYS\5-1_업체구매요청서\1_부품구매요청서및계약서\㈜메카전자\GIC CSP24-0913-1호_CTM 생산</t>
    <phoneticPr fontId="1" type="noConversion"/>
  </si>
  <si>
    <t>입고 확인</t>
    <phoneticPr fontId="1" type="noConversion"/>
  </si>
  <si>
    <t>입고 확인</t>
  </si>
  <si>
    <t>250102 전자세금계산서</t>
    <phoneticPr fontId="1" type="noConversion"/>
  </si>
  <si>
    <t>250103 지급(입금) / 매입증빙 확인</t>
  </si>
  <si>
    <t>계약 서명확인</t>
  </si>
  <si>
    <t>제BEUP JDS24-1218-1호</t>
    <phoneticPr fontId="1" type="noConversion"/>
  </si>
  <si>
    <t>제작완료시 지급</t>
  </si>
  <si>
    <t>250121 지급(입금) / 매입증빙 확인</t>
    <phoneticPr fontId="1" type="noConversion"/>
  </si>
  <si>
    <r>
      <t xml:space="preserve">선금 40% : </t>
    </r>
    <r>
      <rPr>
        <sz val="11"/>
        <rFont val="맑은 고딕"/>
        <family val="3"/>
        <charset val="129"/>
      </rPr>
      <t>₩32,000,000(VAT별도)</t>
    </r>
    <phoneticPr fontId="1" type="noConversion"/>
  </si>
  <si>
    <t>(선금) 전자세금계산서 미확인</t>
    <phoneticPr fontId="1" type="noConversion"/>
  </si>
  <si>
    <t>(선금) 240627 지급(입금) 내역 확인</t>
    <phoneticPr fontId="1" type="noConversion"/>
  </si>
  <si>
    <t>1_BEUPSYS\5-1_업체구매요청서\1_부품구매요청서및계약서\드림온테크 유한회사\240524_GIC CSP24-0524-1호_MOP외2종생산</t>
  </si>
  <si>
    <t>제BEUP KNK24-0615-1호</t>
  </si>
  <si>
    <t>NVR/CTM HW개발계약</t>
  </si>
  <si>
    <t>잔금 30%</t>
    <phoneticPr fontId="1" type="noConversion"/>
  </si>
  <si>
    <t>중간결과물 전달 (NVR 3대전달) 30%</t>
    <phoneticPr fontId="1" type="noConversion"/>
  </si>
  <si>
    <t>1_BEUPSYS\5-1_업체구매요청서\1_부품구매요청서및계약서\아이리코(I RICCO)\240923_GIC CSP24-0923-1호_MSR PWR Board for MSR외 10종\제BEUP KNK24-0924-1호_홍콩보드코팅_아이리코</t>
    <phoneticPr fontId="1" type="noConversion"/>
  </si>
  <si>
    <t>제BEUP JDS25-0116-1호</t>
    <phoneticPr fontId="1" type="noConversion"/>
  </si>
  <si>
    <t>HK MOP CTM 자재</t>
    <phoneticPr fontId="1" type="noConversion"/>
  </si>
  <si>
    <t>1_BEUPSYS/5-1_업체구매요청서/1_부품구매요청서및계약서/아이닉스/GIC CSP24-0524-1호_MOP외2종생산/제BEUP JDS25-0116-1호</t>
  </si>
  <si>
    <t>제BEUP JDS25-0116-2호</t>
    <phoneticPr fontId="1" type="noConversion"/>
  </si>
  <si>
    <t>제BEUP LDJ25-0123-1호</t>
  </si>
  <si>
    <t>MOP, CTM, MSR PCB 코팅 작업 외</t>
  </si>
  <si>
    <t>발주 후 4주내</t>
  </si>
  <si>
    <t>1_BEUPSYS\5-1_업체구매요청서\1_부품구매요청서및계약서\아이리코(I RICCO)\240524_GIC CSP24-0524-1호_MOP외2종생산\제BEUP LDJ25-0123-1호</t>
    <phoneticPr fontId="1" type="noConversion"/>
  </si>
  <si>
    <t>서버 경로</t>
    <phoneticPr fontId="1" type="noConversion"/>
  </si>
  <si>
    <t>제BEUP LDJ25-0123-2호</t>
  </si>
  <si>
    <t>NVR 수리 자재</t>
    <phoneticPr fontId="1" type="noConversion"/>
  </si>
  <si>
    <t>1_BEUPSYS\5-1_업체구매요청서\1_부품구매요청서및계약서\㈜메카전자\GIC CSP24-0913-1호 NVRCTMMSR 3종생산\NVR 수리자재</t>
    <phoneticPr fontId="1" type="noConversion"/>
  </si>
  <si>
    <t>250124 전자세금계산서</t>
    <phoneticPr fontId="1" type="noConversion"/>
  </si>
  <si>
    <t>250123 전자세금계산서</t>
    <phoneticPr fontId="1" type="noConversion"/>
  </si>
  <si>
    <t>티엠에스</t>
    <phoneticPr fontId="1" type="noConversion"/>
  </si>
  <si>
    <t>1_BEUPSYS\5-1_업체구매요청서\1_부품구매요청서및계약서\티엠에스(전자파 인증관리)\240524_GIC CSP24-0524-1호_MOP외2종생산</t>
    <phoneticPr fontId="1" type="noConversion"/>
  </si>
  <si>
    <t>시험완료 보고서 완료시</t>
    <phoneticPr fontId="1" type="noConversion"/>
  </si>
  <si>
    <t>홍콩 MOP, CTM, MSR 환경시험</t>
  </si>
  <si>
    <t>제BEUP JDS25-0122-1호</t>
  </si>
  <si>
    <t>제BEUP LDJ25-0124-1호</t>
  </si>
  <si>
    <t>1_BEUPSYS\5-1_업체구매요청서\1_부품구매요청서및계약서\파츠맨\GIC CSP24-0913-1호 NVRCTMMSR 3종생산\제BEUP LDJ25-0124-1호</t>
  </si>
  <si>
    <t>1_BEUPSYS\5-1_업체구매요청서\1_부품구매요청서및계약서\파츠맨\GIC CSP24-0913-1호 NVRCTMMSR 3종생산\제BEUP LDJ25-0124-2호</t>
  </si>
  <si>
    <t>제BEUP LDJ25-0124-2호</t>
  </si>
  <si>
    <t>MOP 수리자재 외</t>
  </si>
  <si>
    <t>2025년 1월 부자재류</t>
  </si>
  <si>
    <t>티엠에스</t>
  </si>
  <si>
    <t>250120 전자세금계산서</t>
    <phoneticPr fontId="1" type="noConversion"/>
  </si>
  <si>
    <t>이엔엠테크놀러지</t>
  </si>
  <si>
    <t>제BEUP LDJ25-0206-1호</t>
  </si>
  <si>
    <t>TC170/i7-6600U 외 (5SET)</t>
    <phoneticPr fontId="1" type="noConversion"/>
  </si>
  <si>
    <t>발주 후 12주내</t>
    <phoneticPr fontId="1" type="noConversion"/>
  </si>
  <si>
    <t>1_BEUPSYS\5-1_업체구매요청서\1_부품구매요청서및계약서\이엔엠테크놀러지\GIC CSP24-0923-1호\제BEUP LDJ25-0206-1호</t>
    <phoneticPr fontId="1" type="noConversion"/>
  </si>
  <si>
    <t>15,081,000원 --&gt; 15,006,000원 금액 오타로 수정 ( 25/2/6 , 이동진)</t>
    <phoneticPr fontId="1" type="noConversion"/>
  </si>
  <si>
    <t>1_BEUPSYS\5-1_업체구매요청서\1_부품구매요청서및계약서\㈜이송이엠씨\GIC CSP24-0524-1호_MOP외2종생산\제BEUP JDS25-0116-2호</t>
    <phoneticPr fontId="1" type="noConversion"/>
  </si>
  <si>
    <t>250206 지급(입금) / 매입증빙 확인</t>
    <phoneticPr fontId="1" type="noConversion"/>
  </si>
  <si>
    <r>
      <t xml:space="preserve">발주 후 </t>
    </r>
    <r>
      <rPr>
        <sz val="11"/>
        <color rgb="FFFF0000"/>
        <rFont val="맑은 고딕"/>
        <family val="3"/>
        <charset val="129"/>
        <scheme val="minor"/>
      </rPr>
      <t>선금 100%</t>
    </r>
    <r>
      <rPr>
        <sz val="11"/>
        <color theme="1"/>
        <rFont val="맑은 고딕"/>
        <family val="2"/>
        <charset val="129"/>
        <scheme val="minor"/>
      </rPr>
      <t xml:space="preserve"> (2025년 3월초 지급 예정)</t>
    </r>
    <phoneticPr fontId="1" type="noConversion"/>
  </si>
  <si>
    <t>이노웍스코리아</t>
    <phoneticPr fontId="1" type="noConversion"/>
  </si>
  <si>
    <t>제BEUP LDJ25-0210-1호</t>
    <phoneticPr fontId="1" type="noConversion"/>
  </si>
  <si>
    <t>M3S0-4GSSCLPC 외</t>
    <phoneticPr fontId="1" type="noConversion"/>
  </si>
  <si>
    <t>발주 후 8주내</t>
    <phoneticPr fontId="1" type="noConversion"/>
  </si>
  <si>
    <t>1_BEUPSYS\5-1_업체구매요청서\1_부품구매요청서및계약서\이노웍스코리아\GIC CSP24-0923-1호\제BEUP LDJ25-0210-1호</t>
    <phoneticPr fontId="1" type="noConversion"/>
  </si>
  <si>
    <t>이노웍스코리아</t>
  </si>
  <si>
    <t>제BEUP LDJ25-0211-1호</t>
    <phoneticPr fontId="1" type="noConversion"/>
  </si>
  <si>
    <t>0967 000 5476 외</t>
    <phoneticPr fontId="1" type="noConversion"/>
  </si>
  <si>
    <t>1_BEUPSYS\5-1_업체구매요청서\1_부품구매요청서및계약서\아이닉스\GIC CSP24-0524-1호_MOP외2종생산\제BEUP LDJ25-0211-1호</t>
  </si>
  <si>
    <t>제BEUP LDJ25-0211-2호</t>
  </si>
  <si>
    <t>HK_CTM_A4_20250205 ARTWORK 외</t>
    <phoneticPr fontId="1" type="noConversion"/>
  </si>
  <si>
    <t>1_BEUPSYS\5-1_업체구매요청서\1_부품구매요청서및계약서\㈜메카전자\GIC CSP24-0913-1호_CTM 추가 수정 및 작업건</t>
  </si>
  <si>
    <t>이예준</t>
    <phoneticPr fontId="1" type="noConversion"/>
  </si>
  <si>
    <t>BEUPSYS_KNK_25020302</t>
  </si>
  <si>
    <t>MSR, MOP 테스트 및 검수</t>
  </si>
  <si>
    <r>
      <t>2025-3-5 (</t>
    </r>
    <r>
      <rPr>
        <sz val="11"/>
        <color rgb="FFFF0000"/>
        <rFont val="맑은 고딕"/>
        <family val="3"/>
        <charset val="129"/>
        <scheme val="minor"/>
      </rPr>
      <t>사업소득세 3.3% 공제</t>
    </r>
    <r>
      <rPr>
        <sz val="11"/>
        <color theme="1"/>
        <rFont val="맑은 고딕"/>
        <family val="3"/>
        <charset val="129"/>
        <scheme val="minor"/>
      </rPr>
      <t>)</t>
    </r>
    <phoneticPr fontId="1" type="noConversion"/>
  </si>
  <si>
    <t>김민석</t>
    <phoneticPr fontId="1" type="noConversion"/>
  </si>
  <si>
    <t>BEUPSYS_KNK_25020301</t>
  </si>
  <si>
    <t>1_BEUPSYS\5-1_업체구매요청서\1_부품구매요청서및계약서\프리렌서계약_김민석\제GIC CSP24-0913-1호_MSR NVR 외 11종</t>
  </si>
  <si>
    <t>이예준</t>
  </si>
  <si>
    <t>김민석</t>
  </si>
  <si>
    <t>BEUPIDOM-20240502</t>
  </si>
  <si>
    <t>BEUPIDOM-20240503</t>
  </si>
  <si>
    <t>BEUPIDOM-20240504</t>
  </si>
  <si>
    <t>BEUPIDOM-20240505</t>
  </si>
  <si>
    <t>BEUPIDOM-20240506</t>
  </si>
  <si>
    <t>-</t>
  </si>
  <si>
    <t>240516 지급(입금) 기록 / 내역 확인 필요</t>
  </si>
  <si>
    <t>전자세금계산서 기록 확인 필요</t>
  </si>
  <si>
    <t>240524 지급(입금) 기록 / 내역 확인 필요</t>
  </si>
  <si>
    <t>240517 지급(입금) 기록 / 내역 확인 필요</t>
  </si>
  <si>
    <t>240801 지급(입금) 기록 / 내역 확인 필요</t>
  </si>
  <si>
    <t>240519 지급(입금) 기록 / 내역 확인 필요</t>
  </si>
  <si>
    <t>240614 지급(입금) 기록 / 내역 확인 필요</t>
  </si>
  <si>
    <t>240528 지급(입금) 기록 / 내역 확인 필요</t>
  </si>
  <si>
    <t>240724 지급(입금) 기록 / 내역 확인 필요</t>
  </si>
  <si>
    <t>240619 지급(입금) 기록 / 내역 확인 필요</t>
  </si>
  <si>
    <t>지급(입금) 기록 없음</t>
  </si>
  <si>
    <t>BEUPIDOM-20240501</t>
  </si>
  <si>
    <t>홍콩 생산1차분 83종 자재 선금 (30%)</t>
  </si>
  <si>
    <t>2회 분할</t>
  </si>
  <si>
    <t>GIC CSP24-0409-1호</t>
  </si>
  <si>
    <t>네이버 게시판 자료</t>
  </si>
  <si>
    <t>홍콩 생산1차분 83종 자재 납품 (70%)</t>
  </si>
  <si>
    <t>앤츠</t>
  </si>
  <si>
    <t>LEDC BOARD 외 선금 (30%)</t>
  </si>
  <si>
    <t>LEDC BOARD 외 납품 (70%)</t>
  </si>
  <si>
    <t>MRX REV1.2 생산 외 선금 (30%)</t>
  </si>
  <si>
    <t>MRX REV1.2 생산 외 납품 (70%)</t>
  </si>
  <si>
    <t>에쎈</t>
  </si>
  <si>
    <t>27인치 3T AG 강화유리</t>
  </si>
  <si>
    <t>홍콩 방송장치 11종 보드 부품 선금 (38%)</t>
  </si>
  <si>
    <t>홍콩 방송장치 11종 보드 부품 납품 (62%)</t>
  </si>
  <si>
    <t>홍콩 방송장치 11종 PCB 선금 (30%)</t>
  </si>
  <si>
    <t>홍콩 방송장치 11종 PCB 납품 (70%)</t>
  </si>
  <si>
    <t>한톨브릿지</t>
  </si>
  <si>
    <t>BEUPIDOM-20240601</t>
  </si>
  <si>
    <t>AC494-IPP-SUK 외</t>
  </si>
  <si>
    <t>발주후 4주내</t>
  </si>
  <si>
    <t>선금</t>
  </si>
  <si>
    <t>TC570/i3-1115GRE 외</t>
  </si>
  <si>
    <t>BEUPIDOM-20240702</t>
  </si>
  <si>
    <t>BEUPIDOM-20240703</t>
  </si>
  <si>
    <t>첫거래 선금</t>
  </si>
  <si>
    <t>240701 지급(입금) 기록 / 내역 확인 필요</t>
  </si>
  <si>
    <t>240628 지급(입금) 기록 / 내역 확인 필요</t>
  </si>
  <si>
    <t>누락</t>
  </si>
  <si>
    <t>이젠티에스</t>
  </si>
  <si>
    <t>BEUPIDOM-20240701</t>
  </si>
  <si>
    <t>TSC-50/IC</t>
  </si>
  <si>
    <t>파이오닉스</t>
  </si>
  <si>
    <t>CH7517A-BF1</t>
  </si>
  <si>
    <t>Production H/C</t>
  </si>
  <si>
    <t>운송비</t>
  </si>
  <si>
    <t>티렉스아이앤씨</t>
  </si>
  <si>
    <t>LVDS Cable 외</t>
  </si>
  <si>
    <t>TC170/i7-6600U 외</t>
  </si>
  <si>
    <t>SM-W18B (1000mm*100M/RL)</t>
  </si>
  <si>
    <t>SF050020R-C-NB-A (W5*T2*L1000mm)</t>
  </si>
  <si>
    <t>난연 SILICONE 백색 (도번: R1D013805)</t>
  </si>
  <si>
    <t>EPDM SEALING FOAM 1T*5*614</t>
  </si>
  <si>
    <t>EPDM SEALING FOAM 1T*5*342</t>
  </si>
  <si>
    <t>SPEAKER EPDM GASKET 6T*41*71</t>
  </si>
  <si>
    <t>금형</t>
  </si>
  <si>
    <t>김재현</t>
  </si>
  <si>
    <t>김재현</t>
    <phoneticPr fontId="1" type="noConversion"/>
  </si>
  <si>
    <t>제BEUPSYS KNK24-1220</t>
  </si>
  <si>
    <t>MOP 하드웨어 생산관련 테스트 및 업데이트</t>
  </si>
  <si>
    <t>1_BEUPSYS\5-1_업체구매요청서\1_부품구매요청서및계약서\프리렌서계약_김재현\제GIC CSP24-0913-1호_MSR NVR 외 11종</t>
    <phoneticPr fontId="1" type="noConversion"/>
  </si>
  <si>
    <r>
      <t xml:space="preserve">2025-3-5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</si>
  <si>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순번</t>
    <phoneticPr fontId="1" type="noConversion"/>
  </si>
  <si>
    <t>제BEUP LDJ25-0219-1호</t>
  </si>
  <si>
    <t>HK_CTM_A4_20250205 수삽자재 부족분</t>
  </si>
  <si>
    <t>발주 후 8주내</t>
  </si>
  <si>
    <t>납품 후 지급</t>
  </si>
  <si>
    <t>발주 후 2주내</t>
  </si>
  <si>
    <t>1_BEUPSYS\5-1_업체구매요청서\1_부품구매요청서및계약서\㈜메카전자\GIC CSP24-0913-1호_CTM 수삽자재 부족분</t>
    <phoneticPr fontId="1" type="noConversion"/>
  </si>
  <si>
    <t>대현테크</t>
    <phoneticPr fontId="11" type="noConversion"/>
  </si>
  <si>
    <t>제BEUP LDJ25-0224-1호</t>
  </si>
  <si>
    <t>제BEUP LDJ25-0224-2호</t>
  </si>
  <si>
    <t>제BEUP LDJ25-0228-1호</t>
  </si>
  <si>
    <t>제BEUP LDJ25-0228-2호</t>
  </si>
  <si>
    <t>770-101 외 2종</t>
  </si>
  <si>
    <t>56-3113.2389 외</t>
  </si>
  <si>
    <t>브라더 12mm Tze-231 호환 흰색바탕/검정글씨 외</t>
  </si>
  <si>
    <t>MOP LCD 코팅 재작업 외</t>
  </si>
  <si>
    <t>발주 후 10주내</t>
  </si>
  <si>
    <t>물품 납품전 지급</t>
  </si>
  <si>
    <t>1_BEUPSYS\5-1_업체구매요청서\1_부품구매요청서및계약서\파츠맨\GIC CSP24-0913-1호 NVRCTMMSR 3종생산\제BEUP LDJ25-0228-1호</t>
    <phoneticPr fontId="1" type="noConversion"/>
  </si>
  <si>
    <t>1_BEUPSYS\5-1_업체구매요청서\1_부품구매요청서및계약서\대현테크\임시-EIDS수리-241224\제BEUP LDJ25-0224-2호</t>
  </si>
  <si>
    <t>1_BEUPSYS\5-1_업체구매요청서\1_부품구매요청서및계약서\아이닉스\GIC CSP24-0524-1호_MOP외2종생산\제BEUP LDJ25-0224-1호</t>
  </si>
  <si>
    <t>250228 전자세금계산서</t>
    <phoneticPr fontId="1" type="noConversion"/>
  </si>
  <si>
    <t>현대로템㈜</t>
    <phoneticPr fontId="1" type="noConversion"/>
  </si>
  <si>
    <t>HRCPO20250226-001</t>
    <phoneticPr fontId="1" type="noConversion"/>
  </si>
  <si>
    <t>250225 전자세금계산서</t>
    <phoneticPr fontId="1" type="noConversion"/>
  </si>
  <si>
    <t>250227 전자세금계산서</t>
    <phoneticPr fontId="1" type="noConversion"/>
  </si>
  <si>
    <t>250205 전자세금계산서</t>
    <phoneticPr fontId="1" type="noConversion"/>
  </si>
  <si>
    <t>대현테크</t>
  </si>
  <si>
    <t>250226 전자세금계산서</t>
    <phoneticPr fontId="1" type="noConversion"/>
  </si>
  <si>
    <t>1_BEUPSYS\5-1_업체구매요청서\1_부품구매요청서및계약서\프리렌서계약_이예준\제GIC CSP24-0913-1호_MSR NVR 외 11종</t>
    <phoneticPr fontId="1" type="noConversion"/>
  </si>
  <si>
    <t>1_BEUPSYS\5-1_업체구매요청서\1_부품구매요청서및계약서\아이리코(I RICCO)\240524_GIC CSP24-0524-1호_MOP외2종생산\제BEUP LDJ25-0228-2호</t>
    <phoneticPr fontId="1" type="noConversion"/>
  </si>
  <si>
    <t>㈜텍시트코리아</t>
  </si>
  <si>
    <t>㈜텍시트코리아</t>
    <phoneticPr fontId="1" type="noConversion"/>
  </si>
  <si>
    <t>제BEUP LDJ25-0305-1호</t>
  </si>
  <si>
    <t>WM-DS-ZH-064x025-YW</t>
  </si>
  <si>
    <t>1_BEUPSYS\5-1_업체구매요청서\1_부품구매요청서및계약서\텍시트코리아\제GIC CSP24-0409-1호\제BEUP LDJ25-0305-1호</t>
    <phoneticPr fontId="1" type="noConversion"/>
  </si>
  <si>
    <t>250306 전자세금계산서</t>
    <phoneticPr fontId="1" type="noConversion"/>
  </si>
  <si>
    <t>250307 지급(입금) / 매입증빙 확인</t>
    <phoneticPr fontId="1" type="noConversion"/>
  </si>
  <si>
    <t>250306 지급(입금) / 매입증빙 확인</t>
    <phoneticPr fontId="1" type="noConversion"/>
  </si>
  <si>
    <t>고은효</t>
    <phoneticPr fontId="1" type="noConversion"/>
  </si>
  <si>
    <t>제BEUPSYS KNK25-0220</t>
  </si>
  <si>
    <t>방송장치 오디오 테스트 방법 수립</t>
  </si>
  <si>
    <t>1_BEUPSYS\5-1_업체구매요청서\1_부품구매요청서및계약서\프리렌서계약_김재현\제GIC CSP24-0913-1호_MSR NVR 외 11종\2차</t>
    <phoneticPr fontId="1" type="noConversion"/>
  </si>
  <si>
    <t>BEUPSYS_KNK25030401</t>
  </si>
  <si>
    <t>BEUPSYS_KNK25030402</t>
  </si>
  <si>
    <r>
      <t xml:space="preserve">2025-4-4 </t>
    </r>
    <r>
      <rPr>
        <sz val="11"/>
        <color rgb="FFFF0000"/>
        <rFont val="맑은 고딕"/>
        <family val="3"/>
        <charset val="129"/>
        <scheme val="minor"/>
      </rPr>
      <t>(사업소득세 3.3% 공제)</t>
    </r>
    <phoneticPr fontId="1" type="noConversion"/>
  </si>
  <si>
    <t>1_BEUPSYS\5-1_업체구매요청서\1_부품구매요청서및계약서\프리렌서계약_김민석\제GIC CSP24-0913-1호_MSR NVR 외 11종\2차_2503월</t>
    <phoneticPr fontId="1" type="noConversion"/>
  </si>
  <si>
    <t>1_BEUPSYS\5-1_업체구매요청서\1_부품구매요청서및계약서\프리렌서계약_고은효\제GIC CSP24-0913-1호_MSR NVR 외 11종\1차_2503월</t>
    <phoneticPr fontId="1" type="noConversion"/>
  </si>
  <si>
    <t>BRT (MOP USB COVER)  외</t>
  </si>
  <si>
    <t>033014-E</t>
  </si>
  <si>
    <t>제BEUP LDJ25-0314-1호</t>
  </si>
  <si>
    <t>제BEUP LDJ25-0310-1호</t>
  </si>
  <si>
    <t>1_BEUPSYS\5-1_업체구매요청서\1_부품구매요청서및계약서\㈜세일엔지니어링\241104_GIC CSP24-0524-1호_MOP외2종\제BEUP LDJ25-0310-1호</t>
    <phoneticPr fontId="1" type="noConversion"/>
  </si>
  <si>
    <t>1_BEUPSYS\5-1_업체구매요청서\1_부품구매요청서및계약서\아이닉스\GIC CSP24-0524-1호_MOP외2종생산\제BEUP LDJ25-0314-1호</t>
    <phoneticPr fontId="1" type="noConversion"/>
  </si>
  <si>
    <t>2.공급 완료</t>
  </si>
  <si>
    <t>고은효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</si>
</sst>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176" formatCode="yyyy/mm/dd;@"/>
    <numFmt numFmtId="177" formatCode="&quot;₩&quot;#,##0"/>
    <numFmt numFmtId="178" formatCode="##&quot;식&quot;"/>
    <numFmt numFmtId="179" formatCode="##&quot;대&quot;"/>
    <numFmt numFmtId="180" formatCode="&quot;US$&quot;#,##0"/>
    <numFmt numFmtId="181" formatCode="&quot;₩&quot;#,##0.0"/>
  </numFmts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0000"/>
      <name val="Helvetica"/>
      <family val="2"/>
    </font>
    <font>
      <sz val="11"/>
      <color rgb="FF0070C0"/>
      <name val="맑은 고딕"/>
      <family val="3"/>
      <charset val="129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함초롬돋움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4"/>
      </left>
      <right style="thin">
        <color theme="4"/>
      </right>
      <top/>
      <bottom/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177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0" fontId="0" fillId="2" borderId="1" xfId="0" applyFill="1" applyBorder="1">
      <alignment vertical="center"/>
    </xf>
    <xf numFmtId="178" fontId="0" fillId="2" borderId="1" xfId="0" applyNumberFormat="1" applyFill="1" applyBorder="1">
      <alignment vertical="center"/>
    </xf>
    <xf numFmtId="0" fontId="3" fillId="2" borderId="1" xfId="0" applyFont="1" applyFill="1" applyBorder="1">
      <alignment vertical="center"/>
    </xf>
    <xf numFmtId="177" fontId="0" fillId="2" borderId="1" xfId="0" applyNumberFormat="1" applyFill="1" applyBorder="1">
      <alignment vertical="center"/>
    </xf>
    <xf numFmtId="0" fontId="6" fillId="2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177" fontId="2" fillId="2" borderId="1" xfId="0" applyNumberFormat="1" applyFont="1" applyFill="1" applyBorder="1">
      <alignment vertical="center"/>
    </xf>
    <xf numFmtId="0" fontId="4" fillId="2" borderId="1" xfId="0" applyFont="1" applyFill="1" applyBorder="1">
      <alignment vertical="center"/>
    </xf>
    <xf numFmtId="179" fontId="0" fillId="2" borderId="1" xfId="0" applyNumberFormat="1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14" fontId="0" fillId="0" borderId="1" xfId="0" applyNumberFormat="1" applyBorder="1">
      <alignment vertical="center"/>
    </xf>
    <xf numFmtId="180" fontId="0" fillId="2" borderId="1" xfId="0" applyNumberFormat="1" applyFill="1" applyBorder="1">
      <alignment vertical="center"/>
    </xf>
    <xf numFmtId="177" fontId="0" fillId="2" borderId="1" xfId="0" applyNumberFormat="1" applyFill="1" applyBorder="1" applyAlignment="1">
      <alignment vertical="center" wrapText="1"/>
    </xf>
    <xf numFmtId="14" fontId="0" fillId="2" borderId="1" xfId="0" applyNumberFormat="1" applyFill="1" applyBorder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 vertical="center"/>
    </xf>
    <xf numFmtId="49" fontId="7" fillId="2" borderId="0" xfId="0" applyNumberFormat="1" applyFont="1" applyFill="1" applyAlignment="1">
      <alignment horizontal="left" vertical="center"/>
    </xf>
    <xf numFmtId="181" fontId="0" fillId="0" borderId="0" xfId="0" applyNumberFormat="1">
      <alignment vertical="center"/>
    </xf>
    <xf numFmtId="0" fontId="6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178" fontId="0" fillId="0" borderId="1" xfId="0" applyNumberFormat="1" applyBorder="1">
      <alignment vertical="center"/>
    </xf>
    <xf numFmtId="14" fontId="0" fillId="0" borderId="1" xfId="0" applyNumberFormat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177" fontId="0" fillId="0" borderId="0" xfId="0" applyNumberFormat="1">
      <alignment vertical="center"/>
    </xf>
    <xf numFmtId="0" fontId="2" fillId="0" borderId="1" xfId="0" applyFont="1" applyBorder="1">
      <alignment vertical="center"/>
    </xf>
    <xf numFmtId="42" fontId="0" fillId="0" borderId="1" xfId="0" applyNumberFormat="1" applyBorder="1" applyAlignment="1">
      <alignment vertical="center" wrapText="1"/>
    </xf>
    <xf numFmtId="14" fontId="0" fillId="0" borderId="0" xfId="0" applyNumberFormat="1" applyAlignment="1">
      <alignment horizontal="center" vertical="center"/>
    </xf>
    <xf numFmtId="14" fontId="0" fillId="0" borderId="1" xfId="0" applyNumberFormat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>
      <alignment vertical="center"/>
    </xf>
    <xf numFmtId="42" fontId="0" fillId="0" borderId="0" xfId="0" applyNumberFormat="1">
      <alignment vertical="center"/>
    </xf>
    <xf numFmtId="42" fontId="0" fillId="2" borderId="1" xfId="0" applyNumberFormat="1" applyFill="1" applyBorder="1">
      <alignment vertical="center"/>
    </xf>
    <xf numFmtId="42" fontId="0" fillId="0" borderId="1" xfId="0" applyNumberFormat="1" applyBorder="1">
      <alignment vertical="center"/>
    </xf>
    <xf numFmtId="42" fontId="2" fillId="2" borderId="1" xfId="0" applyNumberFormat="1" applyFont="1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2" fillId="2" borderId="2" xfId="0" applyFont="1" applyFill="1" applyBorder="1">
      <alignment vertical="center"/>
    </xf>
    <xf numFmtId="42" fontId="0" fillId="2" borderId="1" xfId="0" applyNumberFormat="1" applyFill="1" applyBorder="1" applyAlignment="1">
      <alignment vertical="center" wrapText="1"/>
    </xf>
    <xf numFmtId="49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3" xfId="0" applyFill="1" applyBorder="1" applyAlignment="1">
      <alignment vertical="center" shrinkToFit="1"/>
    </xf>
    <xf numFmtId="0" fontId="0" fillId="0" borderId="1" xfId="0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vertical="center"/>
    </xf>
    <xf numFmtId="42" fontId="0" fillId="2" borderId="1" xfId="0" applyNumberForma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0" fontId="10" fillId="2" borderId="1" xfId="0" applyFont="1" applyFill="1" applyBorder="1">
      <alignment vertical="center"/>
    </xf>
    <xf numFmtId="0" fontId="0" fillId="0" borderId="0" xfId="0" applyFill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42" fontId="0" fillId="0" borderId="1" xfId="0" applyNumberFormat="1" applyFill="1" applyBorder="1" applyAlignment="1">
      <alignment vertical="center" wrapText="1"/>
    </xf>
    <xf numFmtId="0" fontId="3" fillId="0" borderId="1" xfId="0" applyFont="1" applyFill="1" applyBorder="1">
      <alignment vertical="center"/>
    </xf>
    <xf numFmtId="42" fontId="0" fillId="0" borderId="1" xfId="0" applyNumberFormat="1" applyFill="1" applyBorder="1">
      <alignment vertical="center"/>
    </xf>
    <xf numFmtId="0" fontId="0" fillId="0" borderId="1" xfId="0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49" fontId="0" fillId="0" borderId="1" xfId="0" applyNumberFormat="1" applyFill="1" applyBorder="1" applyAlignment="1">
      <alignment vertical="center"/>
    </xf>
    <xf numFmtId="14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42" fontId="0" fillId="3" borderId="1" xfId="0" applyNumberForma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2" fillId="3" borderId="1" xfId="0" applyFont="1" applyFill="1" applyBorder="1">
      <alignment vertical="center"/>
    </xf>
    <xf numFmtId="0" fontId="3" fillId="3" borderId="1" xfId="0" applyFont="1" applyFill="1" applyBorder="1">
      <alignment vertical="center"/>
    </xf>
  </cellXfs>
  <cellStyles count="1">
    <cellStyle name="표준" xfId="0" builtinId="0"/>
  </cellStyles>
  <dxfs count="5">
    <dxf>
      <font>
        <strike/>
        <color rgb="FFC00000"/>
      </font>
    </dxf>
    <dxf>
      <font>
        <strike val="0"/>
        <color auto="1"/>
      </font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0.79998168889431442"/>
        </patternFill>
      </fill>
      <border>
        <top style="thin">
          <color rgb="FFC00000"/>
        </top>
        <bottom style="thin">
          <color rgb="FFC00000"/>
        </bottom>
        <vertical/>
        <horizontal/>
      </border>
    </dxf>
    <dxf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117</xdr:row>
      <xdr:rowOff>0</xdr:rowOff>
    </xdr:from>
    <xdr:to>
      <xdr:col>10</xdr:col>
      <xdr:colOff>304800</xdr:colOff>
      <xdr:row>118</xdr:row>
      <xdr:rowOff>85724</xdr:rowOff>
    </xdr:to>
    <xdr:sp macro="" textlink="">
      <xdr:nvSpPr>
        <xdr:cNvPr id="2" name="&lt;F65650F0-E65C-49FC-AEF1-0B42BCDD8E26&gt;" descr="물품공급요청서2412-16.jpeg">
          <a:extLst>
            <a:ext uri="{FF2B5EF4-FFF2-40B4-BE49-F238E27FC236}">
              <a16:creationId xmlns:a16="http://schemas.microsoft.com/office/drawing/2014/main" id="{D4F79316-CAD1-48DC-94D8-3BA6225BEB9F}"/>
            </a:ext>
          </a:extLst>
        </xdr:cNvPr>
        <xdr:cNvSpPr>
          <a:spLocks noChangeAspect="1" noChangeArrowheads="1"/>
        </xdr:cNvSpPr>
      </xdr:nvSpPr>
      <xdr:spPr bwMode="auto">
        <a:xfrm>
          <a:off x="11582400" y="14668500"/>
          <a:ext cx="304800" cy="298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ilip-office2F" refreshedDate="45734.704014699077" createdVersion="7" refreshedVersion="7" minRefreshableVersion="3" recordCount="116" xr:uid="{68F36ED7-716F-4D9E-91E0-B523F2554E77}">
  <cacheSource type="worksheet">
    <worksheetSource ref="B2:W118" sheet="계약별 상세"/>
  </cacheSource>
  <cacheFields count="22">
    <cacheField name="계약일자_x000a_(서명일 기준)" numFmtId="14">
      <sharedItems containsSemiMixedTypes="0" containsNonDate="0" containsDate="1" containsString="0" minDate="2024-04-10T00:00:00" maxDate="2025-03-15T00:00:00"/>
    </cacheField>
    <cacheField name="공급업체" numFmtId="0">
      <sharedItems count="40">
        <s v="아이닉스"/>
        <s v="㈜세일엔지니어링"/>
        <s v="㈜텍시트코리아"/>
        <s v="고은효"/>
        <s v="김민석"/>
        <s v="아이리코(I RICCO)"/>
        <s v="파츠맨"/>
        <s v="대현테크"/>
        <s v="김재현"/>
        <s v="㈜메카전자"/>
        <s v="이노웍스코리아"/>
        <s v="이엔엠테크놀러지"/>
        <s v="이예준"/>
        <s v="티엠에스"/>
        <s v="㈜이송이엠씨"/>
        <s v="디에스테크놀로지"/>
        <s v="우석케미칼"/>
        <s v="㈜태신전자"/>
        <s v="㈜화인테크폴리머"/>
        <s v="박진호"/>
        <s v="캐드존"/>
        <s v="㈜일성"/>
        <s v="㈜엔에스티정보통신"/>
        <s v="㈜유에스케이"/>
        <s v="이지파워"/>
        <s v="㈜일렉콤티에스"/>
        <s v="바이슨"/>
        <s v="유니퀘스트㈜"/>
        <s v="티렉스아이앤씨"/>
        <s v="파이오닉스"/>
        <s v="이젠티에스"/>
        <s v="드림온테크 유한회사"/>
        <s v="한톨브릿지"/>
        <s v="에쎈"/>
        <s v="앤츠"/>
        <s v="이동진"/>
        <s v="메카전자" u="1"/>
        <s v="일렉콤티에스" u="1"/>
        <s v="태신전자" u="1"/>
        <s v="이송이엠씨" u="1"/>
      </sharedItems>
    </cacheField>
    <cacheField name="견적번호" numFmtId="0">
      <sharedItems containsBlank="1"/>
    </cacheField>
    <cacheField name="계약번호" numFmtId="0">
      <sharedItems/>
    </cacheField>
    <cacheField name="Item no." numFmtId="0">
      <sharedItems containsString="0" containsBlank="1" containsNumber="1" containsInteger="1" minValue="1" maxValue="6"/>
    </cacheField>
    <cacheField name="품명" numFmtId="0">
      <sharedItems/>
    </cacheField>
    <cacheField name="수량" numFmtId="0">
      <sharedItems containsSemiMixedTypes="0" containsString="0" containsNumber="1" containsInteger="1" minValue="1" maxValue="1000"/>
    </cacheField>
    <cacheField name="예상납기일 /_x000a_업무종료일자(프리랜서)" numFmtId="14">
      <sharedItems containsNonDate="0" containsDate="1" containsString="0" containsBlank="1" minDate="2024-09-07T00:00:00" maxDate="2025-05-06T00:00:00"/>
    </cacheField>
    <cacheField name="납기(계약서)" numFmtId="0">
      <sharedItems containsDate="1" containsBlank="1" containsMixedTypes="1" minDate="2025-02-28T00:00:00" maxDate="2025-03-01T00:00:00"/>
    </cacheField>
    <cacheField name="납품일자 /_x000a_업무종료일자(프리랜서)" numFmtId="14">
      <sharedItems containsDate="1" containsBlank="1" containsMixedTypes="1" minDate="2024-05-16T00:00:00" maxDate="2025-03-12T00:00:00"/>
    </cacheField>
    <cacheField name="공급금액(US$)" numFmtId="0">
      <sharedItems containsString="0" containsBlank="1" containsNumber="1" containsInteger="1" minValue="150" maxValue="24200"/>
    </cacheField>
    <cacheField name="공급금액(KRW)" numFmtId="42">
      <sharedItems containsSemiMixedTypes="0" containsString="0" containsNumber="1" minValue="34280" maxValue="66782940"/>
    </cacheField>
    <cacheField name="지불조건" numFmtId="0">
      <sharedItems containsBlank="1"/>
    </cacheField>
    <cacheField name="고객사" numFmtId="0">
      <sharedItems containsBlank="1"/>
    </cacheField>
    <cacheField name="고객 PO no." numFmtId="0">
      <sharedItems containsBlank="1"/>
    </cacheField>
    <cacheField name="계약 서명 여부" numFmtId="0">
      <sharedItems/>
    </cacheField>
    <cacheField name="입고 여부" numFmtId="0">
      <sharedItems containsBlank="1"/>
    </cacheField>
    <cacheField name="전자세금계산서 수취 여부" numFmtId="0">
      <sharedItems containsBlank="1"/>
    </cacheField>
    <cacheField name="입금 여부" numFmtId="0">
      <sharedItems containsBlank="1"/>
    </cacheField>
    <cacheField name="진행상황" numFmtId="0">
      <sharedItems containsBlank="1" count="4">
        <s v="3.진행 중"/>
        <s v="1.지불 완료"/>
        <s v="2.공급 완료"/>
        <m u="1"/>
      </sharedItems>
    </cacheField>
    <cacheField name="비고" numFmtId="0">
      <sharedItems/>
    </cacheField>
    <cacheField name="서버 경로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d v="2025-03-14T00:00:00"/>
    <x v="0"/>
    <m/>
    <s v="제BEUP LDJ25-0314-1호"/>
    <m/>
    <s v="033014-E"/>
    <n v="250"/>
    <d v="2025-04-11T00:00:00"/>
    <s v="발주 후 4주내"/>
    <m/>
    <m/>
    <n v="450000"/>
    <s v="납품 후 지급"/>
    <s v="㈜지아이씨"/>
    <s v="GIC CSP24-0524-1호"/>
    <s v="계약 서명확인"/>
    <m/>
    <m/>
    <m/>
    <x v="0"/>
    <s v="VAT 별도"/>
    <s v="1_BEUPSYS\5-1_업체구매요청서\1_부품구매요청서및계약서\아이닉스\GIC CSP24-0524-1호_MOP외2종생산\제BEUP LDJ25-0314-1호"/>
  </r>
  <r>
    <d v="2025-03-10T00:00:00"/>
    <x v="1"/>
    <m/>
    <s v="제BEUP LDJ25-0310-1호"/>
    <m/>
    <s v="BRT (MOP USB COVER)  외"/>
    <n v="1"/>
    <d v="2025-04-07T00:00:00"/>
    <s v="발주 후 4주내"/>
    <m/>
    <m/>
    <n v="500000"/>
    <s v="납품 후 지급"/>
    <s v="㈜지아이씨"/>
    <s v="GIC CSP24-0524-1호"/>
    <s v="계약 서명확인"/>
    <m/>
    <m/>
    <m/>
    <x v="0"/>
    <s v="VAT 별도"/>
    <s v="1_BEUPSYS\5-1_업체구매요청서\1_부품구매요청서및계약서\㈜세일엔지니어링\241104_GIC CSP24-0524-1호_MOP외2종\제BEUP LDJ25-0310-1호"/>
  </r>
  <r>
    <d v="2025-03-05T00:00:00"/>
    <x v="2"/>
    <m/>
    <s v="제BEUP LDJ25-0305-1호"/>
    <m/>
    <s v="WM-DS-ZH-064x025-YW"/>
    <n v="1000"/>
    <d v="2025-04-02T00:00:00"/>
    <s v="발주 후 4주내"/>
    <d v="2025-03-06T00:00:00"/>
    <m/>
    <n v="250000"/>
    <s v="물품 납품전 지급"/>
    <s v="㈜지아이씨"/>
    <s v="GIC CSP24-0409-1호"/>
    <s v="계약 서명확인"/>
    <s v="입고 확인"/>
    <s v="250306 전자세금계산서"/>
    <s v="250307 지급(입금) / 매입증빙 확인"/>
    <x v="1"/>
    <s v="VAT 별도"/>
    <s v="1_BEUPSYS\5-1_업체구매요청서\1_부품구매요청서및계약서\텍시트코리아\제GIC CSP24-0409-1호\제BEUP LDJ25-0305-1호"/>
  </r>
  <r>
    <d v="2025-03-04T00:00:00"/>
    <x v="3"/>
    <m/>
    <s v="BEUPSYS_KNK25030402"/>
    <m/>
    <s v="MSR, MOP 테스트 및 검수"/>
    <n v="1"/>
    <d v="2025-03-14T00:00:00"/>
    <m/>
    <m/>
    <m/>
    <n v="800000"/>
    <s v="2025-4-4 (사업소득세 3.3% 공제)"/>
    <s v="㈜지아이씨"/>
    <s v="GIC CSP24-0913-1호"/>
    <s v="계약 서명확인"/>
    <m/>
    <s v="전자세금계산서 미수취 / 프리렌서계약"/>
    <m/>
    <x v="0"/>
    <s v="VAT 별도"/>
    <s v="1_BEUPSYS\5-1_업체구매요청서\1_부품구매요청서및계약서\프리렌서계약_고은효\제GIC CSP24-0913-1호_MSR NVR 외 11종\1차_2503월"/>
  </r>
  <r>
    <d v="2025-03-04T00:00:00"/>
    <x v="4"/>
    <m/>
    <s v="BEUPSYS_KNK25030401"/>
    <m/>
    <s v="MSR, MOP 테스트 및 검수"/>
    <n v="1"/>
    <d v="2025-03-24T00:00:00"/>
    <m/>
    <m/>
    <m/>
    <n v="1500000"/>
    <s v="2025-4-4 (사업소득세 3.3% 공제)"/>
    <s v="㈜지아이씨"/>
    <s v="GIC CSP24-0913-1호"/>
    <s v="계약 서명확인"/>
    <m/>
    <s v="전자세금계산서 미수취 / 프리렌서계약"/>
    <m/>
    <x v="0"/>
    <s v="VAT 별도"/>
    <s v="1_BEUPSYS\5-1_업체구매요청서\1_부품구매요청서및계약서\프리렌서계약_김민석\제GIC CSP24-0913-1호_MSR NVR 외 11종\2차_2503월"/>
  </r>
  <r>
    <d v="2025-02-28T00:00:00"/>
    <x v="5"/>
    <m/>
    <s v="제BEUP LDJ25-0228-2호"/>
    <m/>
    <s v="MOP LCD 코팅 재작업 외"/>
    <n v="1"/>
    <d v="2025-03-28T00:00:00"/>
    <s v="발주 후 4주내"/>
    <d v="2025-02-28T00:00:00"/>
    <m/>
    <n v="1866000"/>
    <s v="납품 후 지급"/>
    <s v="㈜지아이씨"/>
    <s v="GIC CSP24-0524-1호"/>
    <s v="계약 서명확인"/>
    <s v="입고 확인"/>
    <s v="250228 전자세금계산서"/>
    <s v="250306 지급(입금) / 매입증빙 확인"/>
    <x v="1"/>
    <s v="VAT 별도"/>
    <s v="1_BEUPSYS\5-1_업체구매요청서\1_부품구매요청서및계약서\아이리코(I RICCO)\240524_GIC CSP24-0524-1호_MOP외2종생산\제BEUP LDJ25-0228-2호"/>
  </r>
  <r>
    <d v="2025-02-28T00:00:00"/>
    <x v="6"/>
    <m/>
    <s v="제BEUP LDJ25-0228-1호"/>
    <m/>
    <s v="브라더 12mm Tze-231 호환 흰색바탕/검정글씨 외"/>
    <n v="1"/>
    <d v="2025-03-28T00:00:00"/>
    <s v="발주 후 4주내"/>
    <d v="2025-02-28T00:00:00"/>
    <m/>
    <n v="2140340"/>
    <s v="납품 후 지급"/>
    <s v="㈜지아이씨"/>
    <s v="GIC CSP24-0913-1호"/>
    <s v="계약 서명확인"/>
    <s v="입고 확인"/>
    <s v="250228 전자세금계산서"/>
    <s v="250306 지급(입금) / 매입증빙 확인"/>
    <x v="1"/>
    <s v="VAT 별도"/>
    <s v="1_BEUPSYS\5-1_업체구매요청서\1_부품구매요청서및계약서\파츠맨\GIC CSP24-0913-1호 NVRCTMMSR 3종생산\제BEUP LDJ25-0228-1호"/>
  </r>
  <r>
    <d v="2025-02-24T00:00:00"/>
    <x v="7"/>
    <m/>
    <s v="제BEUP LDJ25-0224-2호"/>
    <m/>
    <s v="56-3113.2389 외"/>
    <n v="1"/>
    <d v="2025-05-05T00:00:00"/>
    <s v="발주 후 10주내"/>
    <m/>
    <m/>
    <n v="2611000"/>
    <s v="물품 납품전 지급"/>
    <s v="현대로템㈜"/>
    <s v="HRCPO20250226-001"/>
    <s v="계약 서명확인"/>
    <m/>
    <m/>
    <m/>
    <x v="0"/>
    <s v="VAT 별도"/>
    <s v="1_BEUPSYS\5-1_업체구매요청서\1_부품구매요청서및계약서\대현테크\임시-EIDS수리-241224\제BEUP LDJ25-0224-2호"/>
  </r>
  <r>
    <d v="2025-02-24T00:00:00"/>
    <x v="0"/>
    <m/>
    <s v="제BEUP LDJ25-0224-1호"/>
    <m/>
    <s v="770-101 외 2종"/>
    <n v="1"/>
    <d v="2025-03-24T00:00:00"/>
    <s v="발주 후 4주내"/>
    <d v="2025-03-11T00:00:00"/>
    <m/>
    <n v="216000"/>
    <s v="납품 후 지급"/>
    <s v="㈜지아이씨"/>
    <s v="GIC CSP24-0524-1호"/>
    <s v="계약 서명확인"/>
    <s v="입고 확인"/>
    <m/>
    <m/>
    <x v="2"/>
    <s v="VAT 별도"/>
    <s v="1_BEUPSYS\5-1_업체구매요청서\1_부품구매요청서및계약서\아이닉스\GIC CSP24-0524-1호_MOP외2종생산\제BEUP LDJ25-0224-1호"/>
  </r>
  <r>
    <d v="2025-02-20T00:00:00"/>
    <x v="8"/>
    <m/>
    <s v="제BEUPSYS KNK25-0220"/>
    <m/>
    <s v="방송장치 오디오 테스트 방법 수립"/>
    <n v="1"/>
    <d v="2025-03-31T00:00:00"/>
    <m/>
    <m/>
    <m/>
    <n v="5000000"/>
    <s v="2025-4-4 (사업소득세 3.3% 공제)"/>
    <s v="㈜지아이씨"/>
    <s v="GIC CSP24-0913-1호"/>
    <s v="계약 서명확인"/>
    <m/>
    <s v="전자세금계산서 미수취 / 프리렌서계약"/>
    <m/>
    <x v="0"/>
    <s v="VAT 별도"/>
    <s v="1_BEUPSYS\5-1_업체구매요청서\1_부품구매요청서및계약서\프리렌서계약_김재현\제GIC CSP24-0913-1호_MSR NVR 외 11종\2차"/>
  </r>
  <r>
    <d v="2025-02-19T00:00:00"/>
    <x v="9"/>
    <m/>
    <s v="제BEUP LDJ25-0219-1호"/>
    <m/>
    <s v="HK_CTM_A4_20250205 수삽자재 부족분"/>
    <n v="15"/>
    <d v="2025-04-16T00:00:00"/>
    <s v="발주 후 8주내"/>
    <d v="2025-02-24T00:00:00"/>
    <m/>
    <n v="99000"/>
    <s v="납품 후 지급"/>
    <s v="㈜지아이씨"/>
    <s v="GIC CSP24-0913-1호"/>
    <s v="계약 서명확인"/>
    <s v="입고 확인"/>
    <s v="250225 전자세금계산서"/>
    <s v="250306 지급(입금) / 매입증빙 확인"/>
    <x v="1"/>
    <s v="VAT 별도"/>
    <s v="1_BEUPSYS\5-1_업체구매요청서\1_부품구매요청서및계약서\㈜메카전자\GIC CSP24-0913-1호_CTM 수삽자재 부족분"/>
  </r>
  <r>
    <d v="2025-02-11T00:00:00"/>
    <x v="9"/>
    <m/>
    <s v="제BEUP LDJ25-0211-2호"/>
    <m/>
    <s v="HK_CTM_A4_20250205 ARTWORK 외"/>
    <n v="1"/>
    <d v="2025-04-08T00:00:00"/>
    <s v="발주 후 8주내"/>
    <d v="2025-02-24T00:00:00"/>
    <m/>
    <n v="2910000"/>
    <s v="납품 후 지급"/>
    <s v="㈜지아이씨"/>
    <s v="GIC CSP24-0913-1호"/>
    <s v="계약 서명확인"/>
    <s v="입고 확인"/>
    <s v="250225 전자세금계산서"/>
    <s v="250307 지급(입금) / 매입증빙 확인"/>
    <x v="1"/>
    <s v="VAT 별도"/>
    <s v="1_BEUPSYS\5-1_업체구매요청서\1_부품구매요청서및계약서\㈜메카전자\GIC CSP24-0913-1호_CTM 추가 수정 및 작업건"/>
  </r>
  <r>
    <d v="2025-02-11T00:00:00"/>
    <x v="0"/>
    <m/>
    <s v="제BEUP LDJ25-0211-1호"/>
    <m/>
    <s v="0967 000 5476 외"/>
    <n v="1"/>
    <d v="2025-03-11T00:00:00"/>
    <s v="발주 후 4주내"/>
    <d v="2025-02-12T00:00:00"/>
    <m/>
    <n v="735000"/>
    <s v="납품 후 지급"/>
    <s v="㈜지아이씨"/>
    <s v="GIC CSP24-0524-1호"/>
    <s v="계약 서명확인"/>
    <s v="입고 확인"/>
    <s v="250227 전자세금계산서"/>
    <s v="250306 지급(입금) / 매입증빙 확인"/>
    <x v="1"/>
    <s v="VAT 별도"/>
    <s v="1_BEUPSYS\5-1_업체구매요청서\1_부품구매요청서및계약서\아이닉스\GIC CSP24-0524-1호_MOP외2종생산\제BEUP LDJ25-0211-1호"/>
  </r>
  <r>
    <d v="2025-02-10T00:00:00"/>
    <x v="10"/>
    <m/>
    <s v="제BEUP LDJ25-0210-1호"/>
    <m/>
    <s v="M3S0-4GSSCLPC 외"/>
    <n v="1"/>
    <d v="2025-04-07T00:00:00"/>
    <s v="발주 후 8주내"/>
    <d v="2025-02-26T00:00:00"/>
    <m/>
    <n v="710000"/>
    <s v="납품 후 지급"/>
    <s v="㈜지아이씨"/>
    <s v="GIC CSP24-0923-1호"/>
    <s v="계약 서명확인"/>
    <s v="입고 확인"/>
    <s v="250226 전자세금계산서"/>
    <s v="250306 지급(입금) / 매입증빙 확인"/>
    <x v="1"/>
    <s v="VAT 별도"/>
    <s v="1_BEUPSYS\5-1_업체구매요청서\1_부품구매요청서및계약서\이노웍스코리아\GIC CSP24-0923-1호\제BEUP LDJ25-0210-1호"/>
  </r>
  <r>
    <d v="2025-02-06T00:00:00"/>
    <x v="11"/>
    <m/>
    <s v="제BEUP LDJ25-0206-1호"/>
    <m/>
    <s v="TC170/i7-6600U 외 (5SET)"/>
    <n v="1"/>
    <d v="2025-05-01T00:00:00"/>
    <s v="발주 후 12주내"/>
    <m/>
    <m/>
    <n v="9760500"/>
    <s v="발주 후 선금 100% (2025년 3월초 지급 예정)"/>
    <s v="㈜지아이씨"/>
    <s v="GIC CSP24-0923-1호"/>
    <s v="계약 서명확인"/>
    <s v="선금 100%"/>
    <s v="250228 전자세금계산서"/>
    <s v="250306 지급(입금) / 매입증빙 확인"/>
    <x v="1"/>
    <s v="VAT 별도"/>
    <s v="1_BEUPSYS\5-1_업체구매요청서\1_부품구매요청서및계약서\이엔엠테크놀러지\GIC CSP24-0923-1호\제BEUP LDJ25-0206-1호"/>
  </r>
  <r>
    <d v="2025-02-03T00:00:00"/>
    <x v="12"/>
    <m/>
    <s v="BEUPSYS_KNK_25020302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이예준\제GIC CSP24-0913-1호_MSR NVR 외 11종"/>
  </r>
  <r>
    <d v="2025-02-03T00:00:00"/>
    <x v="4"/>
    <m/>
    <s v="BEUPSYS_KNK_25020301"/>
    <m/>
    <s v="MSR, MOP 테스트 및 검수"/>
    <n v="1"/>
    <d v="2025-02-28T00:00:00"/>
    <d v="2025-02-28T00:00:00"/>
    <d v="2025-02-28T00:00:00"/>
    <m/>
    <n v="2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김민석\제GIC CSP24-0913-1호_MSR NVR 외 11종"/>
  </r>
  <r>
    <d v="2025-01-24T00:00:00"/>
    <x v="6"/>
    <m/>
    <s v="제BEUP LDJ25-0124-2호"/>
    <m/>
    <s v="2025년 1월 부자재류"/>
    <n v="1"/>
    <d v="2025-02-21T00:00:00"/>
    <s v="발주 후 4주내"/>
    <d v="2025-01-24T00:00:00"/>
    <m/>
    <n v="1335200"/>
    <s v="물품납기시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파츠맨\GIC CSP24-0913-1호 NVRCTMMSR 3종생산\제BEUP LDJ25-0124-2호"/>
  </r>
  <r>
    <d v="2025-01-24T00:00:00"/>
    <x v="6"/>
    <m/>
    <s v="제BEUP LDJ25-0124-1호"/>
    <m/>
    <s v="MOP 수리자재 외"/>
    <n v="1"/>
    <d v="2025-02-21T00:00:00"/>
    <s v="발주 후 4주내"/>
    <d v="2025-01-20T00:00:00"/>
    <m/>
    <n v="1039000"/>
    <s v="물품납기시"/>
    <s v="㈜지아이씨"/>
    <s v="GIC CSP24-0913-1호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913-1호 NVRCTMMSR 3종생산\제BEUP LDJ25-0124-1호"/>
  </r>
  <r>
    <d v="2025-01-23T00:00:00"/>
    <x v="13"/>
    <m/>
    <s v="제BEUP JDS25-0122-1호"/>
    <m/>
    <s v="홍콩 MOP, CTM, MSR 환경시험"/>
    <n v="1"/>
    <d v="2025-03-06T00:00:00"/>
    <s v="발주 후 6주내"/>
    <m/>
    <m/>
    <n v="29900000"/>
    <s v="시험완료 보고서 완료시"/>
    <s v="㈜지아이씨"/>
    <s v="GIC CSP24-0524-1호"/>
    <s v="계약 서명확인"/>
    <m/>
    <m/>
    <m/>
    <x v="0"/>
    <s v="VAT 별도"/>
    <s v="1_BEUPSYS\5-1_업체구매요청서\1_부품구매요청서및계약서\티엠에스(전자파 인증관리)\240524_GIC CSP24-0524-1호_MOP외2종생산"/>
  </r>
  <r>
    <d v="2025-01-23T00:00:00"/>
    <x v="9"/>
    <m/>
    <s v="제BEUP LDJ25-0123-2호"/>
    <m/>
    <s v="NVR 수리 자재"/>
    <n v="1"/>
    <d v="2025-02-20T00:00:00"/>
    <s v="발주 후 4주내"/>
    <d v="2025-02-05T00:00:00"/>
    <m/>
    <n v="34280"/>
    <s v="물품납기시"/>
    <s v="㈜지아이씨"/>
    <s v="GIC CSP24-0913-1호"/>
    <s v="계약 서명확인"/>
    <s v="입고 확인"/>
    <s v="250205 전자세금계산서"/>
    <s v="250306 지급(입금) / 매입증빙 확인"/>
    <x v="1"/>
    <s v="VAT 별도"/>
    <s v="1_BEUPSYS\5-1_업체구매요청서\1_부품구매요청서및계약서\㈜메카전자\GIC CSP24-0913-1호 NVRCTMMSR 3종생산\NVR 수리자재"/>
  </r>
  <r>
    <d v="2025-01-23T00:00:00"/>
    <x v="5"/>
    <m/>
    <s v="제BEUP LDJ25-0123-1호"/>
    <m/>
    <s v="MOP, CTM, MSR PCB 코팅 작업 외"/>
    <n v="1"/>
    <d v="2025-02-20T00:00:00"/>
    <s v="발주 후 4주내"/>
    <d v="2025-01-23T00:00:00"/>
    <m/>
    <n v="6319200"/>
    <s v="물품납기시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0524_GIC CSP24-0524-1호_MOP외2종생산\제BEUP LDJ25-0123-1호"/>
  </r>
  <r>
    <d v="2025-01-16T00:00:00"/>
    <x v="14"/>
    <m/>
    <s v="제BEUP JDS25-0116-2호"/>
    <m/>
    <s v="품가스켓"/>
    <n v="1"/>
    <d v="2025-01-23T00:00:00"/>
    <s v="발주 후 4주내"/>
    <d v="2025-01-23T00:00:00"/>
    <m/>
    <n v="180000"/>
    <s v="물품납기시"/>
    <s v="㈜지아이씨"/>
    <s v="GIC CSP24-0524-1호"/>
    <s v="계약 서명확인"/>
    <s v="입고 확인"/>
    <s v="250123 전자세금계산서"/>
    <s v="250206 지급(입금) / 매입증빙 확인"/>
    <x v="1"/>
    <s v="VAT 별도"/>
    <s v="1_BEUPSYS\5-1_업체구매요청서\1_부품구매요청서및계약서\㈜이송이엠씨\GIC CSP24-0524-1호_MOP외2종생산\제BEUP JDS25-0116-2호"/>
  </r>
  <r>
    <d v="2025-01-16T00:00:00"/>
    <x v="0"/>
    <m/>
    <s v="제BEUP JDS25-0116-1호"/>
    <m/>
    <s v="HK MOP CTM 자재"/>
    <n v="1"/>
    <d v="2025-01-23T00:00:00"/>
    <s v="발주 후 4주내"/>
    <d v="2025-01-09T00:00:00"/>
    <m/>
    <n v="582000"/>
    <s v="물품납기시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/5-1_업체구매요청서/1_부품구매요청서및계약서/아이닉스/GIC CSP24-0524-1호_MOP외2종생산/제BEUP JDS25-0116-1호"/>
  </r>
  <r>
    <d v="2025-01-13T00:00:00"/>
    <x v="9"/>
    <m/>
    <s v="제BEUP LDJ25-0113-1호"/>
    <m/>
    <s v="HK CTM 보드 PCB 외"/>
    <n v="80"/>
    <d v="2025-01-27T00:00:00"/>
    <s v="발주 후 2주내"/>
    <d v="2025-02-24T00:00:00"/>
    <m/>
    <n v="13088000"/>
    <s v="물품납기시"/>
    <s v="㈜지아이씨"/>
    <s v="GIC CSP24-0913-1호"/>
    <s v="계약 서명확인"/>
    <s v="입고 확인"/>
    <s v="250225 전자세금계산서"/>
    <s v="250306 지급(입금) / 매입증빙 확인"/>
    <x v="1"/>
    <s v="VAT 별도"/>
    <s v="1_BEUPSYS\5-1_업체구매요청서\1_부품구매요청서및계약서\㈜메카전자\GIC CSP24-0913-1호_CTM 생산"/>
  </r>
  <r>
    <d v="2025-01-09T00:00:00"/>
    <x v="5"/>
    <m/>
    <s v="제BEUP LDJ25-0109-2호"/>
    <m/>
    <s v="HK MOP SUB 보드 제작 SMT 작업"/>
    <n v="1"/>
    <d v="2025-02-06T00:00:00"/>
    <s v="발주 후 4주내"/>
    <d v="2025-01-23T00:00:00"/>
    <m/>
    <n v="1048000"/>
    <s v="물품납기시"/>
    <s v="㈜지아이씨"/>
    <s v="GIC CSP24-0524-2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아이리코(I RICCO)\241016_GIC CSP24-0524-2호_PSR-Hub외9종생산\2025-1 구매 진행"/>
  </r>
  <r>
    <d v="2025-01-09T00:00:00"/>
    <x v="6"/>
    <s v="-"/>
    <s v="제BEUP LDJ25-0109-1호"/>
    <m/>
    <s v="HK MOP SUB 보드 제작 사급자재 외"/>
    <n v="1"/>
    <d v="2025-01-23T00:00:00"/>
    <s v="발주 후 2주내"/>
    <d v="2025-01-20T00:00:00"/>
    <m/>
    <n v="2356000"/>
    <s v="물품납기시"/>
    <s v="㈜지아이씨"/>
    <s v="GIC CSP24-0524-2호"/>
    <s v="계약 서명확인"/>
    <s v="입고 확인"/>
    <s v="250120 전자세금계산서"/>
    <s v="250206 지급(입금) / 매입증빙 확인"/>
    <x v="1"/>
    <s v="VAT 별도"/>
    <s v="1_BEUPSYS\5-1_업체구매요청서\1_부품구매요청서및계약서\파츠맨\GIC CSP24-0524-2호_PSR-Hub외9종생산\2025-1 구매 진행"/>
  </r>
  <r>
    <d v="2025-01-02T00:00:00"/>
    <x v="15"/>
    <s v="DST20250102-2BN"/>
    <s v="제BEUP JDS25-0102-2호"/>
    <m/>
    <s v="Development Tool"/>
    <n v="1"/>
    <d v="2025-01-16T00:00:00"/>
    <m/>
    <d v="2025-01-20T00:00:00"/>
    <m/>
    <n v="3300000"/>
    <s v="선금 100%"/>
    <s v="㈜지아이씨"/>
    <s v="GIC CSP24-0923-1호"/>
    <s v="계약 서명확인"/>
    <s v="입고 확인"/>
    <s v="250103 전자세금계산서"/>
    <s v="250103 지급(입금) / 매입증빙 확인"/>
    <x v="1"/>
    <s v="VAT 별도"/>
    <s v="1_BEUPSYS/5-1_업체구매요청서/1_부품구매요청서및계약서/디에스테크놀로지/240923_GIC CSP24-0923-1호_MSR PWR Board for MSR외 10종"/>
  </r>
  <r>
    <d v="2025-01-02T00:00:00"/>
    <x v="16"/>
    <s v="TD2024129472865"/>
    <s v="제BEUP JDS25-0102-1호"/>
    <m/>
    <s v="HUMISEAL PCB 코팅 용액"/>
    <n v="2"/>
    <d v="2025-01-02T00:00:00"/>
    <m/>
    <d v="2025-01-02T00:00:00"/>
    <m/>
    <n v="368000"/>
    <s v="제작완료시 지급"/>
    <s v="㈜지아이씨"/>
    <s v="GIC CSP24-0923-1호"/>
    <s v="계약 서명확인"/>
    <s v="입고 확인"/>
    <s v="250102 전자세금계산서"/>
    <s v="250121 지급(입금) / 매입증빙 확인"/>
    <x v="1"/>
    <s v="VAT 별도"/>
    <s v="1_BEUPSYS/5-1_업체구매요청서/1_부품구매요청서및계약서/우석케미칼/240923_GIC CSP24-0923-1호_MSR PWR Board for MSR외 10종"/>
  </r>
  <r>
    <d v="2024-12-27T00:00:00"/>
    <x v="5"/>
    <m/>
    <s v="제BEUP JDS24-1227-1호"/>
    <m/>
    <s v="PCB코팅(MOP_MSR)"/>
    <n v="680"/>
    <d v="2024-12-31T00:00:00"/>
    <m/>
    <d v="2024-12-31T00:00:00"/>
    <m/>
    <n v="6898800"/>
    <s v="제작완료시 지급"/>
    <s v="㈜지아이씨"/>
    <s v="GIC CSP24-0923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리코(I RICCO)/240923_GIC CSP24-0923-1호_MSR PWR Board for MSR외 10종/제BEUP JDS24-1227-1호_홍콩보드코팅_아이리코"/>
  </r>
  <r>
    <d v="2024-12-27T00:00:00"/>
    <x v="17"/>
    <s v="TS241227-10"/>
    <s v="제BEUP KNK24-1227-1호"/>
    <m/>
    <s v="HK-MOP-SUB-A1. PCB생산"/>
    <n v="70"/>
    <d v="2025-01-24T00:00:00"/>
    <m/>
    <d v="2025-01-09T00:00:00"/>
    <m/>
    <n v="270000"/>
    <s v="납품 후 100% 지불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태신전자\GIC CSP24-0913-1호 NVRCTMMSR 3종생산\3_MOPSUB추가생산"/>
  </r>
  <r>
    <d v="2024-12-26T00:00:00"/>
    <x v="6"/>
    <s v="PQ-24122401"/>
    <s v="제BEUP KNK24-1226-1호"/>
    <m/>
    <s v="CTM부품자재(추가)"/>
    <n v="1"/>
    <d v="2025-01-05T00:00:00"/>
    <m/>
    <d v="2024-12-26T00:00:00"/>
    <m/>
    <n v="71860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c"/>
  </r>
  <r>
    <d v="2024-12-26T00:00:00"/>
    <x v="6"/>
    <s v="PQ-24122403"/>
    <s v="제BEUP KNK24-1226-2호"/>
    <m/>
    <s v="12월부자재비용"/>
    <n v="1"/>
    <d v="2025-01-05T00:00:00"/>
    <m/>
    <d v="2024-12-26T00:00:00"/>
    <m/>
    <n v="1304260"/>
    <s v="물품납기시"/>
    <s v="㈜지아이씨"/>
    <s v="GIC CSP24-0913-1호"/>
    <s v="계약 서명확인"/>
    <s v="입고 확인"/>
    <s v="241226 전자세금계산서"/>
    <s v="241231 지급(입금) / 매입증빙 확인"/>
    <x v="1"/>
    <s v="VAT 별도"/>
    <s v="1_BEUPSYS\5-1_업체구매요청서\1_부품구매요청서및계약서\파츠맨\GIC CSP24-0913-1호 NVRCTMMSR 3종생산\12월부자재-서명완료지급필요_1304260"/>
  </r>
  <r>
    <d v="2024-12-24T00:00:00"/>
    <x v="9"/>
    <m/>
    <s v="제BEUP KNK24-1216-1호"/>
    <m/>
    <s v="SSD보드생산"/>
    <n v="110"/>
    <d v="2025-01-08T00:00:00"/>
    <m/>
    <d v="2024-12-20T00:00:00"/>
    <m/>
    <n v="1300000"/>
    <s v="물품납기시"/>
    <s v="㈜지아이씨"/>
    <s v="GIC CSP24-0913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㈜메카전자\GIC CSP24-0913-1호 NVRCTMMSR 3종생산\MSR-SSD_조립생산"/>
  </r>
  <r>
    <d v="2024-12-24T00:00:00"/>
    <x v="9"/>
    <m/>
    <s v="제BEUP KNK24-1212-1호"/>
    <m/>
    <s v="NVR보드생산 "/>
    <n v="70"/>
    <d v="2025-01-08T00:00:00"/>
    <m/>
    <d v="2025-01-16T00:00:00"/>
    <m/>
    <n v="6209000"/>
    <s v="물품납기시"/>
    <s v="㈜지아이씨"/>
    <s v="GIC CSP24-0913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㈜메카전자\GIC CSP24-0913-1호 NVRCTMMSR 3종생산\NVR생산"/>
  </r>
  <r>
    <d v="2024-12-24T00:00:00"/>
    <x v="9"/>
    <m/>
    <s v="제BEUP KNK24-1218-1호"/>
    <m/>
    <s v="MOPLCD 보드생산"/>
    <n v="70"/>
    <d v="2025-01-08T00:00:00"/>
    <m/>
    <d v="2024-12-30T00:00:00"/>
    <m/>
    <n v="3010000"/>
    <s v="물품납기시"/>
    <s v="㈜지아이씨"/>
    <s v="GIC CSP24-0913-1호"/>
    <s v="계약 서명확인"/>
    <s v="입고 확인"/>
    <s v="241230 전자세금계산서"/>
    <s v="241231 지급(입금) / 매입증빙 확인"/>
    <x v="1"/>
    <s v="VAT 별도"/>
    <s v="1_BEUPSYS\5-1_업체구매요청서\1_부품구매요청서및계약서\㈜메카전자\GIC CSP24-0913-1호 NVRCTMMSR 3종생산\MOPLCD"/>
  </r>
  <r>
    <d v="2024-12-20T00:00:00"/>
    <x v="8"/>
    <m/>
    <s v="제BEUPSYS KNK24-1220"/>
    <n v="1"/>
    <s v="MOP 하드웨어 생산관련 테스트 및 업데이트"/>
    <n v="1"/>
    <d v="2025-02-28T00:00:00"/>
    <d v="2025-02-28T00:00:00"/>
    <d v="2025-02-28T00:00:00"/>
    <m/>
    <n v="5000000"/>
    <s v="2025-3-5 (사업소득세 3.3% 공제)"/>
    <s v="㈜지아이씨"/>
    <s v="GIC CSP24-0913-1호"/>
    <s v="계약 서명확인"/>
    <s v="업무 완료"/>
    <s v="전자세금계산서 미수취 / 프리렌서계약"/>
    <s v="250306 지급(입금) / 매입증빙 확인"/>
    <x v="1"/>
    <s v="사업소득세 3.3% 공제"/>
    <s v="1_BEUPSYS\5-1_업체구매요청서\1_부품구매요청서및계약서\프리렌서계약_김재현\제GIC CSP24-0913-1호_MSR NVR 외 11종"/>
  </r>
  <r>
    <d v="2024-12-19T00:00:00"/>
    <x v="5"/>
    <s v="확인불가"/>
    <s v="제BEUP JDS24-1219-1호"/>
    <n v="1"/>
    <s v="PCB 코팅 및 접지케이블"/>
    <n v="210"/>
    <d v="2025-01-16T00:00:00"/>
    <m/>
    <d v="2024-12-19T00:00:00"/>
    <m/>
    <n v="320000"/>
    <s v="제작완료시 지급"/>
    <s v="㈜지아이씨"/>
    <s v="GIC CSP24-0524-1호"/>
    <s v="계약 서명확인"/>
    <s v="입고 확인"/>
    <s v="241220 전자세금계산서"/>
    <s v="241231 지급(입금) / 매입증빙 확인"/>
    <x v="1"/>
    <s v="VAT 별도"/>
    <s v="1_BEUPSYS\5-1_업체구매요청서\1_부품구매요청서및계약서\아이리코(I RICCO)\240524_GIC CSP24-0524-1호_MOP외2종생산\제BEUP JDS24-1219-1호"/>
  </r>
  <r>
    <d v="2024-12-19T00:00:00"/>
    <x v="14"/>
    <s v="ES20241217-06"/>
    <s v="제BEUP JDS24-1218-1호"/>
    <n v="1"/>
    <s v="품가스켓"/>
    <n v="100"/>
    <d v="2025-01-16T00:00:00"/>
    <m/>
    <d v="2025-01-02T00:00:00"/>
    <m/>
    <n v="180000"/>
    <s v="납품 후 지급"/>
    <s v="㈜지아이씨"/>
    <s v="GIC CSP24-0524-1호"/>
    <s v="계약 서명확인"/>
    <s v="입고 확인"/>
    <s v="250102 전자세금계산서"/>
    <s v="250121 지급(입금) / 매입증빙 확인"/>
    <x v="1"/>
    <s v="VAT 별도"/>
    <s v="1_BEUPSYS\5-1_업체구매요청서\1_부품구매요청서및계약서\㈜이송이엠씨\GIC CSP24-0524-1호_MOP외2종생산"/>
  </r>
  <r>
    <d v="2024-12-18T00:00:00"/>
    <x v="18"/>
    <s v="024002"/>
    <s v="제BEUP JDS24-1218-2호"/>
    <n v="1"/>
    <s v="EPDM SEALING FOAM"/>
    <n v="300"/>
    <d v="2025-01-15T00:00:00"/>
    <m/>
    <d v="2024-12-18T00:00:00"/>
    <m/>
    <n v="270000"/>
    <s v="납품 후 지급"/>
    <s v="㈜지아이씨"/>
    <s v="GIC CSP24-0524-1호"/>
    <s v="계약 서명확인"/>
    <s v="입고 확인"/>
    <s v="241231 전자세금계산서"/>
    <s v="250121 지급(입금) / 매입증빙 확인"/>
    <x v="1"/>
    <s v="VAT 별도"/>
    <s v="1_BEUPSYS\5-1_업체구매요청서\1_부품구매요청서및계약서\㈜화인테크폴리머\GIC CSP24-0524-1호_MOP외2종생산"/>
  </r>
  <r>
    <d v="2024-12-16T00:00:00"/>
    <x v="0"/>
    <s v="INQUT2412-013"/>
    <s v="제BEUP JDS24-1216-1호"/>
    <n v="1"/>
    <s v="Wire,0.5 mm²,328ft"/>
    <n v="400"/>
    <d v="2025-01-13T00:00:00"/>
    <s v="발주 후 6주내"/>
    <d v="2024-12-13T00:00:00"/>
    <m/>
    <n v="1080000"/>
    <s v="납품 후 지급"/>
    <s v="㈜지아이씨"/>
    <s v="GIC CSP24-0524-1호"/>
    <s v="계약 서명확인"/>
    <s v="입고 확인"/>
    <s v="241231 전자세금계산서"/>
    <s v="250103 지급(입금) / 매입증빙 확인"/>
    <x v="1"/>
    <s v="VAT 별도"/>
    <s v="1_BEUPSYS/5-1_업체구매요청서/1_부품구매요청서및계약서/아이닉스/GIC CSP24-0524-1호_MOP외2종생산"/>
  </r>
  <r>
    <d v="2024-12-13T00:00:00"/>
    <x v="5"/>
    <s v="확인불가"/>
    <s v="제BEUP JDS24-1212-1호"/>
    <n v="1"/>
    <s v="PCB코팅 및 케이블 작업"/>
    <n v="1"/>
    <d v="2025-01-10T00:00:00"/>
    <s v="발주 후 4주내"/>
    <d v="2024-11-29T00:00:00"/>
    <m/>
    <n v="536000"/>
    <s v="제작완료시 지급"/>
    <s v="㈜지아이씨"/>
    <s v="GIC CSP24-0524-1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아이리코/240524_GIC CSP24-0524-1호_MOP외2종생산"/>
  </r>
  <r>
    <d v="2024-12-11T00:00:00"/>
    <x v="19"/>
    <m/>
    <s v="제BEUP KNK24-1211-1호"/>
    <n v="1"/>
    <s v="CSC/운행기록장치 소프트웨어 개발"/>
    <n v="1"/>
    <d v="2025-02-28T00:00:00"/>
    <m/>
    <m/>
    <m/>
    <n v="3000000"/>
    <s v="잔금 50% : ₩3,000,000(사업소득세 3.3% 공제)"/>
    <s v="㈜다원시스 "/>
    <s v="DWE-2024-JUN-11-001_7호선3차분TCMS개조"/>
    <s v="계약 서명확인"/>
    <m/>
    <m/>
    <m/>
    <x v="0"/>
    <s v="사업소득세 3.3% 공제"/>
    <s v="1_BEUPSYS\5-1_업체구매요청서\1_부품구매요청서및계약서\프리렌서계약_박진호\DWE-2024-JUN-11-001_7호선3차분TCMS개조"/>
  </r>
  <r>
    <d v="2024-12-11T00:00:00"/>
    <x v="19"/>
    <m/>
    <s v="제BEUP KNK24-1211-1호"/>
    <n v="1"/>
    <s v="CSC/운행기록장치 소프트웨어 개발"/>
    <n v="1"/>
    <d v="2025-02-28T00:00:00"/>
    <m/>
    <m/>
    <m/>
    <n v="3000000"/>
    <s v="초도금 50% : ₩3,000,000(사업소득세 3.3% 공제)"/>
    <s v="㈜다원시스 "/>
    <s v="DWE-2024-JUN-11-001_7호선3차분TCMS개조"/>
    <s v="계약 서명확인"/>
    <s v="업무 착수"/>
    <s v="전자세금계산서 미수취 / 프리렌서계약"/>
    <s v="(초도금) 241220 지급(입금) / 매입증빙 확인"/>
    <x v="1"/>
    <s v="사업소득세 3.3% 공제"/>
    <s v="1_BEUPSYS\5-1_업체구매요청서\1_부품구매요청서및계약서\프리렌서계약_박진호\DWE-2024-JUN-11-001_7호선3차분TCMS개조"/>
  </r>
  <r>
    <d v="2024-12-03T00:00:00"/>
    <x v="6"/>
    <s v="PQ-24120301"/>
    <s v="제BEUP KNK24-1203-1호"/>
    <m/>
    <s v="SSD부품비"/>
    <n v="110"/>
    <d v="2024-12-13T00:00:00"/>
    <m/>
    <d v="2024-12-15T00:00:00"/>
    <m/>
    <n v="1575350"/>
    <s v="물품납기시"/>
    <s v="㈜지아이씨"/>
    <s v="GIC CSP24-0913-1호"/>
    <s v="계약 서명"/>
    <s v="입고 확인"/>
    <s v="241216 전자세금계산서"/>
    <s v="241231 지급(입금) / 매입증빙 확인"/>
    <x v="1"/>
    <s v="VAT 별도"/>
    <s v="1_BEUPSYS\5-1_업체구매요청서\1_부품구매요청서및계약서\파츠맨\GIC CSP24-0913-1호 NVRCTMMSR 3종생산\SSD-서명완료지급필요_1,575,350"/>
  </r>
  <r>
    <d v="2024-11-25T00:00:00"/>
    <x v="6"/>
    <s v="PQ-24112501"/>
    <s v="제BEUP KNK24-1125-1호"/>
    <n v="1"/>
    <s v="11월부자재구매"/>
    <n v="1"/>
    <m/>
    <m/>
    <d v="2024-11-27T00:00:00"/>
    <m/>
    <n v="189819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11월자재비용"/>
  </r>
  <r>
    <d v="2024-11-12T00:00:00"/>
    <x v="6"/>
    <s v="PQ-24111202"/>
    <s v="제BEUP KNK24-1112-2호"/>
    <n v="1"/>
    <s v="NVR/CTM 추가자재"/>
    <n v="1"/>
    <m/>
    <m/>
    <d v="2024-11-20T00:00:00"/>
    <m/>
    <n v="48050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NVRCTM추가자재"/>
  </r>
  <r>
    <d v="2024-11-12T00:00:00"/>
    <x v="6"/>
    <s v="PQ-24111201"/>
    <s v="제BEUP KNK24-1112-1호"/>
    <n v="1"/>
    <s v="PBX수리추가 부품"/>
    <n v="1"/>
    <m/>
    <m/>
    <d v="2024-11-20T00:00:00"/>
    <m/>
    <n v="78826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PBX추가자재(수리용)"/>
  </r>
  <r>
    <d v="2024-11-05T00:00:00"/>
    <x v="6"/>
    <s v="PQ-24103101"/>
    <s v="제BEUP KNK24-1105-1호"/>
    <n v="1"/>
    <s v="MOPLCD 자재"/>
    <n v="1"/>
    <m/>
    <m/>
    <d v="2024-11-15T00:00:00"/>
    <m/>
    <n v="2922850"/>
    <s v="물품납기시"/>
    <s v="㈜지아이씨"/>
    <s v="GIC CSP24-0913-1호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13-1호 NVRCTMMSR 3종생산\MOPLCD"/>
  </r>
  <r>
    <d v="2024-11-02T00:00:00"/>
    <x v="6"/>
    <s v="확인불가"/>
    <s v="제BEUP KNK24-1102-2호"/>
    <n v="1"/>
    <s v="MOP추가부품"/>
    <n v="1"/>
    <m/>
    <m/>
    <d v="2024-11-05T00:00:00"/>
    <m/>
    <n v="406550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MOP추가생산"/>
  </r>
  <r>
    <d v="2024-11-02T00:00:00"/>
    <x v="6"/>
    <s v="PQ-24103101"/>
    <s v="제BEUP KNK24-1102-1호"/>
    <n v="1"/>
    <s v="VOIP모듈추가구매"/>
    <n v="1"/>
    <m/>
    <m/>
    <d v="2024-11-05T00:00:00"/>
    <m/>
    <n v="1873650"/>
    <s v="물품납기시"/>
    <s v="㈜지아이씨"/>
    <s v="GIC CSP24-0923-1호 추가PCB공급건"/>
    <s v="계약 서명확인"/>
    <s v="입고 확인 "/>
    <s v="241202 전자세금계산서"/>
    <s v="241216 지급(입금) / 매입증빙 확인"/>
    <x v="1"/>
    <s v="VAT 별도"/>
    <s v="1_BEUPSYS\5-1_업체구매요청서\1_부품구매요청서및계약서\파츠맨\GIC CSP24-0923-1호 추가PCB공급건\VOIPMODULE추가생산"/>
  </r>
  <r>
    <d v="2024-11-06T00:00:00"/>
    <x v="1"/>
    <s v="2401106-02"/>
    <s v="제BEUP JDS24-1106-1호"/>
    <n v="1"/>
    <s v="PAB"/>
    <n v="55"/>
    <d v="2024-11-20T00:00:00"/>
    <s v="발주 후 2주내"/>
    <d v="2024-11-13T00:00:00"/>
    <m/>
    <n v="330000"/>
    <s v="제작완료시 지급"/>
    <s v="㈜지아이씨"/>
    <s v="GIC CSP24-0524-1호"/>
    <s v="계약 서명확인"/>
    <s v="입고 확인"/>
    <s v="241113 전자세금계산서"/>
    <s v="241129 지급(입금) / 매입증빙 확인"/>
    <x v="1"/>
    <s v="VAT 별도"/>
    <s v="1_BEUPSYS\5-1_업체구매요청서\1_부품구매요청서및계약서\㈜세일엔지니어링\241104_GIC CSP24-0524-1호_MOP외2종"/>
  </r>
  <r>
    <d v="2024-11-01T00:00:00"/>
    <x v="6"/>
    <s v="확인불가"/>
    <s v="제BEUP KNK24-1101-2호"/>
    <n v="1"/>
    <s v="스큐류외"/>
    <n v="1"/>
    <d v="2024-11-11T00:00:00"/>
    <s v="발주 후 10일"/>
    <d v="2024-10-31T00:00:00"/>
    <m/>
    <n v="761100"/>
    <s v="물품납기시"/>
    <s v="㈜지아이씨"/>
    <s v="GIC CSP24-092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23-1호 추가PCB공급건\10월자재진행"/>
  </r>
  <r>
    <d v="2024-11-01T00:00:00"/>
    <x v="9"/>
    <s v="확인불가"/>
    <s v="제BEUP KNK24-1101-1호"/>
    <n v="1"/>
    <s v="PCB외"/>
    <n v="1"/>
    <d v="2024-11-16T00:00:00"/>
    <s v="발주 후 15일"/>
    <d v="2024-11-04T00:00:00"/>
    <m/>
    <n v="6675000"/>
    <s v="물품납기시"/>
    <s v="㈜지아이씨"/>
    <s v="GIC CSP24-0913-1호"/>
    <s v="계약 서명확인"/>
    <s v="입고 확인"/>
    <s v="241106 전자세금계산서"/>
    <s v="241108 지급(입금) / 매입증빙 확인"/>
    <x v="1"/>
    <s v="VAT 별도"/>
    <s v="1_BEUPSYS\5-1_업체구매요청서\1_부품구매요청서및계약서\㈜메카전자\GIC CSP24-0913-1호 NVRCTMMSR 3종생산"/>
  </r>
  <r>
    <d v="2024-10-30T00:00:00"/>
    <x v="5"/>
    <s v="확인불가"/>
    <s v="제BEUP JDS24-1023-1호"/>
    <n v="1"/>
    <s v="HK향 PCB코팅 10종"/>
    <n v="200"/>
    <d v="2024-11-27T00:00:00"/>
    <s v="발주 후 4주내"/>
    <s v="확인불가"/>
    <m/>
    <n v="8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23_BEUP JDS24-1023-1호_M12컨넥터 배선작업"/>
  </r>
  <r>
    <d v="2024-10-29T00:00:00"/>
    <x v="17"/>
    <s v="TS241021-10"/>
    <s v="제BEUP KNK24-1029-1호"/>
    <n v="1"/>
    <s v="SSD PCB제작"/>
    <n v="110"/>
    <d v="2024-11-26T00:00:00"/>
    <s v="발주 후 4주내"/>
    <d v="2024-11-12T00:00:00"/>
    <m/>
    <n v="1463000"/>
    <s v="납품 후 100% 지불"/>
    <s v="㈜지아이씨"/>
    <s v="GIC CSP24-0913-1호"/>
    <s v="계약 서명확인"/>
    <s v="입고 확인"/>
    <s v="241112 전자세금계산서"/>
    <s v="241220 지급(입금) / 매입증빙 확인"/>
    <x v="1"/>
    <s v="VAT 별도"/>
    <s v="1_BEUPSYS\5-1_업체구매요청서\1_부품구매요청서및계약서\(주)태신전자\GIC CSP24-0913-1호 NVRCTMMSR 3종생산\2_SSD"/>
  </r>
  <r>
    <d v="2024-10-24T00:00:00"/>
    <x v="20"/>
    <s v="00994"/>
    <s v="제BEUP KNK24-1024-1호"/>
    <n v="1"/>
    <s v="PCB아트웍/조립비"/>
    <n v="1"/>
    <d v="2024-11-21T00:00:00"/>
    <s v="발주 후 4주내"/>
    <d v="2024-11-01T00:00:00"/>
    <m/>
    <n v="4090000"/>
    <s v="납품 후 100% 지불"/>
    <s v="㈜지아이씨"/>
    <s v="GIC CSP24-0524-1호"/>
    <s v="계약 서명확인"/>
    <s v="입고 확인"/>
    <s v="241105 전자세금계산서"/>
    <s v="241108 지급(입금) / 매입증빙 확인"/>
    <x v="1"/>
    <s v="VAT 별도"/>
    <s v="1_BEUPSYS\5-1_업체구매요청서\1_부품구매요청서및계약서\캐드존\240524_GIC CSP24-0524-1호_MOP외2종생산"/>
  </r>
  <r>
    <d v="2024-10-21T00:00:00"/>
    <x v="21"/>
    <s v="견24-10-15"/>
    <s v="제BEUP KNK24-1021-1호"/>
    <n v="1"/>
    <s v="5종 PCB제작"/>
    <n v="1"/>
    <d v="2025-03-10T00:00:00"/>
    <s v="발주 후 20주내"/>
    <d v="2024-12-12T00:00:00"/>
    <m/>
    <n v="15006000"/>
    <s v="납품 후 100% 현금지급"/>
    <s v="㈜지아이씨"/>
    <s v="GIC CSP24-0913-1호 NVRCTMMSR 3종생산"/>
    <s v="계약 서명확인"/>
    <s v="입고 확인"/>
    <s v="241218 전자세금계산서"/>
    <s v="241220 지급(입금) / 매입증빙 확인"/>
    <x v="1"/>
    <s v="VAT 별도"/>
    <s v="1_BEUPSYS\5-1_업체구매요청서\1_부품구매요청서및계약서\일성\GIC CSP24-0913-1호 NVRCTMMSR 3종생산"/>
  </r>
  <r>
    <d v="2024-10-18T00:00:00"/>
    <x v="22"/>
    <m/>
    <s v="제BEUP JDS24-1018-2호"/>
    <n v="1"/>
    <s v="이더넷스위치"/>
    <n v="1"/>
    <d v="2024-11-15T00:00:00"/>
    <s v="발주 후 4주내"/>
    <d v="2024-10-22T00:00:00"/>
    <m/>
    <n v="1900000"/>
    <s v="납품 후 지급"/>
    <s v="㈜지아이씨"/>
    <s v="GIC CSP24-0923-1호"/>
    <s v="계약 서명확인"/>
    <s v="입고 확인"/>
    <s v="241022 전자세금계산서"/>
    <s v="241113 지급(입금) / 매입증빙 확인"/>
    <x v="1"/>
    <s v="VAT 별도"/>
    <s v="1_BEUPSYS\5-1_업체구매요청서\1_부품구매요청서및계약서\㈜엔에스티정보통신\GIC CSP24-0923-1호_MSR PWR Board for MSR외 10종\제BEUP JDS24-1018-2호"/>
  </r>
  <r>
    <d v="2024-10-18T00:00:00"/>
    <x v="5"/>
    <s v="확인불가"/>
    <s v="제BEUP JDS24-1018-1호"/>
    <n v="1"/>
    <s v="PAB"/>
    <n v="50"/>
    <d v="2024-11-01T00:00:00"/>
    <s v="발주 후 2주내"/>
    <s v="확인불가"/>
    <m/>
    <n v="2500000"/>
    <s v="제작완료시 지급"/>
    <s v="㈜지아이씨"/>
    <s v="GIC CSP24-0409-1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0409_GIC CSP24-0409-1호_PAB외4종생산\241018_BEUP JDS24-1018-1_PAB 배선작업"/>
  </r>
  <r>
    <d v="2024-10-17T00:00:00"/>
    <x v="0"/>
    <s v="INQUT2410-010"/>
    <s v="제BEUP JDS24-1016-1호"/>
    <n v="1"/>
    <s v="M12 D-CD FEMALE 4PIN CONNECTOR"/>
    <n v="300"/>
    <d v="2024-11-28T00:00:00"/>
    <s v="발주 후 6주내"/>
    <d v="2024-11-14T00:00:00"/>
    <m/>
    <n v="7277250"/>
    <s v="납품 후 지급"/>
    <s v="㈜지아이씨"/>
    <s v="GIC CSP24-0923-1호"/>
    <s v="계약 서명확인"/>
    <s v="입고 확인"/>
    <s v="241130 전자세금계산서"/>
    <s v="241220 지급(입금) / 매입증빙 확인"/>
    <x v="1"/>
    <s v="VAT 별도"/>
    <s v="1_BEUPSYS/5-1_업체구매요청서/1_부품구매요청서및계약서/아이닉스/GIC CSP24-0923-1호_MSR PWR Board for MSR외 10종"/>
  </r>
  <r>
    <d v="2024-10-15T00:00:00"/>
    <x v="17"/>
    <s v="TS241008-10"/>
    <s v="제BEUP KNK24-1015-1호"/>
    <n v="1"/>
    <s v="HUB"/>
    <n v="110"/>
    <d v="2024-11-12T00:00:00"/>
    <s v="발주 후 4주내"/>
    <s v="확인불가"/>
    <m/>
    <n v="192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7"/>
    <s v="TS241008-10"/>
    <s v="제BEUP KNK24-1015-1호"/>
    <n v="2"/>
    <s v="TCIU"/>
    <n v="65"/>
    <d v="2024-11-12T00:00:00"/>
    <s v="발주 후 4주내"/>
    <s v="확인불가"/>
    <m/>
    <n v="1137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7"/>
    <s v="TS241008-10"/>
    <s v="제BEUP KNK24-1015-1호"/>
    <n v="3"/>
    <s v="MTX"/>
    <n v="75"/>
    <d v="2024-11-12T00:00:00"/>
    <s v="발주 후 4주내"/>
    <s v="확인불가"/>
    <m/>
    <n v="1035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7"/>
    <s v="TS241008-10"/>
    <s v="제BEUP KNK24-1015-1호"/>
    <n v="4"/>
    <s v="MOP"/>
    <n v="50"/>
    <d v="2024-11-12T00:00:00"/>
    <s v="발주 후 4주내"/>
    <s v="확인불가"/>
    <m/>
    <n v="3125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7"/>
    <s v="TS241008-10"/>
    <s v="제BEUP KNK24-1015-1호"/>
    <n v="5"/>
    <s v="MOP-SUB"/>
    <n v="50"/>
    <d v="2024-11-12T00:00:00"/>
    <s v="발주 후 4주내"/>
    <s v="확인불가"/>
    <m/>
    <n v="2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15T00:00:00"/>
    <x v="17"/>
    <s v="TS241008-10"/>
    <s v="제BEUP KNK24-1015-1호"/>
    <n v="6"/>
    <s v="VOIP MODULE"/>
    <n v="50"/>
    <d v="2024-11-12T00:00:00"/>
    <s v="발주 후 4주내"/>
    <s v="확인불가"/>
    <m/>
    <n v="450000"/>
    <s v="납품 후 100% 지불"/>
    <s v="㈜지아이씨"/>
    <s v="GIC CSP24-0913-1호"/>
    <s v="계약 서명확인"/>
    <s v="입고 확인"/>
    <s v="241029 전자세금계산서"/>
    <s v="241104 지급(입금) / 매입증빙 확인"/>
    <x v="1"/>
    <s v="VAT 별도"/>
    <s v="1_BEUPSYS\5-1_업체구매요청서\1_부품구매요청서및계약서\㈜태신전자\GIC CSP24-0913-1호 NVRCTMMSR 3종생산\1_MTX_TCIU_HUB_MOP"/>
  </r>
  <r>
    <d v="2024-10-08T00:00:00"/>
    <x v="6"/>
    <s v="확인불가"/>
    <s v="제BEUP KNK24-1008-1호"/>
    <n v="1"/>
    <s v="CTM부품자재"/>
    <n v="1"/>
    <d v="2024-10-18T00:00:00"/>
    <s v="발주 후 10일"/>
    <m/>
    <m/>
    <n v="16832480"/>
    <s v="물품납기시"/>
    <s v="㈜지아이씨"/>
    <s v="GIC CSP24-0913-1호"/>
    <s v="계약 서명확인"/>
    <s v="입고 확인"/>
    <s v="241030 전자세금계산서"/>
    <s v="241104 지급(입금) / 매입증빙 확인"/>
    <x v="1"/>
    <s v="VAT 별도"/>
    <s v="1_BEUPSYS\5-1_업체구매요청서\1_부품구매요청서및계약서\파츠맨\GIC CSP24-0913-1호 NVRCTMMSR 3종생산\CTM"/>
  </r>
  <r>
    <d v="2024-10-08T00:00:00"/>
    <x v="23"/>
    <s v="UKS-2K2410071-A"/>
    <s v="제BEUP JDS24-1007-3호"/>
    <n v="1"/>
    <s v="홍콩예비품 6종 Front_Panel"/>
    <n v="1"/>
    <d v="2024-11-05T00:00:00"/>
    <s v="발주 후 4주내"/>
    <d v="2024-10-21T00:00:00"/>
    <m/>
    <n v="1970000"/>
    <s v="납품 후 지급"/>
    <s v="㈜지아이씨"/>
    <s v="GIC CSP24-0923-1호"/>
    <s v="계약 서명확인"/>
    <s v="입고 확인"/>
    <s v="241021 전자세금계산서 / 금액 차이(\20,000) 확인 필요"/>
    <s v="241113 지급(입금) / 매입증빙 확인"/>
    <x v="1"/>
    <s v="VAT 별도"/>
    <s v="1_BEUPSYS\5-1_업체구매요청서\1_부품구매요청서및계약서\㈜유에스케이\GIC CSP24-0524-2호_PSR-Hub외9종생산\6종_Front Panel"/>
  </r>
  <r>
    <d v="2024-10-08T00:00:00"/>
    <x v="24"/>
    <s v="EGPO-1301-AG"/>
    <s v="제BEUP JDS24-1007-2호"/>
    <n v="3"/>
    <s v="홍콩예비품 파워 3종"/>
    <n v="45"/>
    <d v="2024-12-17T00:00:00"/>
    <m/>
    <d v="2024-12-12T00:00:00"/>
    <m/>
    <n v="5475000"/>
    <s v="납품 후 지급"/>
    <s v="㈜지아이씨"/>
    <s v="GIC CSP24-0524-2호"/>
    <s v="계약 서명확인"/>
    <s v="입고 확인"/>
    <s v="241213 전자세금계산서"/>
    <s v="241220 지급(입금) / 매입증빙 확인"/>
    <x v="1"/>
    <s v="VAT 별도"/>
    <s v="1_BEUPSYS/5-1_업체구매요청서/1_부품구매요청서및계약서/이지파워/GIC CSP24-0524-2호_PSR-Hub외9종생산/제BEUP JDS24-1007-2호"/>
  </r>
  <r>
    <d v="2024-10-08T00:00:00"/>
    <x v="5"/>
    <s v="확인불가"/>
    <s v="제BEUP JDS24-1007-1호"/>
    <n v="1"/>
    <s v="HK향 PCB코팅 10종"/>
    <n v="103"/>
    <d v="2024-11-05T00:00:00"/>
    <s v="발주 후 4주내"/>
    <s v="확인불가"/>
    <m/>
    <n v="400000"/>
    <s v="제작완료시 지급"/>
    <s v="㈜지아이씨"/>
    <s v="GIC CSP24-0524-2호"/>
    <s v="계약 서명확인"/>
    <s v="입고 확인"/>
    <s v="241031 전자세금계산서 / 10월 3건 통합"/>
    <s v="241108 지급(입금) / 매입증빙 확인"/>
    <x v="1"/>
    <s v="VAT 별도"/>
    <s v="1_BEUPSYS\5-1_업체구매요청서\1_부품구매요청서및계약서\아이리코(I RICCO)\241016_GIC CSP24-0524-2호_PSR-Hub외9종생산\241004_BEUP JDS24-1007-1호_M12컨넥터 배선작업"/>
  </r>
  <r>
    <d v="2024-09-27T00:00:00"/>
    <x v="25"/>
    <s v="확인불가"/>
    <s v="제BEUP KNK24-0927-1호"/>
    <n v="1"/>
    <s v="CL10B104KB8NNNC외"/>
    <n v="1"/>
    <d v="2024-10-12T00:00:00"/>
    <s v="발주 후 15일"/>
    <d v="2024-10-14T00:00:00"/>
    <m/>
    <n v="66782940"/>
    <s v="물품납기시"/>
    <s v="㈜지아이씨"/>
    <s v="GIC CSP24-0913-1호"/>
    <s v="계약 서명확인"/>
    <s v="입고 확인"/>
    <s v="241014 전자세금계산서"/>
    <s v="241017 지급(입금) / 매입증빙 확인"/>
    <x v="1"/>
    <s v="VAT 별도"/>
    <s v="1_BEUPSYS\5-1_업체구매요청서\1_부품구매요청서및계약서\주식회사 일렉콤티에스\GIC CSP24-0913-1호 NVRCTMMSR 3종생산\MSR_SC"/>
  </r>
  <r>
    <d v="2024-09-24T00:00:00"/>
    <x v="5"/>
    <s v="확인불가"/>
    <s v="제BEUP KNK24-0924-1호"/>
    <n v="1"/>
    <s v="HK향 PCB코팅 1종"/>
    <n v="14"/>
    <d v="2024-10-22T00:00:00"/>
    <s v="발주 후 4주내"/>
    <d v="2024-09-30T00:00:00"/>
    <m/>
    <n v="210000"/>
    <s v="제작완료시 지급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아이리코(I RICCO)\240923_GIC CSP24-0923-1호_MSR PWR Board for MSR외 10종\제BEUP KNK24-0924-1호_홍콩보드코팅_아이리코"/>
  </r>
  <r>
    <d v="2024-09-23T00:00:00"/>
    <x v="6"/>
    <s v="확인불가"/>
    <s v="제BEUP KNK24-0923-2호"/>
    <n v="1"/>
    <s v="그리스 외"/>
    <n v="1"/>
    <d v="2024-10-03T00:00:00"/>
    <s v="발주 후 10일"/>
    <d v="2024-09-25T00:00:00"/>
    <m/>
    <n v="1304100"/>
    <s v="물품납기시"/>
    <s v="㈜지아이씨"/>
    <s v="GIC CSP24-092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23-1호 추가PCB공급건\9월자재비용"/>
  </r>
  <r>
    <d v="2024-09-23T00:00:00"/>
    <x v="6"/>
    <s v="확인불가"/>
    <s v="제BEUP KNK24-0923-1호"/>
    <n v="1"/>
    <s v="CL10B104KB8NNNC외"/>
    <n v="1"/>
    <d v="2024-10-03T00:00:00"/>
    <s v="발주 후 10일"/>
    <d v="2024-09-25T00:00:00"/>
    <m/>
    <n v="15905345"/>
    <s v="물품납기시"/>
    <s v="㈜지아이씨"/>
    <s v="GIC CSP24-0913-1호"/>
    <s v="계약 서명확인"/>
    <s v="입고 확인"/>
    <s v="240930 전자세금계산서"/>
    <s v="241004 지급(입금) / 매입증빙 확인"/>
    <x v="1"/>
    <s v="VAT 별도"/>
    <s v="1_BEUPSYS\5-1_업체구매요청서\1_부품구매요청서및계약서\파츠맨\GIC CSP24-0913-1호 NVRCTMMSR 3종생산\NVR"/>
  </r>
  <r>
    <d v="2024-09-14T00:00:00"/>
    <x v="26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2. 설치 후 잔금 50%"/>
    <m/>
    <m/>
    <s v="계약 서명확인"/>
    <s v="입고 확인"/>
    <s v="(잔금) 241016 전자세금계산서"/>
    <s v="(잔금) 241017 지급(입금) / 매입증빙 확인"/>
    <x v="1"/>
    <s v="VAT 별도"/>
    <s v="1_BEUPSYS\5-1_업체구매요청서\1_부품구매요청서및계약서\바이슨"/>
  </r>
  <r>
    <d v="2024-09-14T00:00:00"/>
    <x v="26"/>
    <s v="확인불가"/>
    <s v="제BEUP CSP24-0914-1호"/>
    <n v="1"/>
    <s v="계단 리프트 ASS'Y 제작 및 설치"/>
    <n v="1"/>
    <d v="2024-10-12T00:00:00"/>
    <s v="발주 후 4주내"/>
    <s v="확인불가"/>
    <m/>
    <n v="2772000"/>
    <s v="1. 계약 시 선금 50%"/>
    <m/>
    <m/>
    <s v="계약 서명확인"/>
    <s v="입고 확인"/>
    <s v="(선금) 240914 전자세금계산서"/>
    <s v="(선금) 240914 지급(입금) / 매입증빙 확인"/>
    <x v="1"/>
    <s v="VAT 별도"/>
    <s v="1_BEUPSYS\5-1_업체구매요청서\1_부품구매요청서및계약서\바이슨"/>
  </r>
  <r>
    <d v="2024-09-13T00:00:00"/>
    <x v="0"/>
    <s v="INQUT2409-009"/>
    <s v="제BEUP KNK24-0913-1호"/>
    <n v="1"/>
    <s v="MotherBoard IMB-161-L"/>
    <n v="2"/>
    <d v="2024-10-11T00:00:00"/>
    <s v="발주 후 4주내"/>
    <d v="2024-09-24T00:00:00"/>
    <m/>
    <n v="1446000"/>
    <s v="납품 후 지급"/>
    <s v="㈜다원시스 "/>
    <s v="DWE-2024-JUN-11-001"/>
    <s v="계약 서명확인"/>
    <s v="입고 확인"/>
    <s v="240927 전자세금계산서"/>
    <s v="241017 지급(입금) / 매입증빙 확인"/>
    <x v="1"/>
    <s v="VAT 별도"/>
    <s v="1_BEUPSYS\5-1_업체구매요청서\1_부품구매요청서및계약서\아이닉스\DWE-2024-JUN-11-001_7호선3차분TCMS개조_CSC수리부품구매"/>
  </r>
  <r>
    <d v="2024-09-09T00:00:00"/>
    <x v="24"/>
    <s v="EGPO-1301-AG"/>
    <s v="제BEUP_24-0909-1호"/>
    <n v="1"/>
    <s v="홍콩예비품 8종 명판"/>
    <n v="320"/>
    <d v="2024-10-07T00:00:00"/>
    <s v="발주 후 4주내"/>
    <d v="2024-09-23T00:00:00"/>
    <m/>
    <n v="4680000"/>
    <s v="납품 후 지급"/>
    <s v="㈜지아이씨"/>
    <s v="GIC CSP24-0524-2호"/>
    <s v="계약 서명확인"/>
    <s v="입고 확인"/>
    <s v="240921 전자세금계산서"/>
    <s v="241004 지급(입금) / 매입증빙 확인"/>
    <x v="1"/>
    <s v="VAT 별도"/>
    <s v="1_BEUPSYS\5-1_업체구매요청서\1_부품구매요청서및계약서\이지파워\GIC CSP24-0524-2호_PSR-Hub외9종생산\제BEUP_24-0909-1호"/>
  </r>
  <r>
    <d v="2024-09-09T00:00:00"/>
    <x v="21"/>
    <s v="견24-05-22"/>
    <s v="제BEUP JDS24-0522-1호"/>
    <n v="1"/>
    <s v="11종 PCB제작"/>
    <n v="1"/>
    <d v="2025-01-27T00:00:00"/>
    <s v="발주 후 20주내"/>
    <s v="(2차납품 5종) 2024-10-24"/>
    <m/>
    <n v="9015600"/>
    <s v="2차납품 5종 30% : ₩9,015,600(VAT별도)"/>
    <s v="㈜지아이씨"/>
    <s v="GIC CSP24-0524-2호"/>
    <s v="계약 서명확인"/>
    <s v="입고 확인"/>
    <s v="(잔금-2차납품 5종) 241031 전자세금계산서"/>
    <s v="(잔금-2차납품 5종) 241108 지급(입금) / 매입증빙 확인"/>
    <x v="1"/>
    <s v="VAT 별도"/>
    <s v="1_BEUPSYS\5-1_업체구매요청서\1_부품구매요청서및계약서\(주)일성\GIC CSP24-0524-2호_PSR-Hub외9종생산"/>
  </r>
  <r>
    <d v="2024-09-09T00:00:00"/>
    <x v="21"/>
    <s v="견24-05-22"/>
    <s v="제BEUP JDS24-0522-1호"/>
    <n v="1"/>
    <s v="11종 PCB제작"/>
    <n v="1"/>
    <d v="2025-01-27T00:00:00"/>
    <s v="발주 후 20주내"/>
    <s v="(1차납품 6종) 2024-08-15"/>
    <m/>
    <n v="12020800"/>
    <s v="1차납품 6종 40% : ₩12,020,800(VAT별도)"/>
    <s v="㈜지아이씨"/>
    <s v="GIC CSP24-0524-2호"/>
    <s v="계약 서명확인"/>
    <s v="입고 확인"/>
    <s v="(1차납품 6종) 240830 전자세금계산서"/>
    <s v="(1차납품 6종) 240913 지급(입금) / 매입증빙 확인"/>
    <x v="1"/>
    <s v="VAT 별도"/>
    <s v="1_BEUPSYS\5-1_업체구매요청서\1_부품구매요청서및계약서\(주)일성\GIC CSP24-0524-2호_PSR-Hub외9종생산"/>
  </r>
  <r>
    <d v="2024-09-09T00:00:00"/>
    <x v="21"/>
    <s v="견24-05-22"/>
    <s v="제BEUP JDS24-0522-1호"/>
    <n v="1"/>
    <s v="11종 PCB제작"/>
    <n v="1"/>
    <d v="2025-01-27T00:00:00"/>
    <s v="발주 후 20주내"/>
    <m/>
    <m/>
    <n v="9015600"/>
    <s v="선금 30% : ₩9,015,600(VAT별도)"/>
    <s v="㈜지아이씨"/>
    <s v="GIC CSP24-0524-2호"/>
    <s v="계약 서명확인"/>
    <s v="입고 확인"/>
    <s v="(선금) 전자세금계산서 미확인"/>
    <s v="(선금) 240528 지급(입금) 내역 확인"/>
    <x v="1"/>
    <s v="VAT 별도"/>
    <s v="1_BEUPSYS\5-1_업체구매요청서\1_부품구매요청서및계약서\(주)일성\GIC CSP24-0524-2호_PSR-Hub외9종생산"/>
  </r>
  <r>
    <d v="2024-09-06T00:00:00"/>
    <x v="5"/>
    <s v="확인불가"/>
    <s v="제BEUP JDS24-0828-1호"/>
    <n v="1"/>
    <s v="HK향 PCB코팅 10종"/>
    <n v="1"/>
    <d v="2025-01-24T00:00:00"/>
    <s v="발주 후 20주내"/>
    <s v="확인불가"/>
    <m/>
    <n v="8274400"/>
    <s v="제작완료시 지급"/>
    <s v="㈜지아이씨"/>
    <s v="GIC CSP24-0524-2호"/>
    <s v="계약 서명확인"/>
    <s v="입고 확인"/>
    <s v="240831 전자세금계산서"/>
    <s v="240910 지급(입금) / 매입증빙 확인"/>
    <x v="1"/>
    <s v="VAT 별도"/>
    <s v="1_BEUPSYS\5-1_업체구매요청서\1_부품구매요청서및계약서\아이리코(I RICCO)\241016_GIC CSP24-0524-2호_PSR-Hub외9종생산\Board 코팅"/>
  </r>
  <r>
    <d v="2024-08-28T00:00:00"/>
    <x v="6"/>
    <s v="확인불가"/>
    <s v="제BEUP JDS24-0828-2호"/>
    <n v="1"/>
    <s v="스큐류 2.6x12외"/>
    <n v="1"/>
    <d v="2024-09-07T00:00:00"/>
    <s v="발주 후 10일"/>
    <d v="2024-08-28T00:00:00"/>
    <m/>
    <n v="982500"/>
    <s v="물품납기시"/>
    <s v="㈜지아이씨"/>
    <s v="GIC CSP24-0524-2호"/>
    <s v="계약 서명확인"/>
    <s v="입고 확인"/>
    <s v="240828 전자세금계산서"/>
    <s v="240910 지급(입금) / 매입증빙 확인"/>
    <x v="1"/>
    <s v="VAT 별도"/>
    <s v="1_BEUPSYS\5-1_업체구매요청서\1_부품구매요청서및계약서\파츠맨\GIC CSP24-0524-2호_PSR-Hub외9종생산\8월자재진행"/>
  </r>
  <r>
    <d v="2024-08-21T00:00:00"/>
    <x v="0"/>
    <s v="INQUT2408-021"/>
    <s v="제BEUP JDS24-0821-1호"/>
    <n v="1"/>
    <s v="Coding Pliers"/>
    <n v="1"/>
    <d v="2024-09-18T00:00:00"/>
    <s v="발주 후 4주내"/>
    <d v="2024-09-04T00:00:00"/>
    <m/>
    <n v="788000"/>
    <s v="납품 후 지급"/>
    <s v="㈜지아이씨"/>
    <s v="GIC CSP24-0524-2호"/>
    <s v="계약 서명확인"/>
    <s v="입고 확인"/>
    <s v="240904 전자세금계산서"/>
    <s v="241004 지급(입금) / 매입증빙 확인"/>
    <x v="1"/>
    <s v="VAT 별도"/>
    <s v="1_BEUPSYS\5-1_업체구매요청서\1_부품구매요청서및계약서\아이닉스\GIC CSP24-0524-2호_PSR-Hub외9종생산"/>
  </r>
  <r>
    <d v="2024-07-23T00:00:00"/>
    <x v="14"/>
    <s v="확인불가"/>
    <s v="-"/>
    <n v="1"/>
    <s v="SF050020R-C-NB-A (W5*T2*L1000mm)"/>
    <n v="100"/>
    <m/>
    <m/>
    <m/>
    <m/>
    <n v="180000"/>
    <s v="첫거래 선금"/>
    <s v="㈜지아이씨"/>
    <s v="GIC CSP24-0524-1호"/>
    <s v="확인불가"/>
    <s v="입고 확인"/>
    <s v="전자세금계산서 기록 확인 필요"/>
    <s v="지급(입금) 기록 없음"/>
    <x v="1"/>
    <s v="VAT 별도"/>
    <s v="누락"/>
  </r>
  <r>
    <d v="2024-07-23T00:00:00"/>
    <x v="14"/>
    <s v="확인불가"/>
    <s v="-"/>
    <n v="1"/>
    <s v="SM-W18B (1000mm*100M/RL)"/>
    <n v="1"/>
    <m/>
    <m/>
    <m/>
    <m/>
    <n v="1500000"/>
    <s v="첫거래 선금"/>
    <s v="㈜지아이씨"/>
    <s v="GIC CSP24-0524-1호"/>
    <s v="확인불가"/>
    <s v="입고 확인"/>
    <s v="전자세금계산서 기록 확인 필요"/>
    <s v="지급(입금) 기록 없음"/>
    <x v="1"/>
    <s v="VAT 별도"/>
    <s v="누락"/>
  </r>
  <r>
    <d v="2024-07-15T00:00:00"/>
    <x v="18"/>
    <s v="확인불가"/>
    <s v="확인불가"/>
    <m/>
    <s v="금형"/>
    <n v="1"/>
    <m/>
    <m/>
    <m/>
    <m/>
    <n v="800000"/>
    <m/>
    <m/>
    <m/>
    <s v="확인불가"/>
    <s v="입고 확인"/>
    <s v="전자세금계산서 기록 확인 필요"/>
    <s v="지급(입금) 기록 없음"/>
    <x v="1"/>
    <s v="VAT 별도"/>
    <s v="누락"/>
  </r>
  <r>
    <d v="2024-07-15T00:00:00"/>
    <x v="18"/>
    <s v="확인불가"/>
    <s v="확인불가"/>
    <m/>
    <s v="SPEAKER EPDM GASKET 6T*41*71"/>
    <n v="100"/>
    <m/>
    <m/>
    <m/>
    <m/>
    <n v="75000"/>
    <m/>
    <m/>
    <m/>
    <s v="확인불가"/>
    <s v="입고 확인"/>
    <s v="전자세금계산서 기록 확인 필요"/>
    <s v="지급(입금) 기록 없음"/>
    <x v="1"/>
    <s v="VAT 별도"/>
    <s v="누락"/>
  </r>
  <r>
    <d v="2024-07-15T00:00:00"/>
    <x v="18"/>
    <s v="확인불가"/>
    <s v="확인불가"/>
    <m/>
    <s v="EPDM SEALING FOAM 1T*5*342"/>
    <n v="100"/>
    <m/>
    <m/>
    <m/>
    <m/>
    <n v="55000"/>
    <m/>
    <m/>
    <m/>
    <s v="확인불가"/>
    <s v="입고 확인"/>
    <s v="전자세금계산서 기록 확인 필요"/>
    <s v="지급(입금) 기록 없음"/>
    <x v="1"/>
    <s v="VAT 별도"/>
    <s v="누락"/>
  </r>
  <r>
    <d v="2024-07-15T00:00:00"/>
    <x v="18"/>
    <s v="확인불가"/>
    <s v="확인불가"/>
    <m/>
    <s v="EPDM SEALING FOAM 1T*5*614"/>
    <n v="50"/>
    <m/>
    <m/>
    <m/>
    <m/>
    <n v="95000"/>
    <m/>
    <m/>
    <m/>
    <s v="확인불가"/>
    <s v="입고 확인"/>
    <s v="전자세금계산서 기록 확인 필요"/>
    <s v="지급(입금) 기록 없음"/>
    <x v="1"/>
    <s v="VAT 별도"/>
    <s v="누락"/>
  </r>
  <r>
    <d v="2024-07-15T00:00:00"/>
    <x v="18"/>
    <s v="확인불가"/>
    <s v="확인불가"/>
    <m/>
    <s v="난연 SILICONE 백색 (도번: R1D013805)"/>
    <n v="1"/>
    <m/>
    <m/>
    <m/>
    <m/>
    <n v="800000"/>
    <m/>
    <m/>
    <m/>
    <s v="확인불가"/>
    <s v="입고 확인"/>
    <s v="전자세금계산서 기록 확인 필요"/>
    <s v="지급(입금) 기록 없음"/>
    <x v="1"/>
    <s v="VAT 별도"/>
    <s v="누락"/>
  </r>
  <r>
    <d v="2024-07-22T00:00:00"/>
    <x v="27"/>
    <s v="확인불가"/>
    <s v="제BEUP JDS24-0722-1호"/>
    <n v="1"/>
    <s v="SM619GECDFSTCX59C"/>
    <n v="180"/>
    <d v="2024-12-09T00:00:00"/>
    <s v="발주 후 20주내"/>
    <s v="확인불가"/>
    <n v="4950"/>
    <n v="6637950"/>
    <s v="입금 후 1주일 내 물품발송_x000a_환율은 납품 시 고시가로 한다(\6,637,950)"/>
    <s v="㈜지아이씨"/>
    <s v="GIC CSP24-0524-1호"/>
    <s v="계약 서명확인"/>
    <s v="입고 확인"/>
    <s v="240904 전자세금계산서"/>
    <s v="240910 지급(입금) / 매입증빙 확인"/>
    <x v="1"/>
    <s v="VAT 별도"/>
    <s v="1_BEUPSYS\5-1_업체구매요청서\1_부품구매요청서및계약서\유니퀘스트㈜\240524_GIC CSP24-0524-1호_MOP외2종생산"/>
  </r>
  <r>
    <d v="2024-07-04T00:00:00"/>
    <x v="11"/>
    <s v="확인불가"/>
    <s v="-"/>
    <n v="1"/>
    <s v="TC170/i7-6600U 외"/>
    <n v="1"/>
    <m/>
    <m/>
    <m/>
    <m/>
    <n v="1626700"/>
    <m/>
    <s v="㈜지아이씨"/>
    <s v="GIC CSP24-0923-1호"/>
    <s v="확인불가"/>
    <s v="입고 확인"/>
    <s v="전자세금계산서 기록 확인 필요"/>
    <s v="240628 지급(입금) 기록 / 내역 확인 필요"/>
    <x v="1"/>
    <s v="VAT 별도"/>
    <s v="네이버 게시판 자료"/>
  </r>
  <r>
    <d v="2024-07-03T00:00:00"/>
    <x v="28"/>
    <s v="확인불가"/>
    <s v="BEUPIDOM-20240703"/>
    <n v="1"/>
    <s v="LVDS Cable 외"/>
    <n v="1"/>
    <m/>
    <m/>
    <m/>
    <m/>
    <n v="1680000"/>
    <m/>
    <s v="㈜지아이씨"/>
    <s v="GIC CSP24-0923-1호"/>
    <s v="확인불가"/>
    <s v="입고 확인"/>
    <s v="전자세금계산서 기록 확인 필요"/>
    <s v="지급(입금) 기록 없음"/>
    <x v="1"/>
    <s v="VAT 별도"/>
    <s v="네이버 게시판 자료"/>
  </r>
  <r>
    <d v="2024-07-02T00:00:00"/>
    <x v="29"/>
    <s v="확인불가"/>
    <s v="-"/>
    <n v="1"/>
    <s v="운송비"/>
    <n v="1"/>
    <m/>
    <m/>
    <m/>
    <m/>
    <n v="124980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d v="2024-07-02T00:00:00"/>
    <x v="29"/>
    <s v="확인불가"/>
    <s v="-"/>
    <n v="1"/>
    <s v="Production H/C"/>
    <n v="1"/>
    <m/>
    <m/>
    <m/>
    <n v="150"/>
    <n v="205815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d v="2024-07-02T00:00:00"/>
    <x v="29"/>
    <s v="확인불가"/>
    <s v="BEUPIDOM-20240702"/>
    <n v="1"/>
    <s v="CH7517A-BF1"/>
    <n v="140"/>
    <m/>
    <m/>
    <m/>
    <n v="686"/>
    <n v="941260.6"/>
    <m/>
    <s v="㈜지아이씨"/>
    <s v="GIC CSP24-0913-1호"/>
    <s v="확인불가"/>
    <s v="입고 확인"/>
    <s v="전자세금계산서 기록 확인 필요"/>
    <s v="지급(입금) 기록 없음"/>
    <x v="1"/>
    <s v="VAT 별도"/>
    <s v="네이버 게시판 자료"/>
  </r>
  <r>
    <d v="2024-07-01T00:00:00"/>
    <x v="30"/>
    <s v="확인불가"/>
    <s v="BEUPIDOM-20240701"/>
    <n v="1"/>
    <s v="TSC-50/IC"/>
    <n v="70"/>
    <m/>
    <m/>
    <m/>
    <m/>
    <n v="420000"/>
    <m/>
    <s v="㈜지아이씨"/>
    <s v="GIC CSP24-0923-1호"/>
    <s v="확인불가"/>
    <s v="입고 확인"/>
    <s v="전자세금계산서 기록 확인 필요"/>
    <s v="240701 지급(입금) 기록 / 내역 확인 필요"/>
    <x v="1"/>
    <s v="VAT 별도"/>
    <s v="네이버 게시판 자료"/>
  </r>
  <r>
    <d v="2024-06-15T00:00:00"/>
    <x v="31"/>
    <s v="확인불가"/>
    <s v="제BEUP KNK24-0615-1호"/>
    <n v="1"/>
    <s v="NVR/CTM HW개발계약"/>
    <n v="1"/>
    <m/>
    <m/>
    <d v="2025-01-24T00:00:00"/>
    <m/>
    <n v="24000000"/>
    <s v="잔금 30%"/>
    <s v="㈜지아이씨"/>
    <s v="GIC CSP24-0524-1호"/>
    <s v="계약 서명확인"/>
    <s v="입고 확인"/>
    <s v="250124 전자세금계산서"/>
    <s v="250206 지급(입금) / 매입증빙 확인"/>
    <x v="1"/>
    <s v="VAT 별도"/>
    <s v="1_BEUPSYS\5-1_업체구매요청서\1_부품구매요청서및계약서\드림온테크 유한회사\240524_GIC CSP24-0524-1호_MOP외2종생산"/>
  </r>
  <r>
    <d v="2024-06-15T00:00:00"/>
    <x v="31"/>
    <s v="확인불가"/>
    <s v="제BEUP KNK24-0615-1호"/>
    <n v="1"/>
    <s v="NVR/CTM HW개발계약"/>
    <n v="1"/>
    <m/>
    <m/>
    <d v="2024-11-26T00:00:00"/>
    <m/>
    <n v="24000000"/>
    <s v="중간결과물 전달 (NVR 3대전달) 30%"/>
    <s v="㈜지아이씨"/>
    <s v="GIC CSP24-0524-1호"/>
    <s v="계약 서명확인"/>
    <s v="입고 확인"/>
    <s v="241126 전자세금계산서"/>
    <s v="241129 지급(입금) / 매입증빙 확인"/>
    <x v="1"/>
    <s v="VAT 별도"/>
    <s v="1_BEUPSYS\5-1_업체구매요청서\1_부품구매요청서및계약서\드림온테크 유한회사\240524_GIC CSP24-0524-1호_MOP외2종생산"/>
  </r>
  <r>
    <d v="2024-06-15T00:00:00"/>
    <x v="31"/>
    <s v="확인불가"/>
    <s v="제BEUP KNK24-0615-1호"/>
    <n v="1"/>
    <s v="NVR/CTM HW개발계약"/>
    <n v="1"/>
    <m/>
    <m/>
    <d v="2024-06-15T00:00:00"/>
    <m/>
    <n v="32000000"/>
    <s v="선금 40% : ₩32,000,000(VAT별도)"/>
    <s v="㈜지아이씨"/>
    <s v="GIC CSP24-0524-1호"/>
    <s v="계약 서명확인"/>
    <s v="입고 확인"/>
    <s v="(선금) 전자세금계산서 미확인"/>
    <s v="(선금) 240627 지급(입금) 내역 확인"/>
    <x v="1"/>
    <s v="VAT 별도"/>
    <s v="1_BEUPSYS\5-1_업체구매요청서\1_부품구매요청서및계약서\드림온테크 유한회사\240524_GIC CSP24-0524-1호_MOP외2종생산"/>
  </r>
  <r>
    <d v="2024-06-10T00:00:00"/>
    <x v="11"/>
    <s v="확인불가"/>
    <s v="-"/>
    <n v="1"/>
    <s v="TC570/i3-1115GRE 외"/>
    <n v="1"/>
    <m/>
    <m/>
    <d v="2024-06-19T00:00:00"/>
    <m/>
    <n v="2409000"/>
    <m/>
    <s v="㈜지아이씨"/>
    <s v="GIC CSP24-0923-1호"/>
    <s v="확인불가"/>
    <s v="입고 확인"/>
    <s v="전자세금계산서 기록 확인 필요"/>
    <s v="240619 지급(입금) 기록 / 내역 확인 필요"/>
    <x v="1"/>
    <s v="VAT 별도"/>
    <s v="네이버 게시판 자료"/>
  </r>
  <r>
    <d v="2024-06-10T00:00:00"/>
    <x v="32"/>
    <s v="확인불가"/>
    <s v="BEUPIDOM-20240601"/>
    <n v="1"/>
    <s v="AC494-IPP-SUK 외"/>
    <n v="1"/>
    <m/>
    <s v="발주후 4주내"/>
    <m/>
    <n v="24200"/>
    <n v="30474085.465999998"/>
    <s v="선금"/>
    <s v="㈜지아이씨"/>
    <s v="GIC CSP24-0524-2호"/>
    <s v="확인불가"/>
    <s v="입고 확인"/>
    <s v="전자세금계산서 기록 확인 필요"/>
    <s v="지급(입금) 기록 없음"/>
    <x v="1"/>
    <s v="VAT 별도"/>
    <s v="네이버 게시판 자료"/>
  </r>
  <r>
    <d v="2024-05-23T00:00:00"/>
    <x v="17"/>
    <s v="확인불가"/>
    <s v="BEUPIDOM-20240506"/>
    <n v="1"/>
    <s v="홍콩 방송장치 11종 PCB 납품 (70%)"/>
    <n v="1"/>
    <m/>
    <m/>
    <d v="2024-06-19T00:00:00"/>
    <m/>
    <n v="4349310"/>
    <s v="2회 분할"/>
    <s v="㈜지아이씨"/>
    <s v="GIC CSP24-0524-1호"/>
    <s v="확인불가"/>
    <s v="입고 확인"/>
    <s v="전자세금계산서 기록 확인 필요"/>
    <s v="240619 지급(입금) 기록 / 내역 확인 필요"/>
    <x v="1"/>
    <s v="VAT 별도"/>
    <s v="네이버 게시판 자료"/>
  </r>
  <r>
    <d v="2024-05-23T00:00:00"/>
    <x v="17"/>
    <s v="확인불가"/>
    <s v="BEUPIDOM-20240506"/>
    <n v="1"/>
    <s v="홍콩 방송장치 11종 PCB 선금 (30%)"/>
    <n v="1"/>
    <m/>
    <m/>
    <d v="2024-05-24T00:00:00"/>
    <m/>
    <n v="1863990"/>
    <s v="2회 분할"/>
    <s v="㈜지아이씨"/>
    <s v="GIC CSP24-0524-1호"/>
    <s v="확인불가"/>
    <s v="입고 확인"/>
    <s v="전자세금계산서 기록 확인 필요"/>
    <s v="240524 지급(입금) 기록 / 내역 확인 필요"/>
    <x v="1"/>
    <s v="VAT 별도"/>
    <s v="네이버 게시판 자료"/>
  </r>
  <r>
    <d v="2024-05-23T00:00:00"/>
    <x v="6"/>
    <s v="확인불가"/>
    <s v="BEUPIDOM-20240505"/>
    <n v="1"/>
    <s v="홍콩 방송장치 11종 보드 부품 납품 (62%)"/>
    <n v="1"/>
    <m/>
    <m/>
    <d v="2024-07-24T00:00:00"/>
    <m/>
    <n v="26496461"/>
    <s v="2회 분할"/>
    <s v="㈜지아이씨"/>
    <s v="GIC CSP24-0524-1호"/>
    <s v="확인불가"/>
    <s v="입고 확인"/>
    <s v="전자세금계산서 기록 확인 필요"/>
    <s v="240724 지급(입금) 기록 / 내역 확인 필요"/>
    <x v="1"/>
    <s v="VAT 별도"/>
    <s v="네이버 게시판 자료"/>
  </r>
  <r>
    <d v="2024-05-23T00:00:00"/>
    <x v="6"/>
    <s v="확인불가"/>
    <s v="BEUPIDOM-20240505"/>
    <n v="1"/>
    <s v="홍콩 방송장치 11종 보드 부품 선금 (38%)"/>
    <n v="1"/>
    <m/>
    <m/>
    <d v="2024-05-28T00:00:00"/>
    <m/>
    <n v="16197119"/>
    <s v="2회 분할"/>
    <s v="㈜지아이씨"/>
    <s v="GIC CSP24-0524-1호"/>
    <s v="확인불가"/>
    <s v="입고 확인"/>
    <s v="전자세금계산서 기록 확인 필요"/>
    <s v="240528 지급(입금) 기록 / 내역 확인 필요"/>
    <x v="1"/>
    <s v="VAT 별도"/>
    <s v="네이버 게시판 자료"/>
  </r>
  <r>
    <d v="2024-05-20T00:00:00"/>
    <x v="33"/>
    <s v="확인불가"/>
    <s v="BEUPIDOM-20240504"/>
    <n v="1"/>
    <s v="27인치 3T AG 강화유리"/>
    <n v="50"/>
    <m/>
    <m/>
    <m/>
    <m/>
    <n v="2275000"/>
    <m/>
    <s v="㈜지아이씨"/>
    <s v="GIC CSP24-0409-1호"/>
    <s v="확인불가"/>
    <s v="입고 확인"/>
    <s v="전자세금계산서 기록 확인 필요"/>
    <s v="240528 지급(입금) 기록 / 내역 확인 필요"/>
    <x v="1"/>
    <s v="VAT 별도"/>
    <s v="네이버 게시판 자료"/>
  </r>
  <r>
    <d v="2024-05-03T00:00:00"/>
    <x v="9"/>
    <s v="확인불가"/>
    <s v="BEUPIDOM-20240503"/>
    <n v="1"/>
    <s v="MRX REV1.2 생산 외 납품 (70%)"/>
    <n v="1"/>
    <m/>
    <m/>
    <d v="2024-06-13T00:00:00"/>
    <m/>
    <n v="4928000"/>
    <s v="2회 분할"/>
    <s v="㈜지아이씨"/>
    <s v="GIC CSP24-0409-1호"/>
    <s v="확인불가"/>
    <s v="입고 확인"/>
    <s v="전자세금계산서 기록 확인 필요"/>
    <s v="240614 지급(입금) 기록 / 내역 확인 필요"/>
    <x v="1"/>
    <s v="VAT 별도"/>
    <s v="네이버 게시판 자료"/>
  </r>
  <r>
    <d v="2024-05-03T00:00:00"/>
    <x v="9"/>
    <s v="확인불가"/>
    <s v="BEUPIDOM-20240503"/>
    <n v="1"/>
    <s v="MRX REV1.2 생산 외 선금 (30%)"/>
    <n v="1"/>
    <m/>
    <m/>
    <d v="2024-05-19T00:00:00"/>
    <m/>
    <n v="2112000"/>
    <s v="2회 분할"/>
    <s v="㈜지아이씨"/>
    <s v="GIC CSP24-0409-1호"/>
    <s v="확인불가"/>
    <s v="입고 확인"/>
    <s v="전자세금계산서 기록 확인 필요"/>
    <s v="240519 지급(입금) 기록 / 내역 확인 필요"/>
    <x v="1"/>
    <s v="VAT 별도"/>
    <s v="네이버 게시판 자료"/>
  </r>
  <r>
    <d v="2024-05-02T00:00:00"/>
    <x v="34"/>
    <s v="확인불가"/>
    <s v="BEUPIDOM-20240502"/>
    <n v="1"/>
    <s v="LEDC BOARD 외 납품 (70%)"/>
    <n v="1"/>
    <m/>
    <m/>
    <d v="2024-08-01T00:00:00"/>
    <m/>
    <n v="43820000"/>
    <s v="2회 분할"/>
    <s v="㈜지아이씨"/>
    <s v="GIC CSP24-0409-1호"/>
    <s v="확인불가"/>
    <s v="입고 확인"/>
    <s v="전자세금계산서 기록 확인 필요"/>
    <s v="240801 지급(입금) 기록 / 내역 확인 필요"/>
    <x v="1"/>
    <s v="VAT 별도"/>
    <s v="네이버 게시판 자료"/>
  </r>
  <r>
    <d v="2024-05-02T00:00:00"/>
    <x v="34"/>
    <s v="확인불가"/>
    <s v="BEUPIDOM-20240502"/>
    <n v="1"/>
    <s v="LEDC BOARD 외 선금 (30%)"/>
    <n v="1"/>
    <m/>
    <m/>
    <d v="2024-05-17T00:00:00"/>
    <m/>
    <n v="18780000"/>
    <s v="2회 분할"/>
    <s v="㈜지아이씨"/>
    <s v="GIC CSP24-0409-1호"/>
    <s v="확인불가"/>
    <s v="입고 확인"/>
    <s v="전자세금계산서 기록 확인 필요"/>
    <s v="240517 지급(입금) 기록 / 내역 확인 필요"/>
    <x v="1"/>
    <s v="VAT 별도"/>
    <s v="네이버 게시판 자료"/>
  </r>
  <r>
    <d v="2024-05-01T00:00:00"/>
    <x v="25"/>
    <s v="확인불가"/>
    <s v="BEUPIDOM-20240501"/>
    <n v="1"/>
    <s v="홍콩 생산1차분 83종 자재 납품 (70%)"/>
    <n v="1"/>
    <m/>
    <m/>
    <d v="2024-05-24T00:00:00"/>
    <m/>
    <n v="16039357.272727273"/>
    <s v="2회 분할"/>
    <s v="㈜지아이씨"/>
    <s v="GIC CSP24-0409-1호"/>
    <s v="확인불가"/>
    <s v="입고 확인"/>
    <s v="전자세금계산서 기록 확인 필요"/>
    <s v="240524 지급(입금) 기록 / 내역 확인 필요"/>
    <x v="1"/>
    <s v="VAT 별도"/>
    <s v="네이버 게시판 자료"/>
  </r>
  <r>
    <d v="2024-05-01T00:00:00"/>
    <x v="25"/>
    <s v="확인불가"/>
    <s v="BEUPIDOM-20240501"/>
    <n v="1"/>
    <s v="홍콩 생산1차분 83종 자재 선금 (30%)"/>
    <n v="1"/>
    <m/>
    <m/>
    <d v="2024-05-16T00:00:00"/>
    <m/>
    <n v="6874012.7272727266"/>
    <s v="2회 분할"/>
    <s v="㈜지아이씨"/>
    <s v="GIC CSP24-0409-1호"/>
    <s v="확인불가"/>
    <s v="입고 확인"/>
    <s v="전자세금계산서 기록 확인 필요"/>
    <s v="240516 지급(입금) 기록 / 내역 확인 필요"/>
    <x v="1"/>
    <s v="VAT 별도"/>
    <s v="네이버 게시판 자료"/>
  </r>
  <r>
    <d v="2024-04-10T00:00:00"/>
    <x v="35"/>
    <m/>
    <s v="제BEUP KNK24-0410-1호"/>
    <n v="1"/>
    <s v="하드웨어 구매 및 테스트절차정리"/>
    <n v="1"/>
    <d v="2024-12-31T00:00:00"/>
    <m/>
    <d v="2024-12-18T00:00:00"/>
    <m/>
    <n v="5000000"/>
    <s v="구매등완료후"/>
    <s v="㈜지아이씨"/>
    <s v="GIC CSP24-0524-2호_PSR-Hub외9종생산"/>
    <s v="계약 서명확인"/>
    <s v="업무 완료"/>
    <s v="전자세금계산서 미수취 / 프리렌서계약"/>
    <s v="241231 지급(입금) / 매입증빙 확인"/>
    <x v="1"/>
    <s v="사업소득세 3.3% 공제"/>
    <s v="1_BEUPSYS\5-1_업체구매요청서\1_부품구매요청서및계약서\프리렌서계약_이동진\GIC CSP24-0524-2호_PSR-Hub외9종생산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18539-C3B9-4AD5-953B-9771B3DFE371}" name="피벗 테이블1" cacheId="4" applyNumberFormats="0" applyBorderFormats="0" applyFontFormats="0" applyPatternFormats="0" applyAlignmentFormats="0" applyWidthHeightFormats="1" dataCaption="값" updatedVersion="7" minRefreshableVersion="3" useAutoFormatting="1" itemPrintTitles="1" createdVersion="7" indent="0" outline="1" outlineData="1" multipleFieldFilters="0" rowHeaderCaption="공급업체" colHeaderCaption="진행상황">
  <location ref="B3:F41" firstHeaderRow="1" firstDataRow="2" firstDataCol="1"/>
  <pivotFields count="22">
    <pivotField numFmtId="176" showAll="0"/>
    <pivotField axis="axisRow" showAll="0">
      <items count="41">
        <item x="31"/>
        <item m="1" x="36"/>
        <item x="26"/>
        <item x="19"/>
        <item x="0"/>
        <item x="5"/>
        <item x="27"/>
        <item x="35"/>
        <item x="24"/>
        <item x="9"/>
        <item x="1"/>
        <item x="22"/>
        <item x="23"/>
        <item x="14"/>
        <item x="25"/>
        <item x="21"/>
        <item x="17"/>
        <item x="18"/>
        <item x="20"/>
        <item x="6"/>
        <item x="15"/>
        <item x="16"/>
        <item x="13"/>
        <item x="11"/>
        <item x="10"/>
        <item x="12"/>
        <item x="4"/>
        <item m="1" x="39"/>
        <item x="28"/>
        <item x="29"/>
        <item x="30"/>
        <item x="32"/>
        <item m="1" x="38"/>
        <item x="33"/>
        <item x="34"/>
        <item m="1" x="37"/>
        <item x="8"/>
        <item x="7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77"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2"/>
        <item x="0"/>
        <item m="1" x="3"/>
        <item t="default"/>
      </items>
    </pivotField>
    <pivotField showAll="0"/>
    <pivotField showAll="0"/>
  </pivotFields>
  <rowFields count="1">
    <field x="1"/>
  </rowFields>
  <rowItems count="37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8"/>
    </i>
    <i>
      <x v="29"/>
    </i>
    <i>
      <x v="30"/>
    </i>
    <i>
      <x v="31"/>
    </i>
    <i>
      <x v="33"/>
    </i>
    <i>
      <x v="34"/>
    </i>
    <i>
      <x v="36"/>
    </i>
    <i>
      <x v="37"/>
    </i>
    <i>
      <x v="38"/>
    </i>
    <i>
      <x v="39"/>
    </i>
    <i t="grand">
      <x/>
    </i>
  </rowItems>
  <colFields count="1">
    <field x="19"/>
  </colFields>
  <colItems count="4">
    <i>
      <x/>
    </i>
    <i>
      <x v="1"/>
    </i>
    <i>
      <x v="2"/>
    </i>
    <i t="grand">
      <x/>
    </i>
  </colItems>
  <dataFields count="1">
    <dataField name="합계 : 공급금액(KRW)" fld="11" baseField="1" baseItem="4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1B38B-51B3-44CC-A466-1EC5B677D567}">
  <dimension ref="B3:F41"/>
  <sheetViews>
    <sheetView tabSelected="1" workbookViewId="0"/>
  </sheetViews>
  <sheetFormatPr defaultColWidth="8.875" defaultRowHeight="16.5" x14ac:dyDescent="0.3"/>
  <cols>
    <col min="2" max="2" width="21.5" bestFit="1" customWidth="1"/>
    <col min="3" max="3" width="14.875" bestFit="1" customWidth="1"/>
    <col min="4" max="4" width="11.625" bestFit="1" customWidth="1"/>
    <col min="5" max="5" width="13.625" bestFit="1" customWidth="1"/>
    <col min="6" max="7" width="14.875" bestFit="1" customWidth="1"/>
  </cols>
  <sheetData>
    <row r="3" spans="2:6" x14ac:dyDescent="0.3">
      <c r="B3" s="29" t="s">
        <v>321</v>
      </c>
      <c r="C3" s="29" t="s">
        <v>328</v>
      </c>
    </row>
    <row r="4" spans="2:6" x14ac:dyDescent="0.3">
      <c r="B4" s="29" t="s">
        <v>330</v>
      </c>
      <c r="C4" t="s">
        <v>325</v>
      </c>
      <c r="D4" t="s">
        <v>561</v>
      </c>
      <c r="E4" t="s">
        <v>326</v>
      </c>
      <c r="F4" t="s">
        <v>320</v>
      </c>
    </row>
    <row r="5" spans="2:6" x14ac:dyDescent="0.3">
      <c r="B5" s="30" t="s">
        <v>305</v>
      </c>
      <c r="C5" s="34">
        <v>80000000</v>
      </c>
      <c r="D5" s="34"/>
      <c r="E5" s="34"/>
      <c r="F5" s="34">
        <v>80000000</v>
      </c>
    </row>
    <row r="6" spans="2:6" x14ac:dyDescent="0.3">
      <c r="B6" s="30" t="s">
        <v>306</v>
      </c>
      <c r="C6" s="34">
        <v>5544000</v>
      </c>
      <c r="D6" s="34"/>
      <c r="E6" s="34"/>
      <c r="F6" s="34">
        <v>5544000</v>
      </c>
    </row>
    <row r="7" spans="2:6" x14ac:dyDescent="0.3">
      <c r="B7" s="30" t="s">
        <v>307</v>
      </c>
      <c r="C7" s="34">
        <v>3000000</v>
      </c>
      <c r="D7" s="34"/>
      <c r="E7" s="34">
        <v>3000000</v>
      </c>
      <c r="F7" s="34">
        <v>6000000</v>
      </c>
    </row>
    <row r="8" spans="2:6" x14ac:dyDescent="0.3">
      <c r="B8" s="30" t="s">
        <v>308</v>
      </c>
      <c r="C8" s="34">
        <v>11908250</v>
      </c>
      <c r="D8" s="34">
        <v>216000</v>
      </c>
      <c r="E8" s="34">
        <v>450000</v>
      </c>
      <c r="F8" s="34">
        <v>12574250</v>
      </c>
    </row>
    <row r="9" spans="2:6" x14ac:dyDescent="0.3">
      <c r="B9" s="30" t="s">
        <v>245</v>
      </c>
      <c r="C9" s="34">
        <v>29172400</v>
      </c>
      <c r="D9" s="34"/>
      <c r="E9" s="34"/>
      <c r="F9" s="34">
        <v>29172400</v>
      </c>
    </row>
    <row r="10" spans="2:6" x14ac:dyDescent="0.3">
      <c r="B10" s="30" t="s">
        <v>309</v>
      </c>
      <c r="C10" s="34">
        <v>6637950</v>
      </c>
      <c r="D10" s="34"/>
      <c r="E10" s="34"/>
      <c r="F10" s="34">
        <v>6637950</v>
      </c>
    </row>
    <row r="11" spans="2:6" x14ac:dyDescent="0.3">
      <c r="B11" s="30" t="s">
        <v>310</v>
      </c>
      <c r="C11" s="34">
        <v>5000000</v>
      </c>
      <c r="D11" s="34"/>
      <c r="E11" s="34"/>
      <c r="F11" s="34">
        <v>5000000</v>
      </c>
    </row>
    <row r="12" spans="2:6" x14ac:dyDescent="0.3">
      <c r="B12" s="30" t="s">
        <v>311</v>
      </c>
      <c r="C12" s="34">
        <v>10155000</v>
      </c>
      <c r="D12" s="34"/>
      <c r="E12" s="34"/>
      <c r="F12" s="34">
        <v>10155000</v>
      </c>
    </row>
    <row r="13" spans="2:6" x14ac:dyDescent="0.3">
      <c r="B13" s="30" t="s">
        <v>248</v>
      </c>
      <c r="C13" s="34">
        <v>40365280</v>
      </c>
      <c r="D13" s="34"/>
      <c r="E13" s="34"/>
      <c r="F13" s="34">
        <v>40365280</v>
      </c>
    </row>
    <row r="14" spans="2:6" x14ac:dyDescent="0.3">
      <c r="B14" s="30" t="s">
        <v>312</v>
      </c>
      <c r="C14" s="34">
        <v>330000</v>
      </c>
      <c r="D14" s="34"/>
      <c r="E14" s="34">
        <v>500000</v>
      </c>
      <c r="F14" s="34">
        <v>830000</v>
      </c>
    </row>
    <row r="15" spans="2:6" x14ac:dyDescent="0.3">
      <c r="B15" s="30" t="s">
        <v>313</v>
      </c>
      <c r="C15" s="34">
        <v>1900000</v>
      </c>
      <c r="D15" s="34"/>
      <c r="E15" s="34"/>
      <c r="F15" s="34">
        <v>1900000</v>
      </c>
    </row>
    <row r="16" spans="2:6" x14ac:dyDescent="0.3">
      <c r="B16" s="30" t="s">
        <v>314</v>
      </c>
      <c r="C16" s="34">
        <v>1970000</v>
      </c>
      <c r="D16" s="34"/>
      <c r="E16" s="34"/>
      <c r="F16" s="34">
        <v>1970000</v>
      </c>
    </row>
    <row r="17" spans="2:6" x14ac:dyDescent="0.3">
      <c r="B17" s="30" t="s">
        <v>315</v>
      </c>
      <c r="C17" s="34">
        <v>2040000</v>
      </c>
      <c r="D17" s="34"/>
      <c r="E17" s="34"/>
      <c r="F17" s="34">
        <v>2040000</v>
      </c>
    </row>
    <row r="18" spans="2:6" x14ac:dyDescent="0.3">
      <c r="B18" s="30" t="s">
        <v>316</v>
      </c>
      <c r="C18" s="34">
        <v>89696310</v>
      </c>
      <c r="D18" s="34"/>
      <c r="E18" s="34"/>
      <c r="F18" s="34">
        <v>89696310</v>
      </c>
    </row>
    <row r="19" spans="2:6" x14ac:dyDescent="0.3">
      <c r="B19" s="30" t="s">
        <v>317</v>
      </c>
      <c r="C19" s="34">
        <v>45058000</v>
      </c>
      <c r="D19" s="34"/>
      <c r="E19" s="34"/>
      <c r="F19" s="34">
        <v>45058000</v>
      </c>
    </row>
    <row r="20" spans="2:6" x14ac:dyDescent="0.3">
      <c r="B20" s="30" t="s">
        <v>246</v>
      </c>
      <c r="C20" s="34">
        <v>13056300</v>
      </c>
      <c r="D20" s="34"/>
      <c r="E20" s="34"/>
      <c r="F20" s="34">
        <v>13056300</v>
      </c>
    </row>
    <row r="21" spans="2:6" x14ac:dyDescent="0.3">
      <c r="B21" s="30" t="s">
        <v>318</v>
      </c>
      <c r="C21" s="34">
        <v>2095000</v>
      </c>
      <c r="D21" s="34"/>
      <c r="E21" s="34"/>
      <c r="F21" s="34">
        <v>2095000</v>
      </c>
    </row>
    <row r="22" spans="2:6" x14ac:dyDescent="0.3">
      <c r="B22" s="30" t="s">
        <v>319</v>
      </c>
      <c r="C22" s="34">
        <v>4090000</v>
      </c>
      <c r="D22" s="34"/>
      <c r="E22" s="34"/>
      <c r="F22" s="34">
        <v>4090000</v>
      </c>
    </row>
    <row r="23" spans="2:6" x14ac:dyDescent="0.3">
      <c r="B23" s="30" t="s">
        <v>247</v>
      </c>
      <c r="C23" s="34">
        <v>100976805</v>
      </c>
      <c r="D23" s="34"/>
      <c r="E23" s="34"/>
      <c r="F23" s="34">
        <v>100976805</v>
      </c>
    </row>
    <row r="24" spans="2:6" x14ac:dyDescent="0.3">
      <c r="B24" s="30" t="s">
        <v>342</v>
      </c>
      <c r="C24" s="34">
        <v>3300000</v>
      </c>
      <c r="D24" s="34"/>
      <c r="E24" s="34"/>
      <c r="F24" s="34">
        <v>3300000</v>
      </c>
    </row>
    <row r="25" spans="2:6" x14ac:dyDescent="0.3">
      <c r="B25" s="30" t="s">
        <v>343</v>
      </c>
      <c r="C25" s="34">
        <v>368000</v>
      </c>
      <c r="D25" s="34"/>
      <c r="E25" s="34"/>
      <c r="F25" s="34">
        <v>368000</v>
      </c>
    </row>
    <row r="26" spans="2:6" x14ac:dyDescent="0.3">
      <c r="B26" s="30" t="s">
        <v>406</v>
      </c>
      <c r="C26" s="34"/>
      <c r="D26" s="34"/>
      <c r="E26" s="34">
        <v>29900000</v>
      </c>
      <c r="F26" s="34">
        <v>29900000</v>
      </c>
    </row>
    <row r="27" spans="2:6" x14ac:dyDescent="0.3">
      <c r="B27" s="30" t="s">
        <v>408</v>
      </c>
      <c r="C27" s="34">
        <v>13796200</v>
      </c>
      <c r="D27" s="34"/>
      <c r="E27" s="34"/>
      <c r="F27" s="34">
        <v>13796200</v>
      </c>
    </row>
    <row r="28" spans="2:6" x14ac:dyDescent="0.3">
      <c r="B28" s="30" t="s">
        <v>422</v>
      </c>
      <c r="C28" s="34">
        <v>710000</v>
      </c>
      <c r="D28" s="34"/>
      <c r="E28" s="34"/>
      <c r="F28" s="34">
        <v>710000</v>
      </c>
    </row>
    <row r="29" spans="2:6" x14ac:dyDescent="0.3">
      <c r="B29" s="30" t="s">
        <v>436</v>
      </c>
      <c r="C29" s="34">
        <v>2000000</v>
      </c>
      <c r="D29" s="34"/>
      <c r="E29" s="34"/>
      <c r="F29" s="34">
        <v>2000000</v>
      </c>
    </row>
    <row r="30" spans="2:6" x14ac:dyDescent="0.3">
      <c r="B30" s="30" t="s">
        <v>437</v>
      </c>
      <c r="C30" s="34">
        <v>2000000</v>
      </c>
      <c r="D30" s="34"/>
      <c r="E30" s="34">
        <v>1500000</v>
      </c>
      <c r="F30" s="34">
        <v>3500000</v>
      </c>
    </row>
    <row r="31" spans="2:6" x14ac:dyDescent="0.3">
      <c r="B31" s="30" t="s">
        <v>491</v>
      </c>
      <c r="C31" s="34">
        <v>1680000</v>
      </c>
      <c r="D31" s="34"/>
      <c r="E31" s="34"/>
      <c r="F31" s="34">
        <v>1680000</v>
      </c>
    </row>
    <row r="32" spans="2:6" x14ac:dyDescent="0.3">
      <c r="B32" s="30" t="s">
        <v>487</v>
      </c>
      <c r="C32" s="34">
        <v>1272055.6000000001</v>
      </c>
      <c r="D32" s="34"/>
      <c r="E32" s="34"/>
      <c r="F32" s="34">
        <v>1272055.6000000001</v>
      </c>
    </row>
    <row r="33" spans="2:6" x14ac:dyDescent="0.3">
      <c r="B33" s="30" t="s">
        <v>484</v>
      </c>
      <c r="C33" s="34">
        <v>420000</v>
      </c>
      <c r="D33" s="34"/>
      <c r="E33" s="34"/>
      <c r="F33" s="34">
        <v>420000</v>
      </c>
    </row>
    <row r="34" spans="2:6" x14ac:dyDescent="0.3">
      <c r="B34" s="30" t="s">
        <v>472</v>
      </c>
      <c r="C34" s="34">
        <v>30474085.465999998</v>
      </c>
      <c r="D34" s="34"/>
      <c r="E34" s="34"/>
      <c r="F34" s="34">
        <v>30474085.465999998</v>
      </c>
    </row>
    <row r="35" spans="2:6" x14ac:dyDescent="0.3">
      <c r="B35" s="30" t="s">
        <v>466</v>
      </c>
      <c r="C35" s="34">
        <v>2275000</v>
      </c>
      <c r="D35" s="34"/>
      <c r="E35" s="34"/>
      <c r="F35" s="34">
        <v>2275000</v>
      </c>
    </row>
    <row r="36" spans="2:6" x14ac:dyDescent="0.3">
      <c r="B36" s="30" t="s">
        <v>461</v>
      </c>
      <c r="C36" s="34">
        <v>62600000</v>
      </c>
      <c r="D36" s="34"/>
      <c r="E36" s="34"/>
      <c r="F36" s="34">
        <v>62600000</v>
      </c>
    </row>
    <row r="37" spans="2:6" x14ac:dyDescent="0.3">
      <c r="B37" s="30" t="s">
        <v>501</v>
      </c>
      <c r="C37" s="34">
        <v>5000000</v>
      </c>
      <c r="D37" s="34"/>
      <c r="E37" s="34">
        <v>5000000</v>
      </c>
      <c r="F37" s="34">
        <v>10000000</v>
      </c>
    </row>
    <row r="38" spans="2:6" x14ac:dyDescent="0.3">
      <c r="B38" s="30" t="s">
        <v>534</v>
      </c>
      <c r="C38" s="34"/>
      <c r="D38" s="34"/>
      <c r="E38" s="34">
        <v>2611000</v>
      </c>
      <c r="F38" s="34">
        <v>2611000</v>
      </c>
    </row>
    <row r="39" spans="2:6" x14ac:dyDescent="0.3">
      <c r="B39" s="30" t="s">
        <v>538</v>
      </c>
      <c r="C39" s="34">
        <v>250000</v>
      </c>
      <c r="D39" s="34"/>
      <c r="E39" s="34"/>
      <c r="F39" s="34">
        <v>250000</v>
      </c>
    </row>
    <row r="40" spans="2:6" x14ac:dyDescent="0.3">
      <c r="B40" s="30" t="s">
        <v>562</v>
      </c>
      <c r="C40" s="34"/>
      <c r="D40" s="34"/>
      <c r="E40" s="34">
        <v>800000</v>
      </c>
      <c r="F40" s="34">
        <v>800000</v>
      </c>
    </row>
    <row r="41" spans="2:6" x14ac:dyDescent="0.3">
      <c r="B41" s="30" t="s">
        <v>320</v>
      </c>
      <c r="C41" s="34">
        <v>579140636.06599998</v>
      </c>
      <c r="D41" s="34">
        <v>216000</v>
      </c>
      <c r="E41" s="34">
        <v>43761000</v>
      </c>
      <c r="F41" s="34">
        <v>623117636.06599998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31AA7-48EE-42CB-A20E-B7B7EFA59397}">
  <dimension ref="A1:Z118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8.5" defaultRowHeight="16.5" x14ac:dyDescent="0.3"/>
  <cols>
    <col min="1" max="1" width="9.75" style="51" bestFit="1" customWidth="1"/>
    <col min="2" max="2" width="13" style="37" customWidth="1"/>
    <col min="3" max="3" width="20.875" customWidth="1"/>
    <col min="4" max="4" width="21" style="21" customWidth="1"/>
    <col min="5" max="5" width="24" bestFit="1" customWidth="1"/>
    <col min="6" max="6" width="8" customWidth="1"/>
    <col min="7" max="7" width="47.125" bestFit="1" customWidth="1"/>
    <col min="8" max="8" width="11.5" bestFit="1" customWidth="1"/>
    <col min="9" max="9" width="28.375" style="37" bestFit="1" customWidth="1"/>
    <col min="10" max="10" width="18.125" style="51" bestFit="1" customWidth="1"/>
    <col min="11" max="11" width="24" style="37" bestFit="1" customWidth="1"/>
    <col min="12" max="12" width="13" bestFit="1" customWidth="1"/>
    <col min="13" max="13" width="18.5" style="54" customWidth="1"/>
    <col min="14" max="14" width="45" bestFit="1" customWidth="1"/>
    <col min="15" max="15" width="11" bestFit="1" customWidth="1"/>
    <col min="16" max="16" width="43.875" bestFit="1" customWidth="1"/>
    <col min="17" max="17" width="16.5" bestFit="1" customWidth="1"/>
    <col min="18" max="18" width="11.5" bestFit="1" customWidth="1"/>
    <col min="19" max="19" width="52" bestFit="1" customWidth="1"/>
    <col min="20" max="20" width="51.375" bestFit="1" customWidth="1"/>
    <col min="21" max="21" width="11" customWidth="1"/>
    <col min="22" max="22" width="21" bestFit="1" customWidth="1"/>
    <col min="23" max="23" width="173" bestFit="1" customWidth="1"/>
    <col min="24" max="24" width="13.5" customWidth="1"/>
    <col min="26" max="26" width="9.375" bestFit="1" customWidth="1"/>
  </cols>
  <sheetData>
    <row r="1" spans="1:26" x14ac:dyDescent="0.3">
      <c r="C1" s="3" t="s">
        <v>7</v>
      </c>
      <c r="L1" s="26"/>
      <c r="Y1" t="s">
        <v>4</v>
      </c>
      <c r="Z1" s="2"/>
    </row>
    <row r="2" spans="1:26" s="51" customFormat="1" ht="33" x14ac:dyDescent="0.3">
      <c r="A2" s="65" t="s">
        <v>507</v>
      </c>
      <c r="B2" s="38" t="s">
        <v>32</v>
      </c>
      <c r="C2" s="47" t="s">
        <v>331</v>
      </c>
      <c r="D2" s="48" t="s">
        <v>6</v>
      </c>
      <c r="E2" s="47" t="s">
        <v>1</v>
      </c>
      <c r="F2" s="47" t="s">
        <v>8</v>
      </c>
      <c r="G2" s="47" t="s">
        <v>2</v>
      </c>
      <c r="H2" s="47" t="s">
        <v>10</v>
      </c>
      <c r="I2" s="38" t="s">
        <v>220</v>
      </c>
      <c r="J2" s="47" t="s">
        <v>107</v>
      </c>
      <c r="K2" s="38" t="s">
        <v>218</v>
      </c>
      <c r="L2" s="49" t="s">
        <v>287</v>
      </c>
      <c r="M2" s="50" t="s">
        <v>288</v>
      </c>
      <c r="N2" s="47" t="s">
        <v>3</v>
      </c>
      <c r="O2" s="47" t="s">
        <v>9</v>
      </c>
      <c r="P2" s="47" t="s">
        <v>0</v>
      </c>
      <c r="Q2" s="47" t="s">
        <v>108</v>
      </c>
      <c r="R2" s="47" t="s">
        <v>109</v>
      </c>
      <c r="S2" s="47" t="s">
        <v>110</v>
      </c>
      <c r="T2" s="47" t="s">
        <v>111</v>
      </c>
      <c r="U2" s="47" t="s">
        <v>329</v>
      </c>
      <c r="V2" s="47" t="s">
        <v>112</v>
      </c>
      <c r="W2" s="47" t="s">
        <v>389</v>
      </c>
      <c r="Y2" s="51" t="s">
        <v>5</v>
      </c>
      <c r="Z2" s="52"/>
    </row>
    <row r="3" spans="1:26" s="51" customFormat="1" x14ac:dyDescent="0.3">
      <c r="A3" s="51">
        <v>116</v>
      </c>
      <c r="B3" s="38">
        <v>45730</v>
      </c>
      <c r="C3" s="68" t="s">
        <v>308</v>
      </c>
      <c r="D3" s="48"/>
      <c r="E3" s="68" t="s">
        <v>557</v>
      </c>
      <c r="F3" s="47"/>
      <c r="G3" s="68" t="s">
        <v>556</v>
      </c>
      <c r="H3" s="47">
        <v>250</v>
      </c>
      <c r="I3" s="38">
        <v>45758</v>
      </c>
      <c r="J3" s="47" t="s">
        <v>387</v>
      </c>
      <c r="K3" s="38"/>
      <c r="L3" s="49"/>
      <c r="M3" s="50">
        <v>450000</v>
      </c>
      <c r="N3" s="75" t="s">
        <v>511</v>
      </c>
      <c r="O3" s="1" t="s">
        <v>268</v>
      </c>
      <c r="P3" s="68" t="s">
        <v>187</v>
      </c>
      <c r="Q3" s="1" t="s">
        <v>368</v>
      </c>
      <c r="R3" s="68"/>
      <c r="S3" s="47"/>
      <c r="T3" s="47"/>
      <c r="U3" s="35" t="str">
        <f t="shared" ref="U3:U4" si="0">IF(ISBLANK(T3)=FALSE, "1.지불 완료", IF(ISBLANK(R3)=FALSE, "2.공급 완료", "3.진행 중"))</f>
        <v>3.진행 중</v>
      </c>
      <c r="V3" s="5" t="s">
        <v>271</v>
      </c>
      <c r="W3" s="68" t="s">
        <v>560</v>
      </c>
      <c r="Z3" s="73"/>
    </row>
    <row r="4" spans="1:26" s="73" customFormat="1" x14ac:dyDescent="0.3">
      <c r="A4" s="73">
        <v>115</v>
      </c>
      <c r="B4" s="74">
        <v>45726</v>
      </c>
      <c r="C4" s="75" t="s">
        <v>312</v>
      </c>
      <c r="D4" s="76"/>
      <c r="E4" s="82" t="s">
        <v>558</v>
      </c>
      <c r="F4" s="77"/>
      <c r="G4" s="75" t="s">
        <v>555</v>
      </c>
      <c r="H4" s="77">
        <v>1</v>
      </c>
      <c r="I4" s="74">
        <v>45754</v>
      </c>
      <c r="J4" s="77" t="s">
        <v>387</v>
      </c>
      <c r="K4" s="74"/>
      <c r="L4" s="78"/>
      <c r="M4" s="79">
        <v>500000</v>
      </c>
      <c r="N4" s="75" t="s">
        <v>511</v>
      </c>
      <c r="O4" s="1" t="s">
        <v>268</v>
      </c>
      <c r="P4" s="75" t="s">
        <v>187</v>
      </c>
      <c r="Q4" s="1" t="s">
        <v>368</v>
      </c>
      <c r="R4" s="68"/>
      <c r="S4" s="75"/>
      <c r="T4" s="75"/>
      <c r="U4" s="35" t="str">
        <f t="shared" si="0"/>
        <v>3.진행 중</v>
      </c>
      <c r="V4" s="5" t="s">
        <v>271</v>
      </c>
      <c r="W4" s="75" t="s">
        <v>559</v>
      </c>
    </row>
    <row r="5" spans="1:26" s="51" customFormat="1" x14ac:dyDescent="0.3">
      <c r="A5" s="51">
        <v>114</v>
      </c>
      <c r="B5" s="39">
        <v>45721</v>
      </c>
      <c r="C5" s="6" t="s">
        <v>539</v>
      </c>
      <c r="D5" s="61"/>
      <c r="E5" s="6" t="s">
        <v>540</v>
      </c>
      <c r="F5" s="58"/>
      <c r="G5" s="6" t="s">
        <v>541</v>
      </c>
      <c r="H5" s="58">
        <v>1000</v>
      </c>
      <c r="I5" s="39">
        <f>B5+28</f>
        <v>45749</v>
      </c>
      <c r="J5" s="58" t="s">
        <v>387</v>
      </c>
      <c r="K5" s="39">
        <v>45722</v>
      </c>
      <c r="L5" s="62"/>
      <c r="M5" s="60">
        <v>250000</v>
      </c>
      <c r="N5" s="6" t="s">
        <v>524</v>
      </c>
      <c r="O5" s="6" t="s">
        <v>268</v>
      </c>
      <c r="P5" s="6" t="s">
        <v>81</v>
      </c>
      <c r="Q5" s="6" t="s">
        <v>22</v>
      </c>
      <c r="R5" s="6" t="s">
        <v>77</v>
      </c>
      <c r="S5" s="6" t="s">
        <v>543</v>
      </c>
      <c r="T5" s="6" t="s">
        <v>544</v>
      </c>
      <c r="U5" s="11" t="str">
        <f t="shared" ref="U5" si="1">IF(ISBLANK(T5)=FALSE, "1.지불 완료", IF(ISBLANK(R5)=FALSE, "2.공급 완료", "3.진행 중"))</f>
        <v>1.지불 완료</v>
      </c>
      <c r="V5" s="8" t="s">
        <v>271</v>
      </c>
      <c r="W5" s="6" t="s">
        <v>542</v>
      </c>
    </row>
    <row r="6" spans="1:26" s="51" customFormat="1" x14ac:dyDescent="0.3">
      <c r="A6" s="51">
        <v>113</v>
      </c>
      <c r="B6" s="38">
        <v>45720</v>
      </c>
      <c r="C6" s="68" t="s">
        <v>546</v>
      </c>
      <c r="D6" s="48"/>
      <c r="E6" s="83" t="s">
        <v>551</v>
      </c>
      <c r="F6" s="47"/>
      <c r="G6" s="68" t="s">
        <v>431</v>
      </c>
      <c r="H6" s="47">
        <v>1</v>
      </c>
      <c r="I6" s="38">
        <v>45730</v>
      </c>
      <c r="J6" s="47"/>
      <c r="K6" s="38"/>
      <c r="L6" s="49"/>
      <c r="M6" s="50">
        <v>800000</v>
      </c>
      <c r="N6" s="75" t="s">
        <v>552</v>
      </c>
      <c r="O6" s="1" t="s">
        <v>268</v>
      </c>
      <c r="P6" s="68" t="s">
        <v>269</v>
      </c>
      <c r="Q6" s="1" t="s">
        <v>368</v>
      </c>
      <c r="R6" s="47"/>
      <c r="S6" s="80" t="s">
        <v>327</v>
      </c>
      <c r="T6" s="47"/>
      <c r="U6" s="35" t="str">
        <f t="shared" ref="U6:U12" si="2">IF(ISBLANK(T6)=FALSE, "1.지불 완료", IF(ISBLANK(R6)=FALSE, "2.공급 완료", "3.진행 중"))</f>
        <v>3.진행 중</v>
      </c>
      <c r="V6" s="5" t="s">
        <v>271</v>
      </c>
      <c r="W6" s="68" t="s">
        <v>554</v>
      </c>
      <c r="Z6" s="73"/>
    </row>
    <row r="7" spans="1:26" s="73" customFormat="1" x14ac:dyDescent="0.3">
      <c r="A7" s="51">
        <v>112</v>
      </c>
      <c r="B7" s="38">
        <v>45720</v>
      </c>
      <c r="C7" s="75" t="s">
        <v>433</v>
      </c>
      <c r="D7" s="76"/>
      <c r="E7" s="84" t="s">
        <v>550</v>
      </c>
      <c r="F7" s="77"/>
      <c r="G7" s="68" t="s">
        <v>431</v>
      </c>
      <c r="H7" s="47">
        <v>1</v>
      </c>
      <c r="I7" s="74">
        <v>45740</v>
      </c>
      <c r="J7" s="77"/>
      <c r="K7" s="74"/>
      <c r="L7" s="78"/>
      <c r="M7" s="79">
        <v>1500000</v>
      </c>
      <c r="N7" s="75" t="s">
        <v>552</v>
      </c>
      <c r="O7" s="1" t="s">
        <v>268</v>
      </c>
      <c r="P7" s="68" t="s">
        <v>269</v>
      </c>
      <c r="Q7" s="1" t="s">
        <v>368</v>
      </c>
      <c r="R7" s="75"/>
      <c r="S7" s="80" t="s">
        <v>327</v>
      </c>
      <c r="T7" s="75"/>
      <c r="U7" s="35" t="str">
        <f t="shared" si="2"/>
        <v>3.진행 중</v>
      </c>
      <c r="V7" s="5" t="s">
        <v>271</v>
      </c>
      <c r="W7" s="75" t="s">
        <v>553</v>
      </c>
    </row>
    <row r="8" spans="1:26" s="51" customFormat="1" x14ac:dyDescent="0.3">
      <c r="A8" s="51">
        <v>111</v>
      </c>
      <c r="B8" s="39">
        <v>45716</v>
      </c>
      <c r="C8" s="6" t="s">
        <v>75</v>
      </c>
      <c r="D8" s="61"/>
      <c r="E8" s="69" t="s">
        <v>518</v>
      </c>
      <c r="F8" s="58"/>
      <c r="G8" s="69" t="s">
        <v>522</v>
      </c>
      <c r="H8" s="58">
        <v>1</v>
      </c>
      <c r="I8" s="39">
        <v>45744</v>
      </c>
      <c r="J8" s="58" t="s">
        <v>387</v>
      </c>
      <c r="K8" s="39">
        <v>45716</v>
      </c>
      <c r="L8" s="62"/>
      <c r="M8" s="70">
        <v>1866000</v>
      </c>
      <c r="N8" s="69" t="s">
        <v>511</v>
      </c>
      <c r="O8" s="6" t="s">
        <v>268</v>
      </c>
      <c r="P8" s="69" t="s">
        <v>187</v>
      </c>
      <c r="Q8" s="6" t="s">
        <v>368</v>
      </c>
      <c r="R8" s="6" t="s">
        <v>77</v>
      </c>
      <c r="S8" s="6" t="s">
        <v>528</v>
      </c>
      <c r="T8" s="6" t="s">
        <v>545</v>
      </c>
      <c r="U8" s="11" t="str">
        <f t="shared" si="2"/>
        <v>1.지불 완료</v>
      </c>
      <c r="V8" s="8" t="s">
        <v>271</v>
      </c>
      <c r="W8" s="69" t="s">
        <v>537</v>
      </c>
    </row>
    <row r="9" spans="1:26" s="51" customFormat="1" x14ac:dyDescent="0.3">
      <c r="A9" s="51">
        <v>110</v>
      </c>
      <c r="B9" s="39">
        <v>45716</v>
      </c>
      <c r="C9" s="6" t="s">
        <v>23</v>
      </c>
      <c r="D9" s="61"/>
      <c r="E9" s="69" t="s">
        <v>517</v>
      </c>
      <c r="F9" s="58"/>
      <c r="G9" s="69" t="s">
        <v>521</v>
      </c>
      <c r="H9" s="58">
        <v>1</v>
      </c>
      <c r="I9" s="39">
        <v>45744</v>
      </c>
      <c r="J9" s="58" t="s">
        <v>387</v>
      </c>
      <c r="K9" s="39">
        <v>45716</v>
      </c>
      <c r="L9" s="62"/>
      <c r="M9" s="70">
        <v>2140340</v>
      </c>
      <c r="N9" s="69" t="s">
        <v>511</v>
      </c>
      <c r="O9" s="6" t="s">
        <v>268</v>
      </c>
      <c r="P9" s="69" t="s">
        <v>269</v>
      </c>
      <c r="Q9" s="6" t="s">
        <v>368</v>
      </c>
      <c r="R9" s="6" t="s">
        <v>77</v>
      </c>
      <c r="S9" s="6" t="s">
        <v>528</v>
      </c>
      <c r="T9" s="6" t="s">
        <v>545</v>
      </c>
      <c r="U9" s="11" t="str">
        <f t="shared" si="2"/>
        <v>1.지불 완료</v>
      </c>
      <c r="V9" s="8" t="s">
        <v>271</v>
      </c>
      <c r="W9" s="69" t="s">
        <v>525</v>
      </c>
    </row>
    <row r="10" spans="1:26" s="51" customFormat="1" x14ac:dyDescent="0.3">
      <c r="A10" s="51">
        <v>109</v>
      </c>
      <c r="B10" s="38">
        <v>45712</v>
      </c>
      <c r="C10" s="66" t="s">
        <v>514</v>
      </c>
      <c r="D10" s="48"/>
      <c r="E10" s="68" t="s">
        <v>516</v>
      </c>
      <c r="F10" s="47"/>
      <c r="G10" s="68" t="s">
        <v>520</v>
      </c>
      <c r="H10" s="47">
        <v>1</v>
      </c>
      <c r="I10" s="38">
        <v>45782</v>
      </c>
      <c r="J10" s="47" t="s">
        <v>523</v>
      </c>
      <c r="K10" s="38"/>
      <c r="L10" s="49"/>
      <c r="M10" s="50">
        <v>2611000</v>
      </c>
      <c r="N10" s="68" t="s">
        <v>524</v>
      </c>
      <c r="O10" s="1" t="s">
        <v>529</v>
      </c>
      <c r="P10" s="68" t="s">
        <v>530</v>
      </c>
      <c r="Q10" s="1" t="s">
        <v>368</v>
      </c>
      <c r="R10" s="47"/>
      <c r="S10" s="47"/>
      <c r="T10" s="47"/>
      <c r="U10" s="35" t="str">
        <f t="shared" si="2"/>
        <v>3.진행 중</v>
      </c>
      <c r="V10" s="5" t="s">
        <v>271</v>
      </c>
      <c r="W10" s="68" t="s">
        <v>526</v>
      </c>
    </row>
    <row r="11" spans="1:26" s="51" customFormat="1" x14ac:dyDescent="0.3">
      <c r="A11" s="51">
        <v>108</v>
      </c>
      <c r="B11" s="85">
        <v>45712</v>
      </c>
      <c r="C11" s="86" t="s">
        <v>56</v>
      </c>
      <c r="D11" s="87"/>
      <c r="E11" s="88" t="s">
        <v>515</v>
      </c>
      <c r="F11" s="89"/>
      <c r="G11" s="88" t="s">
        <v>519</v>
      </c>
      <c r="H11" s="89">
        <v>1</v>
      </c>
      <c r="I11" s="85">
        <v>45740</v>
      </c>
      <c r="J11" s="89" t="s">
        <v>387</v>
      </c>
      <c r="K11" s="85">
        <v>45727</v>
      </c>
      <c r="L11" s="90"/>
      <c r="M11" s="91">
        <v>216000</v>
      </c>
      <c r="N11" s="88" t="s">
        <v>511</v>
      </c>
      <c r="O11" s="92" t="s">
        <v>268</v>
      </c>
      <c r="P11" s="88" t="s">
        <v>187</v>
      </c>
      <c r="Q11" s="92" t="s">
        <v>368</v>
      </c>
      <c r="R11" s="88" t="s">
        <v>365</v>
      </c>
      <c r="S11" s="89"/>
      <c r="T11" s="89"/>
      <c r="U11" s="93" t="str">
        <f t="shared" si="2"/>
        <v>2.공급 완료</v>
      </c>
      <c r="V11" s="94" t="s">
        <v>271</v>
      </c>
      <c r="W11" s="88" t="s">
        <v>527</v>
      </c>
    </row>
    <row r="12" spans="1:26" s="51" customFormat="1" x14ac:dyDescent="0.3">
      <c r="A12" s="51">
        <v>107</v>
      </c>
      <c r="B12" s="38">
        <v>45708</v>
      </c>
      <c r="C12" s="67" t="s">
        <v>502</v>
      </c>
      <c r="D12" s="48"/>
      <c r="E12" s="68" t="s">
        <v>547</v>
      </c>
      <c r="F12" s="47"/>
      <c r="G12" s="68" t="s">
        <v>548</v>
      </c>
      <c r="H12" s="47">
        <v>1</v>
      </c>
      <c r="I12" s="38">
        <v>45747</v>
      </c>
      <c r="J12" s="47"/>
      <c r="K12" s="38"/>
      <c r="L12" s="49"/>
      <c r="M12" s="81">
        <v>5000000</v>
      </c>
      <c r="N12" s="75" t="s">
        <v>552</v>
      </c>
      <c r="O12" s="1" t="s">
        <v>268</v>
      </c>
      <c r="P12" s="68" t="s">
        <v>269</v>
      </c>
      <c r="Q12" s="1" t="s">
        <v>368</v>
      </c>
      <c r="R12" s="47"/>
      <c r="S12" s="80" t="s">
        <v>327</v>
      </c>
      <c r="T12" s="47"/>
      <c r="U12" s="35" t="str">
        <f t="shared" si="2"/>
        <v>3.진행 중</v>
      </c>
      <c r="V12" s="5" t="s">
        <v>271</v>
      </c>
      <c r="W12" s="68" t="s">
        <v>549</v>
      </c>
    </row>
    <row r="13" spans="1:26" s="51" customFormat="1" x14ac:dyDescent="0.3">
      <c r="A13" s="51">
        <v>106</v>
      </c>
      <c r="B13" s="39">
        <v>45707</v>
      </c>
      <c r="C13" s="6" t="s">
        <v>248</v>
      </c>
      <c r="D13" s="61"/>
      <c r="E13" s="69" t="s">
        <v>508</v>
      </c>
      <c r="F13" s="58"/>
      <c r="G13" s="69" t="s">
        <v>509</v>
      </c>
      <c r="H13" s="58">
        <v>15</v>
      </c>
      <c r="I13" s="39">
        <v>45763</v>
      </c>
      <c r="J13" s="58" t="s">
        <v>510</v>
      </c>
      <c r="K13" s="39">
        <v>45712</v>
      </c>
      <c r="L13" s="62"/>
      <c r="M13" s="70">
        <v>99000</v>
      </c>
      <c r="N13" s="69" t="s">
        <v>511</v>
      </c>
      <c r="O13" s="6" t="s">
        <v>268</v>
      </c>
      <c r="P13" s="69" t="s">
        <v>269</v>
      </c>
      <c r="Q13" s="6" t="s">
        <v>368</v>
      </c>
      <c r="R13" s="69" t="s">
        <v>365</v>
      </c>
      <c r="S13" s="6" t="s">
        <v>531</v>
      </c>
      <c r="T13" s="6" t="s">
        <v>545</v>
      </c>
      <c r="U13" s="11" t="str">
        <f t="shared" ref="U13:U14" si="3">IF(ISBLANK(T13)=FALSE, "1.지불 완료", IF(ISBLANK(R13)=FALSE, "2.공급 완료", "3.진행 중"))</f>
        <v>1.지불 완료</v>
      </c>
      <c r="V13" s="8" t="s">
        <v>271</v>
      </c>
      <c r="W13" s="69" t="s">
        <v>513</v>
      </c>
    </row>
    <row r="14" spans="1:26" s="51" customFormat="1" x14ac:dyDescent="0.3">
      <c r="A14" s="51">
        <v>105</v>
      </c>
      <c r="B14" s="39">
        <v>45699</v>
      </c>
      <c r="C14" s="6" t="s">
        <v>248</v>
      </c>
      <c r="D14" s="61"/>
      <c r="E14" s="6" t="s">
        <v>426</v>
      </c>
      <c r="F14" s="58"/>
      <c r="G14" s="6" t="s">
        <v>427</v>
      </c>
      <c r="H14" s="58">
        <v>1</v>
      </c>
      <c r="I14" s="39">
        <v>45755</v>
      </c>
      <c r="J14" s="58" t="s">
        <v>420</v>
      </c>
      <c r="K14" s="39">
        <v>45712</v>
      </c>
      <c r="L14" s="62"/>
      <c r="M14" s="60">
        <v>2910000</v>
      </c>
      <c r="N14" s="6" t="s">
        <v>52</v>
      </c>
      <c r="O14" s="6" t="s">
        <v>268</v>
      </c>
      <c r="P14" s="6" t="s">
        <v>269</v>
      </c>
      <c r="Q14" s="6" t="s">
        <v>368</v>
      </c>
      <c r="R14" s="69" t="s">
        <v>365</v>
      </c>
      <c r="S14" s="6" t="s">
        <v>531</v>
      </c>
      <c r="T14" s="6" t="s">
        <v>544</v>
      </c>
      <c r="U14" s="11" t="str">
        <f t="shared" si="3"/>
        <v>1.지불 완료</v>
      </c>
      <c r="V14" s="8" t="s">
        <v>271</v>
      </c>
      <c r="W14" s="6" t="s">
        <v>428</v>
      </c>
    </row>
    <row r="15" spans="1:26" s="51" customFormat="1" x14ac:dyDescent="0.3">
      <c r="A15" s="51">
        <v>104</v>
      </c>
      <c r="B15" s="39">
        <v>45699</v>
      </c>
      <c r="C15" s="6" t="s">
        <v>56</v>
      </c>
      <c r="D15" s="61"/>
      <c r="E15" s="6" t="s">
        <v>423</v>
      </c>
      <c r="F15" s="58"/>
      <c r="G15" s="6" t="s">
        <v>424</v>
      </c>
      <c r="H15" s="58">
        <v>1</v>
      </c>
      <c r="I15" s="39">
        <f>B15+28</f>
        <v>45727</v>
      </c>
      <c r="J15" s="58" t="s">
        <v>387</v>
      </c>
      <c r="K15" s="39">
        <v>45700</v>
      </c>
      <c r="L15" s="62"/>
      <c r="M15" s="60">
        <v>735000</v>
      </c>
      <c r="N15" s="6" t="s">
        <v>52</v>
      </c>
      <c r="O15" s="6" t="s">
        <v>268</v>
      </c>
      <c r="P15" s="6" t="s">
        <v>187</v>
      </c>
      <c r="Q15" s="6" t="s">
        <v>368</v>
      </c>
      <c r="R15" s="6" t="s">
        <v>77</v>
      </c>
      <c r="S15" s="6" t="s">
        <v>532</v>
      </c>
      <c r="T15" s="6" t="s">
        <v>545</v>
      </c>
      <c r="U15" s="11" t="str">
        <f t="shared" ref="U15" si="4">IF(ISBLANK(T15)=FALSE, "1.지불 완료", IF(ISBLANK(R15)=FALSE, "2.공급 완료", "3.진행 중"))</f>
        <v>1.지불 완료</v>
      </c>
      <c r="V15" s="8" t="s">
        <v>271</v>
      </c>
      <c r="W15" s="6" t="s">
        <v>425</v>
      </c>
    </row>
    <row r="16" spans="1:26" s="51" customFormat="1" x14ac:dyDescent="0.3">
      <c r="A16" s="51">
        <v>103</v>
      </c>
      <c r="B16" s="39">
        <v>45698</v>
      </c>
      <c r="C16" s="6" t="s">
        <v>417</v>
      </c>
      <c r="D16" s="61"/>
      <c r="E16" s="6" t="s">
        <v>418</v>
      </c>
      <c r="F16" s="58"/>
      <c r="G16" s="6" t="s">
        <v>419</v>
      </c>
      <c r="H16" s="58">
        <v>1</v>
      </c>
      <c r="I16" s="39">
        <f>B16+56</f>
        <v>45754</v>
      </c>
      <c r="J16" s="58" t="s">
        <v>420</v>
      </c>
      <c r="K16" s="39">
        <v>45714</v>
      </c>
      <c r="L16" s="62"/>
      <c r="M16" s="70">
        <v>710000</v>
      </c>
      <c r="N16" s="6" t="s">
        <v>52</v>
      </c>
      <c r="O16" s="6" t="s">
        <v>268</v>
      </c>
      <c r="P16" s="6" t="s">
        <v>180</v>
      </c>
      <c r="Q16" s="6" t="s">
        <v>368</v>
      </c>
      <c r="R16" s="6" t="s">
        <v>77</v>
      </c>
      <c r="S16" s="6" t="s">
        <v>535</v>
      </c>
      <c r="T16" s="6" t="s">
        <v>545</v>
      </c>
      <c r="U16" s="11" t="str">
        <f t="shared" ref="U16" si="5">IF(ISBLANK(T16)=FALSE, "1.지불 완료", IF(ISBLANK(R16)=FALSE, "2.공급 완료", "3.진행 중"))</f>
        <v>1.지불 완료</v>
      </c>
      <c r="V16" s="8" t="s">
        <v>271</v>
      </c>
      <c r="W16" s="6" t="s">
        <v>421</v>
      </c>
    </row>
    <row r="17" spans="1:23" s="51" customFormat="1" x14ac:dyDescent="0.3">
      <c r="A17" s="51">
        <v>102</v>
      </c>
      <c r="B17" s="39">
        <v>45694</v>
      </c>
      <c r="C17" s="6" t="s">
        <v>408</v>
      </c>
      <c r="D17" s="61"/>
      <c r="E17" s="6" t="s">
        <v>409</v>
      </c>
      <c r="F17" s="58"/>
      <c r="G17" s="6" t="s">
        <v>410</v>
      </c>
      <c r="H17" s="58">
        <v>1</v>
      </c>
      <c r="I17" s="39">
        <v>45778</v>
      </c>
      <c r="J17" s="58" t="s">
        <v>411</v>
      </c>
      <c r="K17" s="39"/>
      <c r="L17" s="62"/>
      <c r="M17" s="60">
        <v>9760500</v>
      </c>
      <c r="N17" s="6" t="s">
        <v>416</v>
      </c>
      <c r="O17" s="6" t="s">
        <v>268</v>
      </c>
      <c r="P17" s="6" t="s">
        <v>180</v>
      </c>
      <c r="Q17" s="6" t="s">
        <v>368</v>
      </c>
      <c r="R17" s="71" t="s">
        <v>339</v>
      </c>
      <c r="S17" s="6" t="s">
        <v>528</v>
      </c>
      <c r="T17" s="6" t="s">
        <v>545</v>
      </c>
      <c r="U17" s="11" t="str">
        <f t="shared" ref="U17:U84" si="6">IF(ISBLANK(T17)=FALSE, "1.지불 완료", IF(ISBLANK(R17)=FALSE, "2.공급 완료", "3.진행 중"))</f>
        <v>1.지불 완료</v>
      </c>
      <c r="V17" s="8" t="s">
        <v>271</v>
      </c>
      <c r="W17" s="6" t="s">
        <v>412</v>
      </c>
    </row>
    <row r="18" spans="1:23" s="51" customFormat="1" x14ac:dyDescent="0.3">
      <c r="A18" s="51">
        <v>101</v>
      </c>
      <c r="B18" s="39">
        <v>45691</v>
      </c>
      <c r="C18" s="6" t="s">
        <v>429</v>
      </c>
      <c r="D18" s="61"/>
      <c r="E18" s="6" t="s">
        <v>430</v>
      </c>
      <c r="F18" s="58"/>
      <c r="G18" s="6" t="s">
        <v>431</v>
      </c>
      <c r="H18" s="58">
        <v>1</v>
      </c>
      <c r="I18" s="39">
        <v>45716</v>
      </c>
      <c r="J18" s="39">
        <v>45716</v>
      </c>
      <c r="K18" s="39">
        <v>45716</v>
      </c>
      <c r="L18" s="62"/>
      <c r="M18" s="60">
        <v>2000000</v>
      </c>
      <c r="N18" s="72" t="s">
        <v>432</v>
      </c>
      <c r="O18" s="6" t="s">
        <v>268</v>
      </c>
      <c r="P18" s="6" t="s">
        <v>269</v>
      </c>
      <c r="Q18" s="6" t="s">
        <v>368</v>
      </c>
      <c r="R18" s="69" t="s">
        <v>160</v>
      </c>
      <c r="S18" s="8" t="s">
        <v>327</v>
      </c>
      <c r="T18" s="6" t="s">
        <v>545</v>
      </c>
      <c r="U18" s="11" t="str">
        <f t="shared" si="6"/>
        <v>1.지불 완료</v>
      </c>
      <c r="V18" s="8" t="s">
        <v>217</v>
      </c>
      <c r="W18" s="6" t="s">
        <v>536</v>
      </c>
    </row>
    <row r="19" spans="1:23" s="51" customFormat="1" x14ac:dyDescent="0.3">
      <c r="A19" s="51">
        <v>100</v>
      </c>
      <c r="B19" s="39">
        <v>45691</v>
      </c>
      <c r="C19" s="6" t="s">
        <v>433</v>
      </c>
      <c r="D19" s="61"/>
      <c r="E19" s="6" t="s">
        <v>434</v>
      </c>
      <c r="F19" s="58"/>
      <c r="G19" s="6" t="s">
        <v>431</v>
      </c>
      <c r="H19" s="58">
        <v>1</v>
      </c>
      <c r="I19" s="39">
        <v>45716</v>
      </c>
      <c r="J19" s="39">
        <v>45716</v>
      </c>
      <c r="K19" s="39">
        <v>45716</v>
      </c>
      <c r="L19" s="62"/>
      <c r="M19" s="60">
        <v>2000000</v>
      </c>
      <c r="N19" s="72" t="s">
        <v>432</v>
      </c>
      <c r="O19" s="6" t="s">
        <v>268</v>
      </c>
      <c r="P19" s="6" t="s">
        <v>269</v>
      </c>
      <c r="Q19" s="6" t="s">
        <v>368</v>
      </c>
      <c r="R19" s="69" t="s">
        <v>160</v>
      </c>
      <c r="S19" s="8" t="s">
        <v>327</v>
      </c>
      <c r="T19" s="6" t="s">
        <v>545</v>
      </c>
      <c r="U19" s="11" t="str">
        <f t="shared" si="6"/>
        <v>1.지불 완료</v>
      </c>
      <c r="V19" s="8" t="s">
        <v>217</v>
      </c>
      <c r="W19" s="6" t="s">
        <v>435</v>
      </c>
    </row>
    <row r="20" spans="1:23" s="51" customFormat="1" x14ac:dyDescent="0.3">
      <c r="A20" s="51">
        <v>99</v>
      </c>
      <c r="B20" s="39">
        <v>45681</v>
      </c>
      <c r="C20" s="6" t="s">
        <v>23</v>
      </c>
      <c r="D20" s="61"/>
      <c r="E20" s="6" t="s">
        <v>403</v>
      </c>
      <c r="F20" s="58"/>
      <c r="G20" s="6" t="s">
        <v>405</v>
      </c>
      <c r="H20" s="58">
        <v>1</v>
      </c>
      <c r="I20" s="39">
        <f>B20+28</f>
        <v>45709</v>
      </c>
      <c r="J20" s="58" t="s">
        <v>387</v>
      </c>
      <c r="K20" s="39">
        <v>45681</v>
      </c>
      <c r="L20" s="62"/>
      <c r="M20" s="60">
        <v>1335200</v>
      </c>
      <c r="N20" s="6" t="s">
        <v>277</v>
      </c>
      <c r="O20" s="6" t="s">
        <v>268</v>
      </c>
      <c r="P20" s="6" t="s">
        <v>269</v>
      </c>
      <c r="Q20" s="6" t="s">
        <v>22</v>
      </c>
      <c r="R20" s="6" t="s">
        <v>77</v>
      </c>
      <c r="S20" s="6" t="s">
        <v>393</v>
      </c>
      <c r="T20" s="6" t="s">
        <v>415</v>
      </c>
      <c r="U20" s="11" t="str">
        <f t="shared" si="6"/>
        <v>1.지불 완료</v>
      </c>
      <c r="V20" s="8" t="s">
        <v>271</v>
      </c>
      <c r="W20" s="6" t="s">
        <v>402</v>
      </c>
    </row>
    <row r="21" spans="1:23" s="51" customFormat="1" x14ac:dyDescent="0.3">
      <c r="A21" s="51">
        <v>98</v>
      </c>
      <c r="B21" s="39">
        <v>45681</v>
      </c>
      <c r="C21" s="6" t="s">
        <v>23</v>
      </c>
      <c r="D21" s="61"/>
      <c r="E21" s="6" t="s">
        <v>400</v>
      </c>
      <c r="F21" s="58"/>
      <c r="G21" s="6" t="s">
        <v>404</v>
      </c>
      <c r="H21" s="58">
        <v>1</v>
      </c>
      <c r="I21" s="39">
        <f>B21+28</f>
        <v>45709</v>
      </c>
      <c r="J21" s="58" t="s">
        <v>387</v>
      </c>
      <c r="K21" s="39">
        <v>45677</v>
      </c>
      <c r="L21" s="62"/>
      <c r="M21" s="60">
        <v>1039000</v>
      </c>
      <c r="N21" s="6" t="s">
        <v>277</v>
      </c>
      <c r="O21" s="6" t="s">
        <v>268</v>
      </c>
      <c r="P21" s="6" t="s">
        <v>269</v>
      </c>
      <c r="Q21" s="6" t="s">
        <v>22</v>
      </c>
      <c r="R21" s="6" t="s">
        <v>77</v>
      </c>
      <c r="S21" s="6" t="s">
        <v>407</v>
      </c>
      <c r="T21" s="6" t="s">
        <v>415</v>
      </c>
      <c r="U21" s="11" t="str">
        <f t="shared" si="6"/>
        <v>1.지불 완료</v>
      </c>
      <c r="V21" s="8" t="s">
        <v>271</v>
      </c>
      <c r="W21" s="6" t="s">
        <v>401</v>
      </c>
    </row>
    <row r="22" spans="1:23" s="51" customFormat="1" x14ac:dyDescent="0.3">
      <c r="A22" s="51">
        <v>97</v>
      </c>
      <c r="B22" s="38">
        <v>45680</v>
      </c>
      <c r="C22" s="1" t="s">
        <v>395</v>
      </c>
      <c r="D22" s="48"/>
      <c r="E22" s="1" t="s">
        <v>399</v>
      </c>
      <c r="F22" s="47"/>
      <c r="G22" s="1" t="s">
        <v>398</v>
      </c>
      <c r="H22" s="47">
        <v>1</v>
      </c>
      <c r="I22" s="38">
        <f>B22+42</f>
        <v>45722</v>
      </c>
      <c r="J22" s="47" t="s">
        <v>59</v>
      </c>
      <c r="K22" s="38"/>
      <c r="L22" s="49"/>
      <c r="M22" s="36">
        <v>29900000</v>
      </c>
      <c r="N22" s="1" t="s">
        <v>397</v>
      </c>
      <c r="O22" s="1" t="s">
        <v>268</v>
      </c>
      <c r="P22" s="1" t="s">
        <v>187</v>
      </c>
      <c r="Q22" s="1" t="s">
        <v>22</v>
      </c>
      <c r="R22" s="47"/>
      <c r="S22" s="47"/>
      <c r="T22" s="47"/>
      <c r="U22" s="35" t="str">
        <f t="shared" si="6"/>
        <v>3.진행 중</v>
      </c>
      <c r="V22" s="5" t="s">
        <v>271</v>
      </c>
      <c r="W22" s="1" t="s">
        <v>396</v>
      </c>
    </row>
    <row r="23" spans="1:23" s="51" customFormat="1" x14ac:dyDescent="0.3">
      <c r="A23" s="51">
        <v>96</v>
      </c>
      <c r="B23" s="39">
        <v>45680</v>
      </c>
      <c r="C23" s="6" t="s">
        <v>248</v>
      </c>
      <c r="D23" s="61"/>
      <c r="E23" s="6" t="s">
        <v>390</v>
      </c>
      <c r="F23" s="58"/>
      <c r="G23" s="6" t="s">
        <v>391</v>
      </c>
      <c r="H23" s="58">
        <v>1</v>
      </c>
      <c r="I23" s="39">
        <f>B23+28</f>
        <v>45708</v>
      </c>
      <c r="J23" s="58" t="s">
        <v>387</v>
      </c>
      <c r="K23" s="39">
        <v>45693</v>
      </c>
      <c r="L23" s="62"/>
      <c r="M23" s="60">
        <v>34280</v>
      </c>
      <c r="N23" s="6" t="s">
        <v>26</v>
      </c>
      <c r="O23" s="6" t="s">
        <v>268</v>
      </c>
      <c r="P23" s="6" t="s">
        <v>269</v>
      </c>
      <c r="Q23" s="6" t="s">
        <v>22</v>
      </c>
      <c r="R23" s="6" t="s">
        <v>77</v>
      </c>
      <c r="S23" s="6" t="s">
        <v>533</v>
      </c>
      <c r="T23" s="6" t="s">
        <v>545</v>
      </c>
      <c r="U23" s="11" t="str">
        <f t="shared" si="6"/>
        <v>1.지불 완료</v>
      </c>
      <c r="V23" s="8" t="s">
        <v>271</v>
      </c>
      <c r="W23" s="6" t="s">
        <v>392</v>
      </c>
    </row>
    <row r="24" spans="1:23" s="51" customFormat="1" x14ac:dyDescent="0.3">
      <c r="A24" s="51">
        <v>95</v>
      </c>
      <c r="B24" s="39">
        <v>45680</v>
      </c>
      <c r="C24" s="6" t="s">
        <v>245</v>
      </c>
      <c r="D24" s="61"/>
      <c r="E24" s="6" t="s">
        <v>385</v>
      </c>
      <c r="F24" s="58"/>
      <c r="G24" s="6" t="s">
        <v>386</v>
      </c>
      <c r="H24" s="58">
        <v>1</v>
      </c>
      <c r="I24" s="39">
        <f>B24+28</f>
        <v>45708</v>
      </c>
      <c r="J24" s="58" t="s">
        <v>387</v>
      </c>
      <c r="K24" s="39">
        <v>45680</v>
      </c>
      <c r="L24" s="62"/>
      <c r="M24" s="60">
        <v>6319200</v>
      </c>
      <c r="N24" s="6" t="s">
        <v>26</v>
      </c>
      <c r="O24" s="6" t="s">
        <v>268</v>
      </c>
      <c r="P24" s="63" t="s">
        <v>78</v>
      </c>
      <c r="Q24" s="6" t="s">
        <v>368</v>
      </c>
      <c r="R24" s="10" t="s">
        <v>77</v>
      </c>
      <c r="S24" s="6" t="s">
        <v>393</v>
      </c>
      <c r="T24" s="6" t="s">
        <v>415</v>
      </c>
      <c r="U24" s="11" t="str">
        <f t="shared" si="6"/>
        <v>1.지불 완료</v>
      </c>
      <c r="V24" s="8" t="s">
        <v>271</v>
      </c>
      <c r="W24" s="6" t="s">
        <v>388</v>
      </c>
    </row>
    <row r="25" spans="1:23" s="51" customFormat="1" x14ac:dyDescent="0.3">
      <c r="A25" s="51">
        <v>94</v>
      </c>
      <c r="B25" s="39">
        <v>45673</v>
      </c>
      <c r="C25" s="6" t="s">
        <v>239</v>
      </c>
      <c r="D25" s="61"/>
      <c r="E25" s="64" t="s">
        <v>384</v>
      </c>
      <c r="F25" s="58"/>
      <c r="G25" s="6" t="s">
        <v>216</v>
      </c>
      <c r="H25" s="58">
        <v>1</v>
      </c>
      <c r="I25" s="39">
        <v>45680</v>
      </c>
      <c r="J25" s="58" t="s">
        <v>387</v>
      </c>
      <c r="K25" s="39">
        <v>45680</v>
      </c>
      <c r="L25" s="62"/>
      <c r="M25" s="60">
        <v>180000</v>
      </c>
      <c r="N25" s="6" t="s">
        <v>26</v>
      </c>
      <c r="O25" s="6" t="s">
        <v>268</v>
      </c>
      <c r="P25" s="63" t="s">
        <v>78</v>
      </c>
      <c r="Q25" s="6" t="s">
        <v>368</v>
      </c>
      <c r="R25" s="10" t="s">
        <v>77</v>
      </c>
      <c r="S25" s="6" t="s">
        <v>394</v>
      </c>
      <c r="T25" s="6" t="s">
        <v>415</v>
      </c>
      <c r="U25" s="11" t="str">
        <f t="shared" si="6"/>
        <v>1.지불 완료</v>
      </c>
      <c r="V25" s="8" t="s">
        <v>271</v>
      </c>
      <c r="W25" s="64" t="s">
        <v>414</v>
      </c>
    </row>
    <row r="26" spans="1:23" s="51" customFormat="1" x14ac:dyDescent="0.3">
      <c r="A26" s="51">
        <v>93</v>
      </c>
      <c r="B26" s="39">
        <v>45673</v>
      </c>
      <c r="C26" s="64" t="s">
        <v>56</v>
      </c>
      <c r="D26" s="61"/>
      <c r="E26" s="64" t="s">
        <v>381</v>
      </c>
      <c r="F26" s="58"/>
      <c r="G26" s="64" t="s">
        <v>382</v>
      </c>
      <c r="H26" s="58">
        <v>1</v>
      </c>
      <c r="I26" s="39">
        <v>45680</v>
      </c>
      <c r="J26" s="58" t="s">
        <v>387</v>
      </c>
      <c r="K26" s="39">
        <v>45666</v>
      </c>
      <c r="L26" s="62"/>
      <c r="M26" s="60">
        <v>582000</v>
      </c>
      <c r="N26" s="6" t="s">
        <v>26</v>
      </c>
      <c r="O26" s="6" t="s">
        <v>268</v>
      </c>
      <c r="P26" s="63" t="s">
        <v>78</v>
      </c>
      <c r="Q26" s="6" t="s">
        <v>368</v>
      </c>
      <c r="R26" s="10" t="s">
        <v>77</v>
      </c>
      <c r="S26" s="6" t="s">
        <v>393</v>
      </c>
      <c r="T26" s="6" t="s">
        <v>415</v>
      </c>
      <c r="U26" s="11" t="str">
        <f t="shared" si="6"/>
        <v>1.지불 완료</v>
      </c>
      <c r="V26" s="8" t="s">
        <v>271</v>
      </c>
      <c r="W26" s="64" t="s">
        <v>383</v>
      </c>
    </row>
    <row r="27" spans="1:23" s="51" customFormat="1" x14ac:dyDescent="0.3">
      <c r="A27" s="51">
        <v>92</v>
      </c>
      <c r="B27" s="39">
        <v>45670</v>
      </c>
      <c r="C27" s="6" t="s">
        <v>248</v>
      </c>
      <c r="D27" s="61"/>
      <c r="E27" s="6" t="s">
        <v>356</v>
      </c>
      <c r="F27" s="58"/>
      <c r="G27" s="6" t="s">
        <v>357</v>
      </c>
      <c r="H27" s="58">
        <v>80</v>
      </c>
      <c r="I27" s="39">
        <v>45684</v>
      </c>
      <c r="J27" s="58" t="s">
        <v>512</v>
      </c>
      <c r="K27" s="39">
        <v>45712</v>
      </c>
      <c r="L27" s="62"/>
      <c r="M27" s="60">
        <v>13088000</v>
      </c>
      <c r="N27" s="6" t="s">
        <v>358</v>
      </c>
      <c r="O27" s="6" t="s">
        <v>268</v>
      </c>
      <c r="P27" s="6" t="s">
        <v>359</v>
      </c>
      <c r="Q27" s="64" t="s">
        <v>22</v>
      </c>
      <c r="R27" s="69" t="s">
        <v>365</v>
      </c>
      <c r="S27" s="6" t="s">
        <v>531</v>
      </c>
      <c r="T27" s="6" t="s">
        <v>545</v>
      </c>
      <c r="U27" s="11" t="str">
        <f t="shared" si="6"/>
        <v>1.지불 완료</v>
      </c>
      <c r="V27" s="8" t="s">
        <v>271</v>
      </c>
      <c r="W27" s="6" t="s">
        <v>363</v>
      </c>
    </row>
    <row r="28" spans="1:23" x14ac:dyDescent="0.3">
      <c r="A28" s="51">
        <v>91</v>
      </c>
      <c r="B28" s="39">
        <v>45666</v>
      </c>
      <c r="C28" s="6" t="s">
        <v>245</v>
      </c>
      <c r="D28" s="24"/>
      <c r="E28" s="6" t="s">
        <v>349</v>
      </c>
      <c r="F28" s="6"/>
      <c r="G28" s="6" t="s">
        <v>350</v>
      </c>
      <c r="H28" s="6">
        <v>1</v>
      </c>
      <c r="I28" s="39">
        <v>45694</v>
      </c>
      <c r="J28" s="58" t="s">
        <v>387</v>
      </c>
      <c r="K28" s="39">
        <v>45680</v>
      </c>
      <c r="L28" s="15"/>
      <c r="M28" s="60">
        <v>1048000</v>
      </c>
      <c r="N28" s="6" t="s">
        <v>352</v>
      </c>
      <c r="O28" s="6" t="s">
        <v>268</v>
      </c>
      <c r="P28" s="6" t="s">
        <v>351</v>
      </c>
      <c r="Q28" s="6" t="s">
        <v>368</v>
      </c>
      <c r="R28" s="10" t="s">
        <v>77</v>
      </c>
      <c r="S28" s="6" t="s">
        <v>393</v>
      </c>
      <c r="T28" s="6" t="s">
        <v>415</v>
      </c>
      <c r="U28" s="11" t="str">
        <f t="shared" si="6"/>
        <v>1.지불 완료</v>
      </c>
      <c r="V28" s="8" t="s">
        <v>271</v>
      </c>
      <c r="W28" s="6" t="s">
        <v>354</v>
      </c>
    </row>
    <row r="29" spans="1:23" x14ac:dyDescent="0.3">
      <c r="A29" s="51">
        <v>90</v>
      </c>
      <c r="B29" s="39">
        <v>45666</v>
      </c>
      <c r="C29" s="6" t="s">
        <v>345</v>
      </c>
      <c r="D29" s="24" t="s">
        <v>346</v>
      </c>
      <c r="E29" s="6" t="s">
        <v>347</v>
      </c>
      <c r="F29" s="6"/>
      <c r="G29" s="6" t="s">
        <v>348</v>
      </c>
      <c r="H29" s="6">
        <v>1</v>
      </c>
      <c r="I29" s="39">
        <v>45680</v>
      </c>
      <c r="J29" s="58" t="s">
        <v>512</v>
      </c>
      <c r="K29" s="39">
        <v>45677</v>
      </c>
      <c r="L29" s="15"/>
      <c r="M29" s="60">
        <v>2356000</v>
      </c>
      <c r="N29" s="6" t="s">
        <v>352</v>
      </c>
      <c r="O29" s="6" t="s">
        <v>268</v>
      </c>
      <c r="P29" s="6" t="s">
        <v>351</v>
      </c>
      <c r="Q29" s="6" t="s">
        <v>368</v>
      </c>
      <c r="R29" s="6" t="s">
        <v>77</v>
      </c>
      <c r="S29" s="6" t="s">
        <v>407</v>
      </c>
      <c r="T29" s="6" t="s">
        <v>415</v>
      </c>
      <c r="U29" s="11" t="str">
        <f t="shared" si="6"/>
        <v>1.지불 완료</v>
      </c>
      <c r="V29" s="8" t="s">
        <v>271</v>
      </c>
      <c r="W29" s="6" t="s">
        <v>353</v>
      </c>
    </row>
    <row r="30" spans="1:23" x14ac:dyDescent="0.3">
      <c r="A30" s="51">
        <v>89</v>
      </c>
      <c r="B30" s="39">
        <v>45659</v>
      </c>
      <c r="C30" s="6" t="s">
        <v>336</v>
      </c>
      <c r="D30" s="24" t="s">
        <v>337</v>
      </c>
      <c r="E30" s="6" t="s">
        <v>338</v>
      </c>
      <c r="F30" s="6"/>
      <c r="G30" s="6" t="s">
        <v>361</v>
      </c>
      <c r="H30" s="6">
        <v>1</v>
      </c>
      <c r="I30" s="39">
        <f>B30+14</f>
        <v>45673</v>
      </c>
      <c r="J30" s="58"/>
      <c r="K30" s="39">
        <v>45677</v>
      </c>
      <c r="L30" s="15"/>
      <c r="M30" s="55">
        <v>3300000</v>
      </c>
      <c r="N30" s="8" t="s">
        <v>339</v>
      </c>
      <c r="O30" s="6" t="s">
        <v>268</v>
      </c>
      <c r="P30" s="6" t="s">
        <v>180</v>
      </c>
      <c r="Q30" s="6" t="s">
        <v>22</v>
      </c>
      <c r="R30" s="10" t="s">
        <v>77</v>
      </c>
      <c r="S30" s="11" t="s">
        <v>344</v>
      </c>
      <c r="T30" s="6" t="s">
        <v>367</v>
      </c>
      <c r="U30" s="11" t="str">
        <f t="shared" si="6"/>
        <v>1.지불 완료</v>
      </c>
      <c r="V30" s="8" t="s">
        <v>271</v>
      </c>
      <c r="W30" s="6" t="s">
        <v>340</v>
      </c>
    </row>
    <row r="31" spans="1:23" x14ac:dyDescent="0.3">
      <c r="A31" s="51">
        <v>88</v>
      </c>
      <c r="B31" s="39">
        <v>45659</v>
      </c>
      <c r="C31" s="6" t="s">
        <v>332</v>
      </c>
      <c r="D31" s="6" t="s">
        <v>335</v>
      </c>
      <c r="E31" s="53" t="s">
        <v>360</v>
      </c>
      <c r="F31" s="6"/>
      <c r="G31" s="6" t="s">
        <v>333</v>
      </c>
      <c r="H31" s="6">
        <v>2</v>
      </c>
      <c r="I31" s="39">
        <f>B31</f>
        <v>45659</v>
      </c>
      <c r="J31" s="58"/>
      <c r="K31" s="39">
        <v>45659</v>
      </c>
      <c r="L31" s="15"/>
      <c r="M31" s="55">
        <v>368000</v>
      </c>
      <c r="N31" s="6" t="s">
        <v>370</v>
      </c>
      <c r="O31" s="6" t="s">
        <v>268</v>
      </c>
      <c r="P31" s="6" t="s">
        <v>362</v>
      </c>
      <c r="Q31" s="6" t="s">
        <v>22</v>
      </c>
      <c r="R31" s="10" t="s">
        <v>77</v>
      </c>
      <c r="S31" s="11" t="s">
        <v>366</v>
      </c>
      <c r="T31" s="6" t="s">
        <v>371</v>
      </c>
      <c r="U31" s="11" t="str">
        <f t="shared" si="6"/>
        <v>1.지불 완료</v>
      </c>
      <c r="V31" s="8" t="s">
        <v>271</v>
      </c>
      <c r="W31" s="6" t="s">
        <v>334</v>
      </c>
    </row>
    <row r="32" spans="1:23" x14ac:dyDescent="0.3">
      <c r="A32" s="51">
        <v>87</v>
      </c>
      <c r="B32" s="43">
        <v>45653</v>
      </c>
      <c r="C32" s="6" t="s">
        <v>245</v>
      </c>
      <c r="D32" s="24"/>
      <c r="E32" s="6" t="s">
        <v>253</v>
      </c>
      <c r="F32" s="6"/>
      <c r="G32" s="6" t="s">
        <v>261</v>
      </c>
      <c r="H32" s="6">
        <v>680</v>
      </c>
      <c r="I32" s="39">
        <f>B32+4</f>
        <v>45657</v>
      </c>
      <c r="J32" s="58"/>
      <c r="K32" s="39">
        <v>45657</v>
      </c>
      <c r="L32" s="9"/>
      <c r="M32" s="55">
        <v>6898800</v>
      </c>
      <c r="N32" s="6" t="s">
        <v>35</v>
      </c>
      <c r="O32" s="6" t="s">
        <v>268</v>
      </c>
      <c r="P32" s="6" t="s">
        <v>180</v>
      </c>
      <c r="Q32" s="6" t="s">
        <v>22</v>
      </c>
      <c r="R32" s="10" t="s">
        <v>77</v>
      </c>
      <c r="S32" s="11" t="s">
        <v>341</v>
      </c>
      <c r="T32" s="6" t="s">
        <v>355</v>
      </c>
      <c r="U32" s="11" t="str">
        <f t="shared" si="6"/>
        <v>1.지불 완료</v>
      </c>
      <c r="V32" s="8" t="s">
        <v>271</v>
      </c>
      <c r="W32" s="6" t="s">
        <v>272</v>
      </c>
    </row>
    <row r="33" spans="1:23" x14ac:dyDescent="0.3">
      <c r="A33" s="51">
        <v>86</v>
      </c>
      <c r="B33" s="43">
        <v>45653</v>
      </c>
      <c r="C33" s="6" t="s">
        <v>246</v>
      </c>
      <c r="D33" s="24" t="s">
        <v>249</v>
      </c>
      <c r="E33" s="6" t="s">
        <v>254</v>
      </c>
      <c r="F33" s="6"/>
      <c r="G33" s="6" t="s">
        <v>262</v>
      </c>
      <c r="H33" s="6">
        <v>70</v>
      </c>
      <c r="I33" s="39">
        <f>B33+4*7</f>
        <v>45681</v>
      </c>
      <c r="J33" s="58"/>
      <c r="K33" s="39">
        <v>45666</v>
      </c>
      <c r="L33" s="9"/>
      <c r="M33" s="55">
        <v>270000</v>
      </c>
      <c r="N33" s="6" t="s">
        <v>14</v>
      </c>
      <c r="O33" s="6" t="s">
        <v>268</v>
      </c>
      <c r="P33" s="6" t="s">
        <v>269</v>
      </c>
      <c r="Q33" s="6" t="s">
        <v>368</v>
      </c>
      <c r="R33" s="6" t="s">
        <v>77</v>
      </c>
      <c r="S33" s="6" t="s">
        <v>393</v>
      </c>
      <c r="T33" s="6" t="s">
        <v>415</v>
      </c>
      <c r="U33" s="11" t="str">
        <f t="shared" si="6"/>
        <v>1.지불 완료</v>
      </c>
      <c r="V33" s="8" t="s">
        <v>271</v>
      </c>
      <c r="W33" s="6" t="s">
        <v>273</v>
      </c>
    </row>
    <row r="34" spans="1:23" x14ac:dyDescent="0.3">
      <c r="A34" s="51">
        <v>85</v>
      </c>
      <c r="B34" s="43">
        <v>45652</v>
      </c>
      <c r="C34" s="6" t="s">
        <v>247</v>
      </c>
      <c r="D34" s="24" t="s">
        <v>251</v>
      </c>
      <c r="E34" s="6" t="s">
        <v>256</v>
      </c>
      <c r="F34" s="6"/>
      <c r="G34" s="6" t="s">
        <v>264</v>
      </c>
      <c r="H34" s="7">
        <v>1</v>
      </c>
      <c r="I34" s="39">
        <f>B34+10</f>
        <v>45662</v>
      </c>
      <c r="J34" s="58"/>
      <c r="K34" s="39">
        <v>45652</v>
      </c>
      <c r="L34" s="9"/>
      <c r="M34" s="55">
        <v>718600</v>
      </c>
      <c r="N34" s="6" t="s">
        <v>352</v>
      </c>
      <c r="O34" s="6" t="s">
        <v>268</v>
      </c>
      <c r="P34" s="6" t="s">
        <v>269</v>
      </c>
      <c r="Q34" s="6" t="s">
        <v>22</v>
      </c>
      <c r="R34" s="10" t="s">
        <v>77</v>
      </c>
      <c r="S34" s="6" t="s">
        <v>281</v>
      </c>
      <c r="T34" s="6" t="s">
        <v>286</v>
      </c>
      <c r="U34" s="11" t="str">
        <f t="shared" si="6"/>
        <v>1.지불 완료</v>
      </c>
      <c r="V34" s="8" t="s">
        <v>271</v>
      </c>
      <c r="W34" s="6" t="s">
        <v>285</v>
      </c>
    </row>
    <row r="35" spans="1:23" x14ac:dyDescent="0.3">
      <c r="A35" s="51">
        <v>84</v>
      </c>
      <c r="B35" s="43">
        <v>45652</v>
      </c>
      <c r="C35" s="6" t="s">
        <v>247</v>
      </c>
      <c r="D35" s="24" t="s">
        <v>252</v>
      </c>
      <c r="E35" s="6" t="s">
        <v>257</v>
      </c>
      <c r="F35" s="6"/>
      <c r="G35" s="6" t="s">
        <v>265</v>
      </c>
      <c r="H35" s="7">
        <v>1</v>
      </c>
      <c r="I35" s="39">
        <f>B35+10</f>
        <v>45662</v>
      </c>
      <c r="J35" s="58"/>
      <c r="K35" s="39">
        <v>45652</v>
      </c>
      <c r="L35" s="9"/>
      <c r="M35" s="55">
        <v>1304260</v>
      </c>
      <c r="N35" s="6" t="s">
        <v>277</v>
      </c>
      <c r="O35" s="6" t="s">
        <v>268</v>
      </c>
      <c r="P35" s="6" t="s">
        <v>269</v>
      </c>
      <c r="Q35" s="6" t="s">
        <v>22</v>
      </c>
      <c r="R35" s="10" t="s">
        <v>77</v>
      </c>
      <c r="S35" s="6" t="s">
        <v>281</v>
      </c>
      <c r="T35" s="6" t="s">
        <v>286</v>
      </c>
      <c r="U35" s="11" t="str">
        <f t="shared" si="6"/>
        <v>1.지불 완료</v>
      </c>
      <c r="V35" s="8" t="s">
        <v>271</v>
      </c>
      <c r="W35" s="6" t="s">
        <v>279</v>
      </c>
    </row>
    <row r="36" spans="1:23" x14ac:dyDescent="0.3">
      <c r="A36" s="51">
        <v>83</v>
      </c>
      <c r="B36" s="43">
        <v>45650</v>
      </c>
      <c r="C36" s="6" t="s">
        <v>248</v>
      </c>
      <c r="D36" s="24"/>
      <c r="E36" s="6" t="s">
        <v>258</v>
      </c>
      <c r="F36" s="6"/>
      <c r="G36" s="6" t="s">
        <v>284</v>
      </c>
      <c r="H36" s="6">
        <v>110</v>
      </c>
      <c r="I36" s="39">
        <f>B36+15</f>
        <v>45665</v>
      </c>
      <c r="J36" s="58"/>
      <c r="K36" s="39">
        <v>45646</v>
      </c>
      <c r="L36" s="9"/>
      <c r="M36" s="55">
        <v>1300000</v>
      </c>
      <c r="N36" s="6" t="s">
        <v>26</v>
      </c>
      <c r="O36" s="6" t="s">
        <v>268</v>
      </c>
      <c r="P36" s="6" t="s">
        <v>269</v>
      </c>
      <c r="Q36" s="6" t="s">
        <v>22</v>
      </c>
      <c r="R36" s="10" t="s">
        <v>77</v>
      </c>
      <c r="S36" s="6" t="s">
        <v>280</v>
      </c>
      <c r="T36" s="6" t="s">
        <v>286</v>
      </c>
      <c r="U36" s="11" t="str">
        <f t="shared" si="6"/>
        <v>1.지불 완료</v>
      </c>
      <c r="V36" s="8" t="s">
        <v>271</v>
      </c>
      <c r="W36" s="6" t="s">
        <v>274</v>
      </c>
    </row>
    <row r="37" spans="1:23" x14ac:dyDescent="0.3">
      <c r="A37" s="51">
        <v>82</v>
      </c>
      <c r="B37" s="43">
        <v>45650</v>
      </c>
      <c r="C37" s="6" t="s">
        <v>248</v>
      </c>
      <c r="D37" s="24"/>
      <c r="E37" s="6" t="s">
        <v>259</v>
      </c>
      <c r="F37" s="6"/>
      <c r="G37" s="6" t="s">
        <v>266</v>
      </c>
      <c r="H37" s="6">
        <v>70</v>
      </c>
      <c r="I37" s="39">
        <f>B37+15</f>
        <v>45665</v>
      </c>
      <c r="J37" s="58"/>
      <c r="K37" s="39">
        <v>45673</v>
      </c>
      <c r="L37" s="9"/>
      <c r="M37" s="55">
        <v>6209000</v>
      </c>
      <c r="N37" s="6" t="s">
        <v>277</v>
      </c>
      <c r="O37" s="6" t="s">
        <v>268</v>
      </c>
      <c r="P37" s="6" t="s">
        <v>269</v>
      </c>
      <c r="Q37" s="6" t="s">
        <v>368</v>
      </c>
      <c r="R37" s="6" t="s">
        <v>364</v>
      </c>
      <c r="S37" s="6" t="s">
        <v>393</v>
      </c>
      <c r="T37" s="6" t="s">
        <v>415</v>
      </c>
      <c r="U37" s="11" t="str">
        <f t="shared" si="6"/>
        <v>1.지불 완료</v>
      </c>
      <c r="V37" s="8" t="s">
        <v>271</v>
      </c>
      <c r="W37" s="6" t="s">
        <v>275</v>
      </c>
    </row>
    <row r="38" spans="1:23" x14ac:dyDescent="0.3">
      <c r="A38" s="51">
        <v>81</v>
      </c>
      <c r="B38" s="43">
        <v>45650</v>
      </c>
      <c r="C38" s="6" t="s">
        <v>248</v>
      </c>
      <c r="D38" s="24"/>
      <c r="E38" s="6" t="s">
        <v>260</v>
      </c>
      <c r="F38" s="6"/>
      <c r="G38" s="6" t="s">
        <v>267</v>
      </c>
      <c r="H38" s="6">
        <v>70</v>
      </c>
      <c r="I38" s="39">
        <f>B38+15</f>
        <v>45665</v>
      </c>
      <c r="J38" s="58"/>
      <c r="K38" s="45">
        <v>45656</v>
      </c>
      <c r="L38" s="9"/>
      <c r="M38" s="55">
        <v>3010000</v>
      </c>
      <c r="N38" s="6" t="s">
        <v>358</v>
      </c>
      <c r="O38" s="6" t="s">
        <v>268</v>
      </c>
      <c r="P38" s="6" t="s">
        <v>269</v>
      </c>
      <c r="Q38" s="6" t="s">
        <v>22</v>
      </c>
      <c r="R38" s="10" t="s">
        <v>77</v>
      </c>
      <c r="S38" s="6" t="s">
        <v>283</v>
      </c>
      <c r="T38" s="6" t="s">
        <v>286</v>
      </c>
      <c r="U38" s="11" t="str">
        <f t="shared" si="6"/>
        <v>1.지불 완료</v>
      </c>
      <c r="V38" s="8" t="s">
        <v>271</v>
      </c>
      <c r="W38" s="6" t="s">
        <v>276</v>
      </c>
    </row>
    <row r="39" spans="1:23" x14ac:dyDescent="0.3">
      <c r="A39" s="51">
        <v>80</v>
      </c>
      <c r="B39" s="43">
        <v>45646</v>
      </c>
      <c r="C39" s="6" t="s">
        <v>502</v>
      </c>
      <c r="D39" s="24"/>
      <c r="E39" s="6" t="s">
        <v>503</v>
      </c>
      <c r="F39" s="6">
        <v>1</v>
      </c>
      <c r="G39" s="6" t="s">
        <v>504</v>
      </c>
      <c r="H39" s="6">
        <v>1</v>
      </c>
      <c r="I39" s="39">
        <v>45716</v>
      </c>
      <c r="J39" s="39">
        <v>45716</v>
      </c>
      <c r="K39" s="39">
        <v>45716</v>
      </c>
      <c r="L39" s="9"/>
      <c r="M39" s="55">
        <v>5000000</v>
      </c>
      <c r="N39" s="6" t="s">
        <v>506</v>
      </c>
      <c r="O39" s="6" t="s">
        <v>268</v>
      </c>
      <c r="P39" s="6" t="s">
        <v>269</v>
      </c>
      <c r="Q39" s="6" t="s">
        <v>22</v>
      </c>
      <c r="R39" s="69" t="s">
        <v>160</v>
      </c>
      <c r="S39" s="8" t="s">
        <v>327</v>
      </c>
      <c r="T39" s="6" t="s">
        <v>545</v>
      </c>
      <c r="U39" s="11" t="str">
        <f t="shared" si="6"/>
        <v>1.지불 완료</v>
      </c>
      <c r="V39" s="8" t="s">
        <v>217</v>
      </c>
      <c r="W39" s="6" t="s">
        <v>505</v>
      </c>
    </row>
    <row r="40" spans="1:23" x14ac:dyDescent="0.3">
      <c r="A40" s="51">
        <v>79</v>
      </c>
      <c r="B40" s="43">
        <v>45645</v>
      </c>
      <c r="C40" s="6" t="s">
        <v>75</v>
      </c>
      <c r="D40" s="23" t="s">
        <v>43</v>
      </c>
      <c r="E40" s="6" t="s">
        <v>211</v>
      </c>
      <c r="F40" s="6">
        <v>1</v>
      </c>
      <c r="G40" s="6" t="s">
        <v>212</v>
      </c>
      <c r="H40" s="6">
        <v>210</v>
      </c>
      <c r="I40" s="40">
        <f>B40+7*4</f>
        <v>45673</v>
      </c>
      <c r="J40" s="58"/>
      <c r="K40" s="39">
        <v>45645</v>
      </c>
      <c r="L40" s="9"/>
      <c r="M40" s="55">
        <v>320000</v>
      </c>
      <c r="N40" s="6" t="s">
        <v>35</v>
      </c>
      <c r="O40" s="6" t="s">
        <v>268</v>
      </c>
      <c r="P40" s="6" t="s">
        <v>78</v>
      </c>
      <c r="Q40" s="6" t="s">
        <v>22</v>
      </c>
      <c r="R40" s="10" t="s">
        <v>77</v>
      </c>
      <c r="S40" s="6" t="s">
        <v>280</v>
      </c>
      <c r="T40" s="6" t="s">
        <v>286</v>
      </c>
      <c r="U40" s="11" t="str">
        <f t="shared" si="6"/>
        <v>1.지불 완료</v>
      </c>
      <c r="V40" s="8" t="s">
        <v>271</v>
      </c>
      <c r="W40" s="6" t="s">
        <v>243</v>
      </c>
    </row>
    <row r="41" spans="1:23" x14ac:dyDescent="0.3">
      <c r="A41" s="51">
        <v>78</v>
      </c>
      <c r="B41" s="43">
        <v>45645</v>
      </c>
      <c r="C41" s="6" t="s">
        <v>239</v>
      </c>
      <c r="D41" s="24" t="s">
        <v>215</v>
      </c>
      <c r="E41" s="6" t="s">
        <v>369</v>
      </c>
      <c r="F41" s="6">
        <v>1</v>
      </c>
      <c r="G41" s="6" t="s">
        <v>216</v>
      </c>
      <c r="H41" s="6">
        <v>100</v>
      </c>
      <c r="I41" s="40">
        <f>B41+7*4</f>
        <v>45673</v>
      </c>
      <c r="J41" s="58"/>
      <c r="K41" s="40">
        <v>45659</v>
      </c>
      <c r="L41" s="9"/>
      <c r="M41" s="55">
        <v>180000</v>
      </c>
      <c r="N41" s="6" t="s">
        <v>52</v>
      </c>
      <c r="O41" s="6" t="s">
        <v>268</v>
      </c>
      <c r="P41" s="6" t="s">
        <v>78</v>
      </c>
      <c r="Q41" s="6" t="s">
        <v>22</v>
      </c>
      <c r="R41" s="6" t="s">
        <v>365</v>
      </c>
      <c r="S41" s="11" t="s">
        <v>366</v>
      </c>
      <c r="T41" s="6" t="s">
        <v>371</v>
      </c>
      <c r="U41" s="11" t="str">
        <f t="shared" si="6"/>
        <v>1.지불 완료</v>
      </c>
      <c r="V41" s="13" t="s">
        <v>271</v>
      </c>
      <c r="W41" s="6" t="s">
        <v>240</v>
      </c>
    </row>
    <row r="42" spans="1:23" x14ac:dyDescent="0.3">
      <c r="A42" s="51">
        <v>77</v>
      </c>
      <c r="B42" s="43">
        <v>45644</v>
      </c>
      <c r="C42" s="6" t="s">
        <v>238</v>
      </c>
      <c r="D42" s="24" t="s">
        <v>242</v>
      </c>
      <c r="E42" s="6" t="s">
        <v>213</v>
      </c>
      <c r="F42" s="6">
        <v>1</v>
      </c>
      <c r="G42" s="15" t="s">
        <v>214</v>
      </c>
      <c r="H42" s="6">
        <v>300</v>
      </c>
      <c r="I42" s="40">
        <f>B42+7*4</f>
        <v>45672</v>
      </c>
      <c r="J42" s="58"/>
      <c r="K42" s="39">
        <v>45644</v>
      </c>
      <c r="L42" s="9"/>
      <c r="M42" s="55">
        <v>270000</v>
      </c>
      <c r="N42" s="6" t="s">
        <v>52</v>
      </c>
      <c r="O42" s="6" t="s">
        <v>268</v>
      </c>
      <c r="P42" s="6" t="s">
        <v>78</v>
      </c>
      <c r="Q42" s="6" t="s">
        <v>22</v>
      </c>
      <c r="R42" s="10" t="s">
        <v>77</v>
      </c>
      <c r="S42" s="11" t="s">
        <v>341</v>
      </c>
      <c r="T42" s="6" t="s">
        <v>371</v>
      </c>
      <c r="U42" s="11" t="str">
        <f t="shared" si="6"/>
        <v>1.지불 완료</v>
      </c>
      <c r="V42" s="13" t="s">
        <v>271</v>
      </c>
      <c r="W42" s="6" t="s">
        <v>241</v>
      </c>
    </row>
    <row r="43" spans="1:23" x14ac:dyDescent="0.3">
      <c r="A43" s="51">
        <v>76</v>
      </c>
      <c r="B43" s="43">
        <v>45642</v>
      </c>
      <c r="C43" s="6" t="s">
        <v>56</v>
      </c>
      <c r="D43" s="24" t="s">
        <v>184</v>
      </c>
      <c r="E43" s="6" t="s">
        <v>185</v>
      </c>
      <c r="F43" s="6">
        <v>1</v>
      </c>
      <c r="G43" s="6" t="s">
        <v>186</v>
      </c>
      <c r="H43" s="6">
        <v>400</v>
      </c>
      <c r="I43" s="40">
        <f>B43+7*4</f>
        <v>45670</v>
      </c>
      <c r="J43" s="58" t="s">
        <v>59</v>
      </c>
      <c r="K43" s="39">
        <v>45639</v>
      </c>
      <c r="L43" s="9"/>
      <c r="M43" s="55">
        <v>1080000</v>
      </c>
      <c r="N43" s="6" t="s">
        <v>52</v>
      </c>
      <c r="O43" s="6" t="s">
        <v>63</v>
      </c>
      <c r="P43" s="6" t="s">
        <v>187</v>
      </c>
      <c r="Q43" s="6" t="s">
        <v>22</v>
      </c>
      <c r="R43" s="10" t="s">
        <v>77</v>
      </c>
      <c r="S43" s="11" t="s">
        <v>341</v>
      </c>
      <c r="T43" s="6" t="s">
        <v>355</v>
      </c>
      <c r="U43" s="11" t="str">
        <f t="shared" si="6"/>
        <v>1.지불 완료</v>
      </c>
      <c r="V43" s="8" t="s">
        <v>49</v>
      </c>
      <c r="W43" s="6" t="s">
        <v>188</v>
      </c>
    </row>
    <row r="44" spans="1:23" x14ac:dyDescent="0.3">
      <c r="A44" s="51">
        <v>75</v>
      </c>
      <c r="B44" s="44">
        <v>45639</v>
      </c>
      <c r="C44" s="6" t="s">
        <v>75</v>
      </c>
      <c r="D44" s="23" t="s">
        <v>43</v>
      </c>
      <c r="E44" s="6" t="s">
        <v>166</v>
      </c>
      <c r="F44" s="6">
        <v>1</v>
      </c>
      <c r="G44" s="6" t="s">
        <v>163</v>
      </c>
      <c r="H44" s="7">
        <v>1</v>
      </c>
      <c r="I44" s="40">
        <f>B44+7*4</f>
        <v>45667</v>
      </c>
      <c r="J44" s="58" t="s">
        <v>13</v>
      </c>
      <c r="K44" s="40">
        <v>45625</v>
      </c>
      <c r="L44" s="9"/>
      <c r="M44" s="55">
        <v>536000</v>
      </c>
      <c r="N44" s="6" t="s">
        <v>35</v>
      </c>
      <c r="O44" s="6" t="s">
        <v>63</v>
      </c>
      <c r="P44" s="6" t="s">
        <v>78</v>
      </c>
      <c r="Q44" s="6" t="s">
        <v>22</v>
      </c>
      <c r="R44" s="10" t="s">
        <v>77</v>
      </c>
      <c r="S44" s="6" t="s">
        <v>164</v>
      </c>
      <c r="T44" s="6" t="s">
        <v>236</v>
      </c>
      <c r="U44" s="11" t="str">
        <f t="shared" si="6"/>
        <v>1.지불 완료</v>
      </c>
      <c r="V44" s="8" t="s">
        <v>49</v>
      </c>
      <c r="W44" s="20" t="s">
        <v>165</v>
      </c>
    </row>
    <row r="45" spans="1:23" x14ac:dyDescent="0.3">
      <c r="A45" s="51">
        <v>74</v>
      </c>
      <c r="B45" s="42">
        <v>45637</v>
      </c>
      <c r="C45" s="17" t="s">
        <v>152</v>
      </c>
      <c r="D45" s="22"/>
      <c r="E45" s="17" t="s">
        <v>153</v>
      </c>
      <c r="F45" s="1">
        <v>1</v>
      </c>
      <c r="G45" s="17" t="s">
        <v>158</v>
      </c>
      <c r="H45" s="31">
        <v>1</v>
      </c>
      <c r="I45" s="41">
        <v>45716</v>
      </c>
      <c r="J45" s="41"/>
      <c r="K45" s="38"/>
      <c r="L45" s="4"/>
      <c r="M45" s="56">
        <f>6000000/2</f>
        <v>3000000</v>
      </c>
      <c r="N45" s="32" t="s">
        <v>322</v>
      </c>
      <c r="O45" s="17" t="s">
        <v>156</v>
      </c>
      <c r="P45" s="17" t="s">
        <v>155</v>
      </c>
      <c r="Q45" s="1" t="s">
        <v>22</v>
      </c>
      <c r="R45" s="17"/>
      <c r="S45" s="1"/>
      <c r="T45" s="32"/>
      <c r="U45" s="35" t="str">
        <f t="shared" si="6"/>
        <v>3.진행 중</v>
      </c>
      <c r="V45" s="5" t="s">
        <v>217</v>
      </c>
      <c r="W45" s="17" t="s">
        <v>154</v>
      </c>
    </row>
    <row r="46" spans="1:23" x14ac:dyDescent="0.3">
      <c r="A46" s="51">
        <v>73</v>
      </c>
      <c r="B46" s="43">
        <v>45637</v>
      </c>
      <c r="C46" s="20" t="s">
        <v>152</v>
      </c>
      <c r="D46" s="24"/>
      <c r="E46" s="20" t="s">
        <v>153</v>
      </c>
      <c r="F46" s="6">
        <v>1</v>
      </c>
      <c r="G46" s="20" t="s">
        <v>158</v>
      </c>
      <c r="H46" s="7">
        <v>1</v>
      </c>
      <c r="I46" s="40">
        <v>45716</v>
      </c>
      <c r="J46" s="40"/>
      <c r="K46" s="39"/>
      <c r="L46" s="9"/>
      <c r="M46" s="55">
        <f>6000000/2</f>
        <v>3000000</v>
      </c>
      <c r="N46" s="33" t="s">
        <v>323</v>
      </c>
      <c r="O46" s="20" t="s">
        <v>156</v>
      </c>
      <c r="P46" s="20" t="s">
        <v>155</v>
      </c>
      <c r="Q46" s="6" t="s">
        <v>22</v>
      </c>
      <c r="R46" s="20" t="s">
        <v>219</v>
      </c>
      <c r="S46" s="8" t="s">
        <v>327</v>
      </c>
      <c r="T46" s="33" t="s">
        <v>324</v>
      </c>
      <c r="U46" s="11" t="str">
        <f t="shared" si="6"/>
        <v>1.지불 완료</v>
      </c>
      <c r="V46" s="8" t="s">
        <v>217</v>
      </c>
      <c r="W46" s="20" t="s">
        <v>154</v>
      </c>
    </row>
    <row r="47" spans="1:23" x14ac:dyDescent="0.3">
      <c r="A47" s="51">
        <v>72</v>
      </c>
      <c r="B47" s="43">
        <v>45629</v>
      </c>
      <c r="C47" s="6" t="s">
        <v>247</v>
      </c>
      <c r="D47" s="24" t="s">
        <v>250</v>
      </c>
      <c r="E47" s="6" t="s">
        <v>255</v>
      </c>
      <c r="F47" s="6"/>
      <c r="G47" s="6" t="s">
        <v>263</v>
      </c>
      <c r="H47" s="6">
        <v>110</v>
      </c>
      <c r="I47" s="39">
        <f>B47+10</f>
        <v>45639</v>
      </c>
      <c r="J47" s="58"/>
      <c r="K47" s="45">
        <v>45641</v>
      </c>
      <c r="L47" s="9"/>
      <c r="M47" s="55">
        <v>1575350</v>
      </c>
      <c r="N47" s="6" t="s">
        <v>277</v>
      </c>
      <c r="O47" s="6" t="s">
        <v>268</v>
      </c>
      <c r="P47" s="6" t="s">
        <v>269</v>
      </c>
      <c r="Q47" s="6" t="s">
        <v>270</v>
      </c>
      <c r="R47" s="10" t="s">
        <v>77</v>
      </c>
      <c r="S47" s="6" t="s">
        <v>282</v>
      </c>
      <c r="T47" s="6" t="s">
        <v>286</v>
      </c>
      <c r="U47" s="11" t="str">
        <f t="shared" si="6"/>
        <v>1.지불 완료</v>
      </c>
      <c r="V47" s="8" t="s">
        <v>271</v>
      </c>
      <c r="W47" s="6" t="s">
        <v>278</v>
      </c>
    </row>
    <row r="48" spans="1:23" x14ac:dyDescent="0.3">
      <c r="A48" s="51">
        <v>71</v>
      </c>
      <c r="B48" s="40">
        <v>45621</v>
      </c>
      <c r="C48" s="6" t="s">
        <v>23</v>
      </c>
      <c r="D48" s="24" t="s">
        <v>133</v>
      </c>
      <c r="E48" s="6" t="s">
        <v>134</v>
      </c>
      <c r="F48" s="6">
        <v>1</v>
      </c>
      <c r="G48" s="6" t="s">
        <v>135</v>
      </c>
      <c r="H48" s="7">
        <v>1</v>
      </c>
      <c r="I48" s="40"/>
      <c r="J48" s="58"/>
      <c r="K48" s="40">
        <v>45623</v>
      </c>
      <c r="L48" s="12"/>
      <c r="M48" s="57">
        <v>1898190</v>
      </c>
      <c r="N48" s="6" t="s">
        <v>26</v>
      </c>
      <c r="O48" s="6" t="s">
        <v>63</v>
      </c>
      <c r="P48" s="6" t="s">
        <v>125</v>
      </c>
      <c r="Q48" s="6" t="s">
        <v>22</v>
      </c>
      <c r="R48" s="6" t="s">
        <v>117</v>
      </c>
      <c r="S48" s="6" t="s">
        <v>146</v>
      </c>
      <c r="T48" s="6" t="s">
        <v>171</v>
      </c>
      <c r="U48" s="11" t="str">
        <f t="shared" si="6"/>
        <v>1.지불 완료</v>
      </c>
      <c r="V48" s="8" t="s">
        <v>49</v>
      </c>
      <c r="W48" s="6" t="s">
        <v>136</v>
      </c>
    </row>
    <row r="49" spans="1:24" x14ac:dyDescent="0.3">
      <c r="A49" s="51">
        <v>70</v>
      </c>
      <c r="B49" s="40">
        <v>45608</v>
      </c>
      <c r="C49" s="6" t="s">
        <v>23</v>
      </c>
      <c r="D49" s="24" t="s">
        <v>141</v>
      </c>
      <c r="E49" s="6" t="s">
        <v>142</v>
      </c>
      <c r="F49" s="6">
        <v>1</v>
      </c>
      <c r="G49" s="6" t="s">
        <v>143</v>
      </c>
      <c r="H49" s="7">
        <v>1</v>
      </c>
      <c r="I49" s="40"/>
      <c r="J49" s="58"/>
      <c r="K49" s="40">
        <v>45616</v>
      </c>
      <c r="L49" s="12"/>
      <c r="M49" s="57">
        <v>480500</v>
      </c>
      <c r="N49" s="6" t="s">
        <v>26</v>
      </c>
      <c r="O49" s="6" t="s">
        <v>63</v>
      </c>
      <c r="P49" s="6" t="s">
        <v>62</v>
      </c>
      <c r="Q49" s="6" t="s">
        <v>22</v>
      </c>
      <c r="R49" s="6" t="s">
        <v>117</v>
      </c>
      <c r="S49" s="6" t="s">
        <v>146</v>
      </c>
      <c r="T49" s="6" t="s">
        <v>171</v>
      </c>
      <c r="U49" s="11" t="str">
        <f t="shared" si="6"/>
        <v>1.지불 완료</v>
      </c>
      <c r="V49" s="8" t="s">
        <v>49</v>
      </c>
      <c r="W49" s="6" t="s">
        <v>144</v>
      </c>
    </row>
    <row r="50" spans="1:24" x14ac:dyDescent="0.3">
      <c r="A50" s="51">
        <v>69</v>
      </c>
      <c r="B50" s="40">
        <v>45608</v>
      </c>
      <c r="C50" s="6" t="s">
        <v>23</v>
      </c>
      <c r="D50" s="24" t="s">
        <v>137</v>
      </c>
      <c r="E50" s="6" t="s">
        <v>138</v>
      </c>
      <c r="F50" s="6">
        <v>1</v>
      </c>
      <c r="G50" s="6" t="s">
        <v>139</v>
      </c>
      <c r="H50" s="7">
        <v>1</v>
      </c>
      <c r="I50" s="40"/>
      <c r="J50" s="58"/>
      <c r="K50" s="40">
        <v>45616</v>
      </c>
      <c r="L50" s="9"/>
      <c r="M50" s="55">
        <v>788260</v>
      </c>
      <c r="N50" s="6" t="s">
        <v>26</v>
      </c>
      <c r="O50" s="6" t="s">
        <v>63</v>
      </c>
      <c r="P50" s="6" t="s">
        <v>62</v>
      </c>
      <c r="Q50" s="6" t="s">
        <v>22</v>
      </c>
      <c r="R50" s="6" t="s">
        <v>117</v>
      </c>
      <c r="S50" s="6" t="s">
        <v>146</v>
      </c>
      <c r="T50" s="6" t="s">
        <v>171</v>
      </c>
      <c r="U50" s="11" t="str">
        <f t="shared" si="6"/>
        <v>1.지불 완료</v>
      </c>
      <c r="V50" s="8" t="s">
        <v>49</v>
      </c>
      <c r="W50" s="6" t="s">
        <v>140</v>
      </c>
    </row>
    <row r="51" spans="1:24" x14ac:dyDescent="0.3">
      <c r="A51" s="51">
        <v>68</v>
      </c>
      <c r="B51" s="40">
        <v>45601</v>
      </c>
      <c r="C51" s="6" t="s">
        <v>23</v>
      </c>
      <c r="D51" s="24" t="s">
        <v>129</v>
      </c>
      <c r="E51" s="6" t="s">
        <v>24</v>
      </c>
      <c r="F51" s="6">
        <v>1</v>
      </c>
      <c r="G51" s="6" t="s">
        <v>145</v>
      </c>
      <c r="H51" s="7">
        <v>1</v>
      </c>
      <c r="I51" s="40"/>
      <c r="J51" s="58"/>
      <c r="K51" s="40">
        <v>45611</v>
      </c>
      <c r="L51" s="9"/>
      <c r="M51" s="55">
        <v>2922850</v>
      </c>
      <c r="N51" s="6" t="s">
        <v>26</v>
      </c>
      <c r="O51" s="6" t="s">
        <v>63</v>
      </c>
      <c r="P51" s="6" t="s">
        <v>62</v>
      </c>
      <c r="Q51" s="6" t="s">
        <v>22</v>
      </c>
      <c r="R51" s="6" t="s">
        <v>117</v>
      </c>
      <c r="S51" s="6" t="s">
        <v>146</v>
      </c>
      <c r="T51" s="6" t="s">
        <v>171</v>
      </c>
      <c r="U51" s="11" t="str">
        <f t="shared" si="6"/>
        <v>1.지불 완료</v>
      </c>
      <c r="V51" s="8" t="s">
        <v>49</v>
      </c>
      <c r="W51" s="6" t="s">
        <v>118</v>
      </c>
    </row>
    <row r="52" spans="1:24" x14ac:dyDescent="0.3">
      <c r="A52" s="51">
        <v>67</v>
      </c>
      <c r="B52" s="40">
        <v>45598</v>
      </c>
      <c r="C52" s="6" t="s">
        <v>23</v>
      </c>
      <c r="D52" s="23" t="s">
        <v>43</v>
      </c>
      <c r="E52" s="6" t="s">
        <v>127</v>
      </c>
      <c r="F52" s="6">
        <v>1</v>
      </c>
      <c r="G52" s="6" t="s">
        <v>128</v>
      </c>
      <c r="H52" s="7">
        <v>1</v>
      </c>
      <c r="I52" s="40"/>
      <c r="J52" s="58"/>
      <c r="K52" s="40">
        <v>45601</v>
      </c>
      <c r="L52" s="9"/>
      <c r="M52" s="55">
        <v>4065500</v>
      </c>
      <c r="N52" s="6" t="s">
        <v>26</v>
      </c>
      <c r="O52" s="6" t="s">
        <v>63</v>
      </c>
      <c r="P52" s="6" t="s">
        <v>125</v>
      </c>
      <c r="Q52" s="6" t="s">
        <v>22</v>
      </c>
      <c r="R52" s="6" t="s">
        <v>117</v>
      </c>
      <c r="S52" s="6" t="s">
        <v>146</v>
      </c>
      <c r="T52" s="6" t="s">
        <v>171</v>
      </c>
      <c r="U52" s="11" t="str">
        <f t="shared" si="6"/>
        <v>1.지불 완료</v>
      </c>
      <c r="V52" s="8" t="s">
        <v>49</v>
      </c>
      <c r="W52" s="6" t="s">
        <v>126</v>
      </c>
    </row>
    <row r="53" spans="1:24" x14ac:dyDescent="0.3">
      <c r="A53" s="51">
        <v>66</v>
      </c>
      <c r="B53" s="40">
        <v>45598</v>
      </c>
      <c r="C53" s="6" t="s">
        <v>23</v>
      </c>
      <c r="D53" s="24" t="s">
        <v>129</v>
      </c>
      <c r="E53" s="6" t="s">
        <v>130</v>
      </c>
      <c r="F53" s="6">
        <v>1</v>
      </c>
      <c r="G53" s="6" t="s">
        <v>131</v>
      </c>
      <c r="H53" s="7">
        <v>1</v>
      </c>
      <c r="I53" s="40"/>
      <c r="J53" s="58"/>
      <c r="K53" s="40">
        <v>45601</v>
      </c>
      <c r="L53" s="9"/>
      <c r="M53" s="55">
        <v>1873650</v>
      </c>
      <c r="N53" s="6" t="s">
        <v>26</v>
      </c>
      <c r="O53" s="6" t="s">
        <v>63</v>
      </c>
      <c r="P53" s="6" t="s">
        <v>125</v>
      </c>
      <c r="Q53" s="6" t="s">
        <v>22</v>
      </c>
      <c r="R53" s="6" t="s">
        <v>117</v>
      </c>
      <c r="S53" s="6" t="s">
        <v>146</v>
      </c>
      <c r="T53" s="6" t="s">
        <v>171</v>
      </c>
      <c r="U53" s="11" t="str">
        <f t="shared" si="6"/>
        <v>1.지불 완료</v>
      </c>
      <c r="V53" s="8" t="s">
        <v>49</v>
      </c>
      <c r="W53" s="6" t="s">
        <v>132</v>
      </c>
    </row>
    <row r="54" spans="1:24" x14ac:dyDescent="0.3">
      <c r="A54" s="51">
        <v>65</v>
      </c>
      <c r="B54" s="40">
        <v>45602</v>
      </c>
      <c r="C54" s="6" t="s">
        <v>113</v>
      </c>
      <c r="D54" s="24" t="s">
        <v>114</v>
      </c>
      <c r="E54" s="6" t="s">
        <v>115</v>
      </c>
      <c r="F54" s="6">
        <v>1</v>
      </c>
      <c r="G54" s="6" t="s">
        <v>54</v>
      </c>
      <c r="H54" s="6">
        <v>55</v>
      </c>
      <c r="I54" s="40">
        <f>B54+14</f>
        <v>45616</v>
      </c>
      <c r="J54" s="58" t="s">
        <v>55</v>
      </c>
      <c r="K54" s="40">
        <v>45609</v>
      </c>
      <c r="L54" s="9"/>
      <c r="M54" s="55">
        <v>330000</v>
      </c>
      <c r="N54" s="6" t="s">
        <v>35</v>
      </c>
      <c r="O54" s="6" t="s">
        <v>63</v>
      </c>
      <c r="P54" s="6" t="s">
        <v>78</v>
      </c>
      <c r="Q54" s="6" t="s">
        <v>22</v>
      </c>
      <c r="R54" s="10" t="s">
        <v>77</v>
      </c>
      <c r="S54" s="11" t="s">
        <v>189</v>
      </c>
      <c r="T54" s="6" t="s">
        <v>122</v>
      </c>
      <c r="U54" s="11" t="str">
        <f t="shared" si="6"/>
        <v>1.지불 완료</v>
      </c>
      <c r="V54" s="8" t="s">
        <v>49</v>
      </c>
      <c r="W54" s="6" t="s">
        <v>192</v>
      </c>
    </row>
    <row r="55" spans="1:24" x14ac:dyDescent="0.3">
      <c r="A55" s="51">
        <v>64</v>
      </c>
      <c r="B55" s="40">
        <v>45597</v>
      </c>
      <c r="C55" s="6" t="s">
        <v>23</v>
      </c>
      <c r="D55" s="23" t="s">
        <v>43</v>
      </c>
      <c r="E55" s="6" t="s">
        <v>27</v>
      </c>
      <c r="F55" s="6">
        <v>1</v>
      </c>
      <c r="G55" s="6" t="s">
        <v>28</v>
      </c>
      <c r="H55" s="7">
        <v>1</v>
      </c>
      <c r="I55" s="40">
        <f>B55+10</f>
        <v>45607</v>
      </c>
      <c r="J55" s="58" t="s">
        <v>25</v>
      </c>
      <c r="K55" s="40">
        <v>45596</v>
      </c>
      <c r="L55" s="9"/>
      <c r="M55" s="55">
        <v>761100</v>
      </c>
      <c r="N55" s="6" t="s">
        <v>26</v>
      </c>
      <c r="O55" s="6" t="s">
        <v>63</v>
      </c>
      <c r="P55" s="6" t="s">
        <v>76</v>
      </c>
      <c r="Q55" s="6" t="s">
        <v>22</v>
      </c>
      <c r="R55" s="10" t="s">
        <v>77</v>
      </c>
      <c r="S55" s="11" t="s">
        <v>190</v>
      </c>
      <c r="T55" s="11" t="s">
        <v>64</v>
      </c>
      <c r="U55" s="11" t="str">
        <f t="shared" si="6"/>
        <v>1.지불 완료</v>
      </c>
      <c r="V55" s="8" t="s">
        <v>49</v>
      </c>
      <c r="W55" s="6" t="s">
        <v>191</v>
      </c>
    </row>
    <row r="56" spans="1:24" x14ac:dyDescent="0.3">
      <c r="A56" s="51">
        <v>63</v>
      </c>
      <c r="B56" s="40">
        <v>45597</v>
      </c>
      <c r="C56" s="6" t="s">
        <v>248</v>
      </c>
      <c r="D56" s="23" t="s">
        <v>43</v>
      </c>
      <c r="E56" s="6" t="s">
        <v>29</v>
      </c>
      <c r="F56" s="6">
        <v>1</v>
      </c>
      <c r="G56" s="6" t="s">
        <v>30</v>
      </c>
      <c r="H56" s="7">
        <v>1</v>
      </c>
      <c r="I56" s="40">
        <f>B56+15</f>
        <v>45612</v>
      </c>
      <c r="J56" s="58" t="s">
        <v>31</v>
      </c>
      <c r="K56" s="40">
        <v>45600</v>
      </c>
      <c r="L56" s="9"/>
      <c r="M56" s="55">
        <v>6675000</v>
      </c>
      <c r="N56" s="6" t="s">
        <v>26</v>
      </c>
      <c r="O56" s="6" t="s">
        <v>63</v>
      </c>
      <c r="P56" s="6" t="s">
        <v>62</v>
      </c>
      <c r="Q56" s="6" t="s">
        <v>22</v>
      </c>
      <c r="R56" s="10" t="s">
        <v>77</v>
      </c>
      <c r="S56" s="11" t="s">
        <v>173</v>
      </c>
      <c r="T56" s="11" t="s">
        <v>174</v>
      </c>
      <c r="U56" s="11" t="str">
        <f t="shared" si="6"/>
        <v>1.지불 완료</v>
      </c>
      <c r="V56" s="8" t="s">
        <v>49</v>
      </c>
      <c r="W56" s="6" t="s">
        <v>205</v>
      </c>
    </row>
    <row r="57" spans="1:24" x14ac:dyDescent="0.3">
      <c r="A57" s="51">
        <v>62</v>
      </c>
      <c r="B57" s="44">
        <v>45595</v>
      </c>
      <c r="C57" s="6" t="s">
        <v>75</v>
      </c>
      <c r="D57" s="23" t="s">
        <v>43</v>
      </c>
      <c r="E57" s="6" t="s">
        <v>33</v>
      </c>
      <c r="F57" s="6">
        <v>1</v>
      </c>
      <c r="G57" s="6" t="s">
        <v>34</v>
      </c>
      <c r="H57" s="6">
        <v>200</v>
      </c>
      <c r="I57" s="40">
        <f>B57+28</f>
        <v>45623</v>
      </c>
      <c r="J57" s="58" t="s">
        <v>13</v>
      </c>
      <c r="K57" s="44" t="s">
        <v>43</v>
      </c>
      <c r="L57" s="9"/>
      <c r="M57" s="55">
        <v>800000</v>
      </c>
      <c r="N57" s="6" t="s">
        <v>35</v>
      </c>
      <c r="O57" s="6" t="s">
        <v>63</v>
      </c>
      <c r="P57" s="6" t="s">
        <v>80</v>
      </c>
      <c r="Q57" s="6" t="s">
        <v>22</v>
      </c>
      <c r="R57" s="10" t="s">
        <v>77</v>
      </c>
      <c r="S57" s="11" t="s">
        <v>193</v>
      </c>
      <c r="T57" s="11" t="s">
        <v>174</v>
      </c>
      <c r="U57" s="11" t="str">
        <f t="shared" si="6"/>
        <v>1.지불 완료</v>
      </c>
      <c r="V57" s="8" t="s">
        <v>49</v>
      </c>
      <c r="W57" s="6" t="s">
        <v>177</v>
      </c>
    </row>
    <row r="58" spans="1:24" x14ac:dyDescent="0.3">
      <c r="A58" s="51">
        <v>61</v>
      </c>
      <c r="B58" s="40">
        <v>45594</v>
      </c>
      <c r="C58" s="6" t="s">
        <v>11</v>
      </c>
      <c r="D58" s="24" t="s">
        <v>123</v>
      </c>
      <c r="E58" s="6" t="s">
        <v>36</v>
      </c>
      <c r="F58" s="6">
        <v>1</v>
      </c>
      <c r="G58" s="6" t="s">
        <v>37</v>
      </c>
      <c r="H58" s="6">
        <v>110</v>
      </c>
      <c r="I58" s="40">
        <f>B58+28</f>
        <v>45622</v>
      </c>
      <c r="J58" s="58" t="s">
        <v>13</v>
      </c>
      <c r="K58" s="40">
        <v>45608</v>
      </c>
      <c r="L58" s="9"/>
      <c r="M58" s="55">
        <v>1463000</v>
      </c>
      <c r="N58" s="6" t="s">
        <v>14</v>
      </c>
      <c r="O58" s="6" t="s">
        <v>63</v>
      </c>
      <c r="P58" s="6" t="s">
        <v>62</v>
      </c>
      <c r="Q58" s="6" t="s">
        <v>22</v>
      </c>
      <c r="R58" s="10" t="s">
        <v>77</v>
      </c>
      <c r="S58" s="11" t="s">
        <v>244</v>
      </c>
      <c r="T58" s="11" t="s">
        <v>236</v>
      </c>
      <c r="U58" s="11" t="str">
        <f t="shared" si="6"/>
        <v>1.지불 완료</v>
      </c>
      <c r="V58" s="8" t="s">
        <v>49</v>
      </c>
      <c r="W58" s="6" t="s">
        <v>124</v>
      </c>
    </row>
    <row r="59" spans="1:24" x14ac:dyDescent="0.3">
      <c r="A59" s="51">
        <v>60</v>
      </c>
      <c r="B59" s="40">
        <v>45589</v>
      </c>
      <c r="C59" s="6" t="s">
        <v>40</v>
      </c>
      <c r="D59" s="24" t="s">
        <v>208</v>
      </c>
      <c r="E59" s="6" t="s">
        <v>41</v>
      </c>
      <c r="F59" s="6">
        <v>1</v>
      </c>
      <c r="G59" s="6" t="s">
        <v>42</v>
      </c>
      <c r="H59" s="7">
        <v>1</v>
      </c>
      <c r="I59" s="40">
        <f>B59+28</f>
        <v>45617</v>
      </c>
      <c r="J59" s="58" t="s">
        <v>13</v>
      </c>
      <c r="K59" s="40">
        <v>45597</v>
      </c>
      <c r="L59" s="9"/>
      <c r="M59" s="55">
        <v>4090000</v>
      </c>
      <c r="N59" s="6" t="s">
        <v>14</v>
      </c>
      <c r="O59" s="6" t="s">
        <v>63</v>
      </c>
      <c r="P59" s="6" t="s">
        <v>78</v>
      </c>
      <c r="Q59" s="6" t="s">
        <v>22</v>
      </c>
      <c r="R59" s="10" t="s">
        <v>77</v>
      </c>
      <c r="S59" s="11" t="s">
        <v>207</v>
      </c>
      <c r="T59" s="11" t="s">
        <v>174</v>
      </c>
      <c r="U59" s="11" t="str">
        <f t="shared" si="6"/>
        <v>1.지불 완료</v>
      </c>
      <c r="V59" s="8" t="s">
        <v>49</v>
      </c>
      <c r="W59" s="6" t="s">
        <v>206</v>
      </c>
    </row>
    <row r="60" spans="1:24" x14ac:dyDescent="0.3">
      <c r="A60" s="51">
        <v>59</v>
      </c>
      <c r="B60" s="40">
        <v>45586</v>
      </c>
      <c r="C60" s="6" t="s">
        <v>44</v>
      </c>
      <c r="D60" s="24" t="s">
        <v>159</v>
      </c>
      <c r="E60" s="6" t="s">
        <v>45</v>
      </c>
      <c r="F60" s="6">
        <v>1</v>
      </c>
      <c r="G60" s="6" t="s">
        <v>46</v>
      </c>
      <c r="H60" s="7">
        <v>1</v>
      </c>
      <c r="I60" s="40">
        <f>B60+140</f>
        <v>45726</v>
      </c>
      <c r="J60" s="58" t="s">
        <v>47</v>
      </c>
      <c r="K60" s="40">
        <v>45638</v>
      </c>
      <c r="L60" s="9"/>
      <c r="M60" s="55">
        <v>15006000</v>
      </c>
      <c r="N60" s="6" t="s">
        <v>48</v>
      </c>
      <c r="O60" s="6" t="s">
        <v>63</v>
      </c>
      <c r="P60" s="20" t="s">
        <v>161</v>
      </c>
      <c r="Q60" s="6" t="s">
        <v>22</v>
      </c>
      <c r="R60" s="10" t="s">
        <v>77</v>
      </c>
      <c r="S60" s="11" t="s">
        <v>237</v>
      </c>
      <c r="T60" s="11" t="s">
        <v>236</v>
      </c>
      <c r="U60" s="11" t="str">
        <f t="shared" si="6"/>
        <v>1.지불 완료</v>
      </c>
      <c r="V60" s="8" t="s">
        <v>49</v>
      </c>
      <c r="W60" s="20" t="s">
        <v>162</v>
      </c>
      <c r="X60" s="59" t="s">
        <v>413</v>
      </c>
    </row>
    <row r="61" spans="1:24" x14ac:dyDescent="0.3">
      <c r="A61" s="51">
        <v>58</v>
      </c>
      <c r="B61" s="40">
        <v>45583</v>
      </c>
      <c r="C61" s="6" t="s">
        <v>116</v>
      </c>
      <c r="D61" s="24"/>
      <c r="E61" s="6" t="s">
        <v>50</v>
      </c>
      <c r="F61" s="6">
        <v>1</v>
      </c>
      <c r="G61" s="6" t="s">
        <v>51</v>
      </c>
      <c r="H61" s="6">
        <v>1</v>
      </c>
      <c r="I61" s="40">
        <f>B61+28</f>
        <v>45611</v>
      </c>
      <c r="J61" s="58" t="s">
        <v>13</v>
      </c>
      <c r="K61" s="40">
        <v>45587</v>
      </c>
      <c r="L61" s="9"/>
      <c r="M61" s="55">
        <v>1900000</v>
      </c>
      <c r="N61" s="6" t="s">
        <v>52</v>
      </c>
      <c r="O61" s="6" t="s">
        <v>63</v>
      </c>
      <c r="P61" s="6" t="s">
        <v>76</v>
      </c>
      <c r="Q61" s="6" t="s">
        <v>22</v>
      </c>
      <c r="R61" s="10" t="s">
        <v>77</v>
      </c>
      <c r="S61" s="11" t="s">
        <v>198</v>
      </c>
      <c r="T61" s="11" t="s">
        <v>199</v>
      </c>
      <c r="U61" s="11" t="str">
        <f t="shared" si="6"/>
        <v>1.지불 완료</v>
      </c>
      <c r="V61" s="8" t="s">
        <v>49</v>
      </c>
      <c r="W61" s="6" t="s">
        <v>197</v>
      </c>
    </row>
    <row r="62" spans="1:24" x14ac:dyDescent="0.3">
      <c r="A62" s="51">
        <v>57</v>
      </c>
      <c r="B62" s="40">
        <v>45583</v>
      </c>
      <c r="C62" s="6" t="s">
        <v>75</v>
      </c>
      <c r="D62" s="23" t="s">
        <v>43</v>
      </c>
      <c r="E62" s="6" t="s">
        <v>53</v>
      </c>
      <c r="F62" s="6">
        <v>1</v>
      </c>
      <c r="G62" s="6" t="s">
        <v>54</v>
      </c>
      <c r="H62" s="6">
        <v>50</v>
      </c>
      <c r="I62" s="40">
        <f>B62+14</f>
        <v>45597</v>
      </c>
      <c r="J62" s="58" t="s">
        <v>55</v>
      </c>
      <c r="K62" s="44" t="s">
        <v>43</v>
      </c>
      <c r="L62" s="9"/>
      <c r="M62" s="55">
        <v>2500000</v>
      </c>
      <c r="N62" s="6" t="s">
        <v>35</v>
      </c>
      <c r="O62" s="6" t="s">
        <v>63</v>
      </c>
      <c r="P62" s="6" t="s">
        <v>81</v>
      </c>
      <c r="Q62" s="6" t="s">
        <v>22</v>
      </c>
      <c r="R62" s="10" t="s">
        <v>77</v>
      </c>
      <c r="S62" s="11" t="s">
        <v>193</v>
      </c>
      <c r="T62" s="11" t="s">
        <v>174</v>
      </c>
      <c r="U62" s="11" t="str">
        <f t="shared" si="6"/>
        <v>1.지불 완료</v>
      </c>
      <c r="V62" s="8" t="s">
        <v>49</v>
      </c>
      <c r="W62" s="6" t="s">
        <v>175</v>
      </c>
    </row>
    <row r="63" spans="1:24" x14ac:dyDescent="0.3">
      <c r="A63" s="51">
        <v>56</v>
      </c>
      <c r="B63" s="44">
        <v>45582</v>
      </c>
      <c r="C63" s="6" t="s">
        <v>56</v>
      </c>
      <c r="D63" s="24" t="s">
        <v>179</v>
      </c>
      <c r="E63" s="6" t="s">
        <v>57</v>
      </c>
      <c r="F63" s="6">
        <v>1</v>
      </c>
      <c r="G63" s="6" t="s">
        <v>58</v>
      </c>
      <c r="H63" s="6">
        <v>300</v>
      </c>
      <c r="I63" s="40">
        <f>B63+42</f>
        <v>45624</v>
      </c>
      <c r="J63" s="58" t="s">
        <v>59</v>
      </c>
      <c r="K63" s="40">
        <v>45610</v>
      </c>
      <c r="L63" s="9"/>
      <c r="M63" s="55">
        <v>7277250</v>
      </c>
      <c r="N63" s="6" t="s">
        <v>52</v>
      </c>
      <c r="O63" s="6" t="s">
        <v>63</v>
      </c>
      <c r="P63" s="6" t="s">
        <v>180</v>
      </c>
      <c r="Q63" s="6" t="s">
        <v>22</v>
      </c>
      <c r="R63" s="10" t="s">
        <v>77</v>
      </c>
      <c r="S63" s="11" t="s">
        <v>182</v>
      </c>
      <c r="T63" s="11" t="s">
        <v>236</v>
      </c>
      <c r="U63" s="11" t="str">
        <f t="shared" si="6"/>
        <v>1.지불 완료</v>
      </c>
      <c r="V63" s="8" t="s">
        <v>49</v>
      </c>
      <c r="W63" s="6" t="s">
        <v>181</v>
      </c>
    </row>
    <row r="64" spans="1:24" x14ac:dyDescent="0.3">
      <c r="A64" s="51">
        <v>55</v>
      </c>
      <c r="B64" s="40">
        <v>45580</v>
      </c>
      <c r="C64" s="6" t="s">
        <v>11</v>
      </c>
      <c r="D64" s="24" t="s">
        <v>15</v>
      </c>
      <c r="E64" s="6" t="s">
        <v>12</v>
      </c>
      <c r="F64" s="6">
        <v>1</v>
      </c>
      <c r="G64" s="6" t="s">
        <v>16</v>
      </c>
      <c r="H64" s="6">
        <v>110</v>
      </c>
      <c r="I64" s="40">
        <f>B64+28</f>
        <v>45608</v>
      </c>
      <c r="J64" s="58" t="s">
        <v>13</v>
      </c>
      <c r="K64" s="44" t="s">
        <v>43</v>
      </c>
      <c r="L64" s="9"/>
      <c r="M64" s="55">
        <v>1925000</v>
      </c>
      <c r="N64" s="6" t="s">
        <v>14</v>
      </c>
      <c r="O64" s="6" t="s">
        <v>63</v>
      </c>
      <c r="P64" s="6" t="s">
        <v>62</v>
      </c>
      <c r="Q64" s="6" t="s">
        <v>22</v>
      </c>
      <c r="R64" s="10" t="s">
        <v>77</v>
      </c>
      <c r="S64" s="11" t="s">
        <v>196</v>
      </c>
      <c r="T64" s="11" t="s">
        <v>64</v>
      </c>
      <c r="U64" s="11" t="str">
        <f t="shared" si="6"/>
        <v>1.지불 완료</v>
      </c>
      <c r="V64" s="8" t="s">
        <v>49</v>
      </c>
      <c r="W64" s="6" t="s">
        <v>195</v>
      </c>
    </row>
    <row r="65" spans="1:23" x14ac:dyDescent="0.3">
      <c r="A65" s="51">
        <v>54</v>
      </c>
      <c r="B65" s="40">
        <v>45580</v>
      </c>
      <c r="C65" s="6" t="s">
        <v>11</v>
      </c>
      <c r="D65" s="24" t="s">
        <v>15</v>
      </c>
      <c r="E65" s="6" t="s">
        <v>12</v>
      </c>
      <c r="F65" s="6">
        <v>2</v>
      </c>
      <c r="G65" s="6" t="s">
        <v>17</v>
      </c>
      <c r="H65" s="6">
        <v>65</v>
      </c>
      <c r="I65" s="40">
        <f t="shared" ref="I65:I75" si="7">B65+28</f>
        <v>45608</v>
      </c>
      <c r="J65" s="58" t="s">
        <v>13</v>
      </c>
      <c r="K65" s="44" t="s">
        <v>43</v>
      </c>
      <c r="L65" s="9"/>
      <c r="M65" s="55">
        <v>1137500</v>
      </c>
      <c r="N65" s="6" t="s">
        <v>14</v>
      </c>
      <c r="O65" s="6" t="s">
        <v>63</v>
      </c>
      <c r="P65" s="6" t="s">
        <v>62</v>
      </c>
      <c r="Q65" s="6" t="s">
        <v>22</v>
      </c>
      <c r="R65" s="10" t="s">
        <v>77</v>
      </c>
      <c r="S65" s="11" t="s">
        <v>196</v>
      </c>
      <c r="T65" s="11" t="s">
        <v>64</v>
      </c>
      <c r="U65" s="11" t="str">
        <f t="shared" si="6"/>
        <v>1.지불 완료</v>
      </c>
      <c r="V65" s="13" t="s">
        <v>49</v>
      </c>
      <c r="W65" s="6" t="s">
        <v>195</v>
      </c>
    </row>
    <row r="66" spans="1:23" x14ac:dyDescent="0.3">
      <c r="A66" s="51">
        <v>53</v>
      </c>
      <c r="B66" s="40">
        <v>45580</v>
      </c>
      <c r="C66" s="6" t="s">
        <v>11</v>
      </c>
      <c r="D66" s="24" t="s">
        <v>15</v>
      </c>
      <c r="E66" s="6" t="s">
        <v>12</v>
      </c>
      <c r="F66" s="6">
        <v>3</v>
      </c>
      <c r="G66" s="6" t="s">
        <v>18</v>
      </c>
      <c r="H66" s="6">
        <v>75</v>
      </c>
      <c r="I66" s="40">
        <f t="shared" si="7"/>
        <v>45608</v>
      </c>
      <c r="J66" s="58" t="s">
        <v>13</v>
      </c>
      <c r="K66" s="44" t="s">
        <v>43</v>
      </c>
      <c r="L66" s="9"/>
      <c r="M66" s="55">
        <v>1035000</v>
      </c>
      <c r="N66" s="6" t="s">
        <v>14</v>
      </c>
      <c r="O66" s="6" t="s">
        <v>63</v>
      </c>
      <c r="P66" s="6" t="s">
        <v>62</v>
      </c>
      <c r="Q66" s="6" t="s">
        <v>22</v>
      </c>
      <c r="R66" s="10" t="s">
        <v>77</v>
      </c>
      <c r="S66" s="11" t="s">
        <v>196</v>
      </c>
      <c r="T66" s="11" t="s">
        <v>64</v>
      </c>
      <c r="U66" s="11" t="str">
        <f t="shared" si="6"/>
        <v>1.지불 완료</v>
      </c>
      <c r="V66" s="13" t="s">
        <v>49</v>
      </c>
      <c r="W66" s="6" t="s">
        <v>195</v>
      </c>
    </row>
    <row r="67" spans="1:23" x14ac:dyDescent="0.3">
      <c r="A67" s="51">
        <v>52</v>
      </c>
      <c r="B67" s="40">
        <v>45580</v>
      </c>
      <c r="C67" s="6" t="s">
        <v>11</v>
      </c>
      <c r="D67" s="24" t="s">
        <v>15</v>
      </c>
      <c r="E67" s="6" t="s">
        <v>12</v>
      </c>
      <c r="F67" s="6">
        <v>4</v>
      </c>
      <c r="G67" s="6" t="s">
        <v>19</v>
      </c>
      <c r="H67" s="6">
        <v>50</v>
      </c>
      <c r="I67" s="40">
        <f t="shared" si="7"/>
        <v>45608</v>
      </c>
      <c r="J67" s="58" t="s">
        <v>13</v>
      </c>
      <c r="K67" s="44" t="s">
        <v>43</v>
      </c>
      <c r="L67" s="9"/>
      <c r="M67" s="55">
        <v>312500</v>
      </c>
      <c r="N67" s="6" t="s">
        <v>14</v>
      </c>
      <c r="O67" s="6" t="s">
        <v>63</v>
      </c>
      <c r="P67" s="6" t="s">
        <v>62</v>
      </c>
      <c r="Q67" s="6" t="s">
        <v>22</v>
      </c>
      <c r="R67" s="10" t="s">
        <v>77</v>
      </c>
      <c r="S67" s="11" t="s">
        <v>196</v>
      </c>
      <c r="T67" s="11" t="s">
        <v>64</v>
      </c>
      <c r="U67" s="11" t="str">
        <f t="shared" si="6"/>
        <v>1.지불 완료</v>
      </c>
      <c r="V67" s="13" t="s">
        <v>49</v>
      </c>
      <c r="W67" s="6" t="s">
        <v>195</v>
      </c>
    </row>
    <row r="68" spans="1:23" x14ac:dyDescent="0.3">
      <c r="A68" s="51">
        <v>51</v>
      </c>
      <c r="B68" s="40">
        <v>45580</v>
      </c>
      <c r="C68" s="6" t="s">
        <v>11</v>
      </c>
      <c r="D68" s="24" t="s">
        <v>15</v>
      </c>
      <c r="E68" s="6" t="s">
        <v>12</v>
      </c>
      <c r="F68" s="6">
        <v>5</v>
      </c>
      <c r="G68" s="6" t="s">
        <v>20</v>
      </c>
      <c r="H68" s="6">
        <v>50</v>
      </c>
      <c r="I68" s="40">
        <f t="shared" si="7"/>
        <v>45608</v>
      </c>
      <c r="J68" s="58" t="s">
        <v>13</v>
      </c>
      <c r="K68" s="44" t="s">
        <v>43</v>
      </c>
      <c r="L68" s="9"/>
      <c r="M68" s="55">
        <v>250000</v>
      </c>
      <c r="N68" s="6" t="s">
        <v>14</v>
      </c>
      <c r="O68" s="6" t="s">
        <v>63</v>
      </c>
      <c r="P68" s="6" t="s">
        <v>62</v>
      </c>
      <c r="Q68" s="6" t="s">
        <v>22</v>
      </c>
      <c r="R68" s="10" t="s">
        <v>77</v>
      </c>
      <c r="S68" s="11" t="s">
        <v>196</v>
      </c>
      <c r="T68" s="11" t="s">
        <v>64</v>
      </c>
      <c r="U68" s="11" t="str">
        <f t="shared" si="6"/>
        <v>1.지불 완료</v>
      </c>
      <c r="V68" s="13" t="s">
        <v>49</v>
      </c>
      <c r="W68" s="6" t="s">
        <v>195</v>
      </c>
    </row>
    <row r="69" spans="1:23" x14ac:dyDescent="0.3">
      <c r="A69" s="51">
        <v>50</v>
      </c>
      <c r="B69" s="40">
        <v>45580</v>
      </c>
      <c r="C69" s="6" t="s">
        <v>11</v>
      </c>
      <c r="D69" s="24" t="s">
        <v>15</v>
      </c>
      <c r="E69" s="6" t="s">
        <v>12</v>
      </c>
      <c r="F69" s="6">
        <v>6</v>
      </c>
      <c r="G69" s="6" t="s">
        <v>21</v>
      </c>
      <c r="H69" s="6">
        <v>50</v>
      </c>
      <c r="I69" s="40">
        <f t="shared" si="7"/>
        <v>45608</v>
      </c>
      <c r="J69" s="58" t="s">
        <v>13</v>
      </c>
      <c r="K69" s="44" t="s">
        <v>43</v>
      </c>
      <c r="L69" s="9"/>
      <c r="M69" s="55">
        <v>450000</v>
      </c>
      <c r="N69" s="6" t="s">
        <v>14</v>
      </c>
      <c r="O69" s="6" t="s">
        <v>63</v>
      </c>
      <c r="P69" s="6" t="s">
        <v>62</v>
      </c>
      <c r="Q69" s="6" t="s">
        <v>22</v>
      </c>
      <c r="R69" s="10" t="s">
        <v>77</v>
      </c>
      <c r="S69" s="11" t="s">
        <v>196</v>
      </c>
      <c r="T69" s="11" t="s">
        <v>64</v>
      </c>
      <c r="U69" s="11" t="str">
        <f t="shared" si="6"/>
        <v>1.지불 완료</v>
      </c>
      <c r="V69" s="13" t="s">
        <v>49</v>
      </c>
      <c r="W69" s="6" t="s">
        <v>195</v>
      </c>
    </row>
    <row r="70" spans="1:23" x14ac:dyDescent="0.3">
      <c r="A70" s="51">
        <v>49</v>
      </c>
      <c r="B70" s="40">
        <v>45573</v>
      </c>
      <c r="C70" s="6" t="s">
        <v>23</v>
      </c>
      <c r="D70" s="23" t="s">
        <v>43</v>
      </c>
      <c r="E70" s="6" t="s">
        <v>38</v>
      </c>
      <c r="F70" s="6">
        <v>1</v>
      </c>
      <c r="G70" s="6" t="s">
        <v>39</v>
      </c>
      <c r="H70" s="7">
        <v>1</v>
      </c>
      <c r="I70" s="40">
        <f t="shared" ref="I70:I86" si="8">B70+10</f>
        <v>45583</v>
      </c>
      <c r="J70" s="58" t="s">
        <v>25</v>
      </c>
      <c r="K70" s="40"/>
      <c r="L70" s="9"/>
      <c r="M70" s="55">
        <v>16832480</v>
      </c>
      <c r="N70" s="6" t="s">
        <v>26</v>
      </c>
      <c r="O70" s="6" t="s">
        <v>63</v>
      </c>
      <c r="P70" s="6" t="s">
        <v>62</v>
      </c>
      <c r="Q70" s="6" t="s">
        <v>22</v>
      </c>
      <c r="R70" s="10" t="s">
        <v>77</v>
      </c>
      <c r="S70" s="11" t="s">
        <v>190</v>
      </c>
      <c r="T70" s="11" t="s">
        <v>64</v>
      </c>
      <c r="U70" s="11" t="str">
        <f t="shared" si="6"/>
        <v>1.지불 완료</v>
      </c>
      <c r="V70" s="13" t="s">
        <v>49</v>
      </c>
      <c r="W70" s="6" t="s">
        <v>194</v>
      </c>
    </row>
    <row r="71" spans="1:23" x14ac:dyDescent="0.3">
      <c r="A71" s="51">
        <v>48</v>
      </c>
      <c r="B71" s="44">
        <v>45573</v>
      </c>
      <c r="C71" s="6" t="s">
        <v>82</v>
      </c>
      <c r="D71" s="25" t="s">
        <v>183</v>
      </c>
      <c r="E71" s="6" t="s">
        <v>83</v>
      </c>
      <c r="F71" s="6">
        <v>1</v>
      </c>
      <c r="G71" s="6" t="s">
        <v>84</v>
      </c>
      <c r="H71" s="6">
        <v>1</v>
      </c>
      <c r="I71" s="40">
        <f t="shared" si="7"/>
        <v>45601</v>
      </c>
      <c r="J71" s="58" t="s">
        <v>13</v>
      </c>
      <c r="K71" s="40">
        <v>45586</v>
      </c>
      <c r="L71" s="9"/>
      <c r="M71" s="55">
        <v>1970000</v>
      </c>
      <c r="N71" s="6" t="s">
        <v>52</v>
      </c>
      <c r="O71" s="6" t="s">
        <v>63</v>
      </c>
      <c r="P71" s="6" t="s">
        <v>76</v>
      </c>
      <c r="Q71" s="6" t="s">
        <v>22</v>
      </c>
      <c r="R71" s="10" t="s">
        <v>77</v>
      </c>
      <c r="S71" s="11" t="s">
        <v>201</v>
      </c>
      <c r="T71" s="11" t="s">
        <v>199</v>
      </c>
      <c r="U71" s="11" t="str">
        <f t="shared" si="6"/>
        <v>1.지불 완료</v>
      </c>
      <c r="V71" s="13" t="s">
        <v>49</v>
      </c>
      <c r="W71" s="6" t="s">
        <v>200</v>
      </c>
    </row>
    <row r="72" spans="1:23" x14ac:dyDescent="0.3">
      <c r="A72" s="51">
        <v>47</v>
      </c>
      <c r="B72" s="40">
        <v>45573</v>
      </c>
      <c r="C72" s="6" t="s">
        <v>91</v>
      </c>
      <c r="D72" s="24" t="s">
        <v>92</v>
      </c>
      <c r="E72" s="6" t="s">
        <v>167</v>
      </c>
      <c r="F72" s="6">
        <v>3</v>
      </c>
      <c r="G72" s="6" t="s">
        <v>168</v>
      </c>
      <c r="H72" s="6">
        <v>45</v>
      </c>
      <c r="I72" s="40">
        <f>B72+70</f>
        <v>45643</v>
      </c>
      <c r="J72" s="58"/>
      <c r="K72" s="40">
        <v>45638</v>
      </c>
      <c r="L72" s="9"/>
      <c r="M72" s="55">
        <v>5475000</v>
      </c>
      <c r="N72" s="6" t="s">
        <v>52</v>
      </c>
      <c r="O72" s="6" t="s">
        <v>63</v>
      </c>
      <c r="P72" s="6" t="s">
        <v>169</v>
      </c>
      <c r="Q72" s="6" t="s">
        <v>22</v>
      </c>
      <c r="R72" s="10" t="s">
        <v>77</v>
      </c>
      <c r="S72" s="6" t="s">
        <v>164</v>
      </c>
      <c r="T72" s="11" t="s">
        <v>236</v>
      </c>
      <c r="U72" s="11" t="str">
        <f t="shared" si="6"/>
        <v>1.지불 완료</v>
      </c>
      <c r="V72" s="13" t="s">
        <v>49</v>
      </c>
      <c r="W72" s="6" t="s">
        <v>170</v>
      </c>
    </row>
    <row r="73" spans="1:23" x14ac:dyDescent="0.3">
      <c r="A73" s="51">
        <v>46</v>
      </c>
      <c r="B73" s="44">
        <v>45573</v>
      </c>
      <c r="C73" s="6" t="s">
        <v>75</v>
      </c>
      <c r="D73" s="23" t="s">
        <v>43</v>
      </c>
      <c r="E73" s="6" t="s">
        <v>79</v>
      </c>
      <c r="F73" s="6">
        <v>1</v>
      </c>
      <c r="G73" s="6" t="s">
        <v>34</v>
      </c>
      <c r="H73" s="6">
        <v>103</v>
      </c>
      <c r="I73" s="40">
        <f t="shared" si="7"/>
        <v>45601</v>
      </c>
      <c r="J73" s="58" t="s">
        <v>13</v>
      </c>
      <c r="K73" s="44" t="s">
        <v>43</v>
      </c>
      <c r="L73" s="9"/>
      <c r="M73" s="55">
        <v>400000</v>
      </c>
      <c r="N73" s="6" t="s">
        <v>35</v>
      </c>
      <c r="O73" s="6" t="s">
        <v>63</v>
      </c>
      <c r="P73" s="6" t="s">
        <v>80</v>
      </c>
      <c r="Q73" s="6" t="s">
        <v>22</v>
      </c>
      <c r="R73" s="10" t="s">
        <v>77</v>
      </c>
      <c r="S73" s="11" t="s">
        <v>193</v>
      </c>
      <c r="T73" s="11" t="s">
        <v>174</v>
      </c>
      <c r="U73" s="11" t="str">
        <f t="shared" si="6"/>
        <v>1.지불 완료</v>
      </c>
      <c r="V73" s="8" t="s">
        <v>49</v>
      </c>
      <c r="W73" s="6" t="s">
        <v>176</v>
      </c>
    </row>
    <row r="74" spans="1:23" x14ac:dyDescent="0.3">
      <c r="A74" s="51">
        <v>45</v>
      </c>
      <c r="B74" s="40">
        <v>45562</v>
      </c>
      <c r="C74" s="6" t="s">
        <v>65</v>
      </c>
      <c r="D74" s="23" t="s">
        <v>43</v>
      </c>
      <c r="E74" s="6" t="s">
        <v>66</v>
      </c>
      <c r="F74" s="6">
        <v>1</v>
      </c>
      <c r="G74" s="6" t="s">
        <v>67</v>
      </c>
      <c r="H74" s="7">
        <v>1</v>
      </c>
      <c r="I74" s="40">
        <f>B74+15</f>
        <v>45577</v>
      </c>
      <c r="J74" s="58" t="s">
        <v>31</v>
      </c>
      <c r="K74" s="40">
        <v>45579</v>
      </c>
      <c r="L74" s="9"/>
      <c r="M74" s="55">
        <v>66782940</v>
      </c>
      <c r="N74" s="6" t="s">
        <v>26</v>
      </c>
      <c r="O74" s="6" t="s">
        <v>63</v>
      </c>
      <c r="P74" s="6" t="s">
        <v>62</v>
      </c>
      <c r="Q74" s="6" t="s">
        <v>22</v>
      </c>
      <c r="R74" s="10" t="s">
        <v>77</v>
      </c>
      <c r="S74" s="11" t="s">
        <v>203</v>
      </c>
      <c r="T74" s="11" t="s">
        <v>68</v>
      </c>
      <c r="U74" s="11" t="str">
        <f t="shared" si="6"/>
        <v>1.지불 완료</v>
      </c>
      <c r="V74" s="13" t="s">
        <v>49</v>
      </c>
      <c r="W74" s="6" t="s">
        <v>202</v>
      </c>
    </row>
    <row r="75" spans="1:23" x14ac:dyDescent="0.3">
      <c r="A75" s="51">
        <v>44</v>
      </c>
      <c r="B75" s="40">
        <v>45559</v>
      </c>
      <c r="C75" s="6" t="s">
        <v>75</v>
      </c>
      <c r="D75" s="23" t="s">
        <v>43</v>
      </c>
      <c r="E75" s="6" t="s">
        <v>73</v>
      </c>
      <c r="F75" s="6">
        <v>1</v>
      </c>
      <c r="G75" s="6" t="s">
        <v>74</v>
      </c>
      <c r="H75" s="6">
        <v>14</v>
      </c>
      <c r="I75" s="40">
        <f t="shared" si="7"/>
        <v>45587</v>
      </c>
      <c r="J75" s="58" t="s">
        <v>13</v>
      </c>
      <c r="K75" s="40">
        <v>45565</v>
      </c>
      <c r="L75" s="9"/>
      <c r="M75" s="55">
        <v>210000</v>
      </c>
      <c r="N75" s="6" t="s">
        <v>35</v>
      </c>
      <c r="O75" s="6" t="s">
        <v>63</v>
      </c>
      <c r="P75" s="6" t="s">
        <v>76</v>
      </c>
      <c r="Q75" s="6" t="s">
        <v>22</v>
      </c>
      <c r="R75" s="10" t="s">
        <v>77</v>
      </c>
      <c r="S75" s="11" t="s">
        <v>221</v>
      </c>
      <c r="T75" s="11" t="s">
        <v>71</v>
      </c>
      <c r="U75" s="11" t="str">
        <f t="shared" si="6"/>
        <v>1.지불 완료</v>
      </c>
      <c r="V75" s="13" t="s">
        <v>49</v>
      </c>
      <c r="W75" s="6" t="s">
        <v>380</v>
      </c>
    </row>
    <row r="76" spans="1:23" x14ac:dyDescent="0.3">
      <c r="A76" s="51">
        <v>43</v>
      </c>
      <c r="B76" s="40">
        <v>45558</v>
      </c>
      <c r="C76" s="6" t="s">
        <v>23</v>
      </c>
      <c r="D76" s="23" t="s">
        <v>43</v>
      </c>
      <c r="E76" s="6" t="s">
        <v>69</v>
      </c>
      <c r="F76" s="6">
        <v>1</v>
      </c>
      <c r="G76" s="6" t="s">
        <v>70</v>
      </c>
      <c r="H76" s="7">
        <v>1</v>
      </c>
      <c r="I76" s="40">
        <f t="shared" si="8"/>
        <v>45568</v>
      </c>
      <c r="J76" s="58" t="s">
        <v>25</v>
      </c>
      <c r="K76" s="40">
        <v>45560</v>
      </c>
      <c r="L76" s="9"/>
      <c r="M76" s="55">
        <v>1304100</v>
      </c>
      <c r="N76" s="6" t="s">
        <v>26</v>
      </c>
      <c r="O76" s="6" t="s">
        <v>63</v>
      </c>
      <c r="P76" s="6" t="s">
        <v>76</v>
      </c>
      <c r="Q76" s="6" t="s">
        <v>22</v>
      </c>
      <c r="R76" s="10" t="s">
        <v>77</v>
      </c>
      <c r="S76" s="11" t="s">
        <v>221</v>
      </c>
      <c r="T76" s="11" t="s">
        <v>71</v>
      </c>
      <c r="U76" s="11" t="str">
        <f t="shared" si="6"/>
        <v>1.지불 완료</v>
      </c>
      <c r="V76" s="13" t="s">
        <v>49</v>
      </c>
      <c r="W76" s="6" t="s">
        <v>222</v>
      </c>
    </row>
    <row r="77" spans="1:23" x14ac:dyDescent="0.3">
      <c r="A77" s="51">
        <v>42</v>
      </c>
      <c r="B77" s="40">
        <v>45558</v>
      </c>
      <c r="C77" s="6" t="s">
        <v>23</v>
      </c>
      <c r="D77" s="23" t="s">
        <v>43</v>
      </c>
      <c r="E77" s="6" t="s">
        <v>72</v>
      </c>
      <c r="F77" s="6">
        <v>1</v>
      </c>
      <c r="G77" s="6" t="s">
        <v>67</v>
      </c>
      <c r="H77" s="7">
        <v>1</v>
      </c>
      <c r="I77" s="40">
        <f t="shared" si="8"/>
        <v>45568</v>
      </c>
      <c r="J77" s="58" t="s">
        <v>25</v>
      </c>
      <c r="K77" s="40">
        <v>45560</v>
      </c>
      <c r="L77" s="9"/>
      <c r="M77" s="55">
        <v>15905345</v>
      </c>
      <c r="N77" s="6" t="s">
        <v>26</v>
      </c>
      <c r="O77" s="6" t="s">
        <v>63</v>
      </c>
      <c r="P77" s="6" t="s">
        <v>62</v>
      </c>
      <c r="Q77" s="6" t="s">
        <v>22</v>
      </c>
      <c r="R77" s="10" t="s">
        <v>77</v>
      </c>
      <c r="S77" s="11" t="s">
        <v>221</v>
      </c>
      <c r="T77" s="11" t="s">
        <v>71</v>
      </c>
      <c r="U77" s="11" t="str">
        <f t="shared" si="6"/>
        <v>1.지불 완료</v>
      </c>
      <c r="V77" s="13" t="s">
        <v>49</v>
      </c>
      <c r="W77" s="6" t="s">
        <v>223</v>
      </c>
    </row>
    <row r="78" spans="1:23" x14ac:dyDescent="0.3">
      <c r="A78" s="51">
        <v>41</v>
      </c>
      <c r="B78" s="40">
        <v>45549</v>
      </c>
      <c r="C78" s="6" t="s">
        <v>93</v>
      </c>
      <c r="D78" s="23" t="s">
        <v>43</v>
      </c>
      <c r="E78" s="6" t="s">
        <v>94</v>
      </c>
      <c r="F78" s="6">
        <v>1</v>
      </c>
      <c r="G78" s="6" t="s">
        <v>95</v>
      </c>
      <c r="H78" s="14">
        <v>1</v>
      </c>
      <c r="I78" s="40">
        <f t="shared" ref="I78" si="9">B78+28</f>
        <v>45577</v>
      </c>
      <c r="J78" s="58" t="s">
        <v>13</v>
      </c>
      <c r="K78" s="40" t="s">
        <v>210</v>
      </c>
      <c r="L78" s="9"/>
      <c r="M78" s="55">
        <f>5544000/2</f>
        <v>2772000</v>
      </c>
      <c r="N78" s="15" t="s">
        <v>300</v>
      </c>
      <c r="O78" s="6"/>
      <c r="P78" s="6"/>
      <c r="Q78" s="6" t="s">
        <v>22</v>
      </c>
      <c r="R78" s="10" t="s">
        <v>77</v>
      </c>
      <c r="S78" s="16" t="s">
        <v>301</v>
      </c>
      <c r="T78" s="16" t="s">
        <v>303</v>
      </c>
      <c r="U78" s="11" t="str">
        <f t="shared" si="6"/>
        <v>1.지불 완료</v>
      </c>
      <c r="V78" s="13" t="s">
        <v>49</v>
      </c>
      <c r="W78" s="6" t="s">
        <v>209</v>
      </c>
    </row>
    <row r="79" spans="1:23" x14ac:dyDescent="0.3">
      <c r="A79" s="51">
        <v>40</v>
      </c>
      <c r="B79" s="40">
        <v>45549</v>
      </c>
      <c r="C79" s="6" t="s">
        <v>93</v>
      </c>
      <c r="D79" s="23" t="s">
        <v>43</v>
      </c>
      <c r="E79" s="6" t="s">
        <v>94</v>
      </c>
      <c r="F79" s="6">
        <v>1</v>
      </c>
      <c r="G79" s="6" t="s">
        <v>95</v>
      </c>
      <c r="H79" s="14">
        <v>1</v>
      </c>
      <c r="I79" s="40">
        <f t="shared" ref="I79:I81" si="10">B79+28</f>
        <v>45577</v>
      </c>
      <c r="J79" s="58" t="s">
        <v>13</v>
      </c>
      <c r="K79" s="40" t="s">
        <v>210</v>
      </c>
      <c r="L79" s="9"/>
      <c r="M79" s="55">
        <f>5544000/2</f>
        <v>2772000</v>
      </c>
      <c r="N79" s="15" t="s">
        <v>299</v>
      </c>
      <c r="O79" s="6"/>
      <c r="P79" s="6"/>
      <c r="Q79" s="6" t="s">
        <v>22</v>
      </c>
      <c r="R79" s="10" t="s">
        <v>77</v>
      </c>
      <c r="S79" s="16" t="s">
        <v>302</v>
      </c>
      <c r="T79" s="16" t="s">
        <v>304</v>
      </c>
      <c r="U79" s="11" t="str">
        <f t="shared" si="6"/>
        <v>1.지불 완료</v>
      </c>
      <c r="V79" s="13" t="s">
        <v>49</v>
      </c>
      <c r="W79" s="6" t="s">
        <v>209</v>
      </c>
    </row>
    <row r="80" spans="1:23" x14ac:dyDescent="0.3">
      <c r="A80" s="51">
        <v>39</v>
      </c>
      <c r="B80" s="40">
        <v>45548</v>
      </c>
      <c r="C80" s="6" t="s">
        <v>56</v>
      </c>
      <c r="D80" s="24" t="s">
        <v>87</v>
      </c>
      <c r="E80" s="6" t="s">
        <v>85</v>
      </c>
      <c r="F80" s="6">
        <v>1</v>
      </c>
      <c r="G80" s="6" t="s">
        <v>86</v>
      </c>
      <c r="H80" s="6">
        <v>2</v>
      </c>
      <c r="I80" s="40">
        <f t="shared" si="10"/>
        <v>45576</v>
      </c>
      <c r="J80" s="58" t="s">
        <v>13</v>
      </c>
      <c r="K80" s="40">
        <v>45559</v>
      </c>
      <c r="L80" s="9"/>
      <c r="M80" s="55">
        <v>1446000</v>
      </c>
      <c r="N80" s="6" t="s">
        <v>52</v>
      </c>
      <c r="O80" s="20" t="s">
        <v>156</v>
      </c>
      <c r="P80" s="6" t="s">
        <v>88</v>
      </c>
      <c r="Q80" s="6" t="s">
        <v>22</v>
      </c>
      <c r="R80" s="10" t="s">
        <v>77</v>
      </c>
      <c r="S80" s="11" t="s">
        <v>224</v>
      </c>
      <c r="T80" s="11" t="s">
        <v>68</v>
      </c>
      <c r="U80" s="11" t="str">
        <f t="shared" si="6"/>
        <v>1.지불 완료</v>
      </c>
      <c r="V80" s="13" t="s">
        <v>49</v>
      </c>
      <c r="W80" s="6" t="s">
        <v>225</v>
      </c>
    </row>
    <row r="81" spans="1:23" x14ac:dyDescent="0.3">
      <c r="A81" s="51">
        <v>38</v>
      </c>
      <c r="B81" s="40">
        <v>45544</v>
      </c>
      <c r="C81" s="6" t="s">
        <v>91</v>
      </c>
      <c r="D81" s="24" t="s">
        <v>92</v>
      </c>
      <c r="E81" s="6" t="s">
        <v>89</v>
      </c>
      <c r="F81" s="6">
        <v>1</v>
      </c>
      <c r="G81" s="6" t="s">
        <v>90</v>
      </c>
      <c r="H81" s="6">
        <v>320</v>
      </c>
      <c r="I81" s="40">
        <f t="shared" si="10"/>
        <v>45572</v>
      </c>
      <c r="J81" s="58" t="s">
        <v>13</v>
      </c>
      <c r="K81" s="40">
        <v>45558</v>
      </c>
      <c r="L81" s="9"/>
      <c r="M81" s="55">
        <v>4680000</v>
      </c>
      <c r="N81" s="6" t="s">
        <v>52</v>
      </c>
      <c r="O81" s="6" t="s">
        <v>63</v>
      </c>
      <c r="P81" s="6" t="s">
        <v>80</v>
      </c>
      <c r="Q81" s="6" t="s">
        <v>22</v>
      </c>
      <c r="R81" s="10" t="s">
        <v>77</v>
      </c>
      <c r="S81" s="11" t="s">
        <v>226</v>
      </c>
      <c r="T81" s="11" t="s">
        <v>71</v>
      </c>
      <c r="U81" s="11" t="str">
        <f t="shared" si="6"/>
        <v>1.지불 완료</v>
      </c>
      <c r="V81" s="13" t="s">
        <v>49</v>
      </c>
      <c r="W81" s="6" t="s">
        <v>227</v>
      </c>
    </row>
    <row r="82" spans="1:23" x14ac:dyDescent="0.3">
      <c r="A82" s="51">
        <v>37</v>
      </c>
      <c r="B82" s="44">
        <v>45544</v>
      </c>
      <c r="C82" s="6" t="s">
        <v>44</v>
      </c>
      <c r="D82" s="24" t="s">
        <v>104</v>
      </c>
      <c r="E82" s="6" t="s">
        <v>60</v>
      </c>
      <c r="F82" s="6">
        <v>1</v>
      </c>
      <c r="G82" s="6" t="s">
        <v>61</v>
      </c>
      <c r="H82" s="7">
        <v>1</v>
      </c>
      <c r="I82" s="40">
        <f>B82+140</f>
        <v>45684</v>
      </c>
      <c r="J82" s="58" t="s">
        <v>47</v>
      </c>
      <c r="K82" s="46" t="s">
        <v>293</v>
      </c>
      <c r="L82" s="9"/>
      <c r="M82" s="55">
        <f>30052000*0.3</f>
        <v>9015600</v>
      </c>
      <c r="N82" s="15" t="s">
        <v>289</v>
      </c>
      <c r="O82" s="6" t="s">
        <v>63</v>
      </c>
      <c r="P82" s="6" t="s">
        <v>80</v>
      </c>
      <c r="Q82" s="6" t="s">
        <v>22</v>
      </c>
      <c r="R82" s="10" t="s">
        <v>77</v>
      </c>
      <c r="S82" s="15" t="s">
        <v>295</v>
      </c>
      <c r="T82" s="15" t="s">
        <v>298</v>
      </c>
      <c r="U82" s="11" t="str">
        <f t="shared" si="6"/>
        <v>1.지불 완료</v>
      </c>
      <c r="V82" s="13" t="s">
        <v>49</v>
      </c>
      <c r="W82" s="6" t="s">
        <v>178</v>
      </c>
    </row>
    <row r="83" spans="1:23" x14ac:dyDescent="0.3">
      <c r="A83" s="51">
        <v>36</v>
      </c>
      <c r="B83" s="44">
        <v>45544</v>
      </c>
      <c r="C83" s="6" t="s">
        <v>44</v>
      </c>
      <c r="D83" s="24" t="s">
        <v>104</v>
      </c>
      <c r="E83" s="6" t="s">
        <v>60</v>
      </c>
      <c r="F83" s="6">
        <v>1</v>
      </c>
      <c r="G83" s="6" t="s">
        <v>61</v>
      </c>
      <c r="H83" s="7">
        <v>1</v>
      </c>
      <c r="I83" s="40">
        <f>B83+140</f>
        <v>45684</v>
      </c>
      <c r="J83" s="58" t="s">
        <v>47</v>
      </c>
      <c r="K83" s="39" t="s">
        <v>292</v>
      </c>
      <c r="L83" s="9"/>
      <c r="M83" s="55">
        <f>30052000*0.4</f>
        <v>12020800</v>
      </c>
      <c r="N83" s="15" t="s">
        <v>290</v>
      </c>
      <c r="O83" s="6" t="s">
        <v>63</v>
      </c>
      <c r="P83" s="6" t="s">
        <v>80</v>
      </c>
      <c r="Q83" s="6" t="s">
        <v>22</v>
      </c>
      <c r="R83" s="10" t="s">
        <v>77</v>
      </c>
      <c r="S83" s="15" t="s">
        <v>294</v>
      </c>
      <c r="T83" s="15" t="s">
        <v>297</v>
      </c>
      <c r="U83" s="11" t="str">
        <f t="shared" si="6"/>
        <v>1.지불 완료</v>
      </c>
      <c r="V83" s="13" t="s">
        <v>49</v>
      </c>
      <c r="W83" s="6" t="s">
        <v>178</v>
      </c>
    </row>
    <row r="84" spans="1:23" x14ac:dyDescent="0.3">
      <c r="A84" s="51">
        <v>35</v>
      </c>
      <c r="B84" s="44">
        <v>45544</v>
      </c>
      <c r="C84" s="6" t="s">
        <v>44</v>
      </c>
      <c r="D84" s="24" t="s">
        <v>104</v>
      </c>
      <c r="E84" s="6" t="s">
        <v>60</v>
      </c>
      <c r="F84" s="6">
        <v>1</v>
      </c>
      <c r="G84" s="6" t="s">
        <v>61</v>
      </c>
      <c r="H84" s="7">
        <v>1</v>
      </c>
      <c r="I84" s="40">
        <f>B84+140</f>
        <v>45684</v>
      </c>
      <c r="J84" s="58" t="s">
        <v>47</v>
      </c>
      <c r="K84" s="39"/>
      <c r="L84" s="9"/>
      <c r="M84" s="55">
        <f>30052000*0.3</f>
        <v>9015600</v>
      </c>
      <c r="N84" s="27" t="s">
        <v>291</v>
      </c>
      <c r="O84" s="6" t="s">
        <v>63</v>
      </c>
      <c r="P84" s="6" t="s">
        <v>80</v>
      </c>
      <c r="Q84" s="6" t="s">
        <v>22</v>
      </c>
      <c r="R84" s="10" t="s">
        <v>77</v>
      </c>
      <c r="S84" s="28" t="s">
        <v>373</v>
      </c>
      <c r="T84" s="28" t="s">
        <v>296</v>
      </c>
      <c r="U84" s="11" t="str">
        <f t="shared" si="6"/>
        <v>1.지불 완료</v>
      </c>
      <c r="V84" s="13" t="s">
        <v>49</v>
      </c>
      <c r="W84" s="6" t="s">
        <v>178</v>
      </c>
    </row>
    <row r="85" spans="1:23" x14ac:dyDescent="0.3">
      <c r="A85" s="51">
        <v>34</v>
      </c>
      <c r="B85" s="44">
        <v>45541</v>
      </c>
      <c r="C85" s="6" t="s">
        <v>75</v>
      </c>
      <c r="D85" s="23" t="s">
        <v>43</v>
      </c>
      <c r="E85" s="6" t="s">
        <v>103</v>
      </c>
      <c r="F85" s="6">
        <v>1</v>
      </c>
      <c r="G85" s="6" t="s">
        <v>34</v>
      </c>
      <c r="H85" s="7">
        <v>1</v>
      </c>
      <c r="I85" s="40">
        <f>B85+140</f>
        <v>45681</v>
      </c>
      <c r="J85" s="58" t="s">
        <v>47</v>
      </c>
      <c r="K85" s="44" t="s">
        <v>43</v>
      </c>
      <c r="L85" s="9"/>
      <c r="M85" s="55">
        <v>8274400</v>
      </c>
      <c r="N85" s="6" t="s">
        <v>35</v>
      </c>
      <c r="O85" s="6" t="s">
        <v>63</v>
      </c>
      <c r="P85" s="6" t="s">
        <v>80</v>
      </c>
      <c r="Q85" s="6" t="s">
        <v>22</v>
      </c>
      <c r="R85" s="10" t="s">
        <v>77</v>
      </c>
      <c r="S85" s="11" t="s">
        <v>232</v>
      </c>
      <c r="T85" s="11" t="s">
        <v>99</v>
      </c>
      <c r="U85" s="11" t="str">
        <f t="shared" ref="U85:U118" si="11">IF(ISBLANK(T85)=FALSE, "1.지불 완료", IF(ISBLANK(R85)=FALSE, "2.공급 완료", "3.진행 중"))</f>
        <v>1.지불 완료</v>
      </c>
      <c r="V85" s="13" t="s">
        <v>49</v>
      </c>
      <c r="W85" s="6" t="s">
        <v>233</v>
      </c>
    </row>
    <row r="86" spans="1:23" x14ac:dyDescent="0.3">
      <c r="A86" s="51">
        <v>33</v>
      </c>
      <c r="B86" s="40">
        <v>45532</v>
      </c>
      <c r="C86" s="6" t="s">
        <v>23</v>
      </c>
      <c r="D86" s="23" t="s">
        <v>43</v>
      </c>
      <c r="E86" s="6" t="s">
        <v>105</v>
      </c>
      <c r="F86" s="6">
        <v>1</v>
      </c>
      <c r="G86" s="6" t="s">
        <v>106</v>
      </c>
      <c r="H86" s="7">
        <v>1</v>
      </c>
      <c r="I86" s="40">
        <f t="shared" si="8"/>
        <v>45542</v>
      </c>
      <c r="J86" s="58" t="s">
        <v>25</v>
      </c>
      <c r="K86" s="40">
        <v>45532</v>
      </c>
      <c r="L86" s="9"/>
      <c r="M86" s="55">
        <v>982500</v>
      </c>
      <c r="N86" s="6" t="s">
        <v>26</v>
      </c>
      <c r="O86" s="6" t="s">
        <v>63</v>
      </c>
      <c r="P86" s="6" t="s">
        <v>80</v>
      </c>
      <c r="Q86" s="6" t="s">
        <v>22</v>
      </c>
      <c r="R86" s="10" t="s">
        <v>77</v>
      </c>
      <c r="S86" s="11" t="s">
        <v>234</v>
      </c>
      <c r="T86" s="11" t="s">
        <v>99</v>
      </c>
      <c r="U86" s="11" t="str">
        <f t="shared" si="11"/>
        <v>1.지불 완료</v>
      </c>
      <c r="V86" s="13" t="s">
        <v>49</v>
      </c>
      <c r="W86" s="6" t="s">
        <v>235</v>
      </c>
    </row>
    <row r="87" spans="1:23" x14ac:dyDescent="0.3">
      <c r="A87" s="51">
        <v>32</v>
      </c>
      <c r="B87" s="40">
        <v>45525</v>
      </c>
      <c r="C87" s="6" t="s">
        <v>56</v>
      </c>
      <c r="D87" s="24" t="s">
        <v>100</v>
      </c>
      <c r="E87" s="6" t="s">
        <v>101</v>
      </c>
      <c r="F87" s="6">
        <v>1</v>
      </c>
      <c r="G87" s="6" t="s">
        <v>102</v>
      </c>
      <c r="H87" s="6">
        <v>1</v>
      </c>
      <c r="I87" s="40">
        <f t="shared" ref="I87" si="12">B87+28</f>
        <v>45553</v>
      </c>
      <c r="J87" s="58" t="s">
        <v>13</v>
      </c>
      <c r="K87" s="40">
        <v>45539</v>
      </c>
      <c r="L87" s="9"/>
      <c r="M87" s="55">
        <v>788000</v>
      </c>
      <c r="N87" s="6" t="s">
        <v>52</v>
      </c>
      <c r="O87" s="6" t="s">
        <v>63</v>
      </c>
      <c r="P87" s="6" t="s">
        <v>80</v>
      </c>
      <c r="Q87" s="6" t="s">
        <v>22</v>
      </c>
      <c r="R87" s="10" t="s">
        <v>77</v>
      </c>
      <c r="S87" s="11" t="s">
        <v>228</v>
      </c>
      <c r="T87" s="11" t="s">
        <v>71</v>
      </c>
      <c r="U87" s="11" t="str">
        <f t="shared" si="11"/>
        <v>1.지불 완료</v>
      </c>
      <c r="V87" s="13" t="s">
        <v>49</v>
      </c>
      <c r="W87" s="6" t="s">
        <v>231</v>
      </c>
    </row>
    <row r="88" spans="1:23" x14ac:dyDescent="0.3">
      <c r="A88" s="51">
        <v>31</v>
      </c>
      <c r="B88" s="40">
        <v>45496</v>
      </c>
      <c r="C88" s="6" t="s">
        <v>239</v>
      </c>
      <c r="D88" s="24" t="s">
        <v>210</v>
      </c>
      <c r="E88" s="6" t="s">
        <v>443</v>
      </c>
      <c r="F88" s="6">
        <v>1</v>
      </c>
      <c r="G88" s="6" t="s">
        <v>495</v>
      </c>
      <c r="H88" s="6">
        <v>100</v>
      </c>
      <c r="I88" s="40"/>
      <c r="J88" s="58"/>
      <c r="K88" s="40"/>
      <c r="L88" s="9"/>
      <c r="M88" s="55">
        <v>180000</v>
      </c>
      <c r="N88" s="6" t="s">
        <v>480</v>
      </c>
      <c r="O88" s="6" t="s">
        <v>268</v>
      </c>
      <c r="P88" s="6" t="s">
        <v>187</v>
      </c>
      <c r="Q88" s="8" t="s">
        <v>210</v>
      </c>
      <c r="R88" s="10" t="s">
        <v>365</v>
      </c>
      <c r="S88" s="11" t="s">
        <v>445</v>
      </c>
      <c r="T88" s="13" t="s">
        <v>454</v>
      </c>
      <c r="U88" s="11" t="str">
        <f t="shared" si="11"/>
        <v>1.지불 완료</v>
      </c>
      <c r="V88" s="13" t="s">
        <v>271</v>
      </c>
      <c r="W88" s="6" t="s">
        <v>483</v>
      </c>
    </row>
    <row r="89" spans="1:23" x14ac:dyDescent="0.3">
      <c r="A89" s="51">
        <v>30</v>
      </c>
      <c r="B89" s="40">
        <v>45496</v>
      </c>
      <c r="C89" s="6" t="s">
        <v>239</v>
      </c>
      <c r="D89" s="24" t="s">
        <v>210</v>
      </c>
      <c r="E89" s="6" t="s">
        <v>443</v>
      </c>
      <c r="F89" s="6">
        <v>1</v>
      </c>
      <c r="G89" s="6" t="s">
        <v>494</v>
      </c>
      <c r="H89" s="6">
        <v>1</v>
      </c>
      <c r="I89" s="40"/>
      <c r="J89" s="58"/>
      <c r="K89" s="40"/>
      <c r="L89" s="9"/>
      <c r="M89" s="55">
        <v>1500000</v>
      </c>
      <c r="N89" s="6" t="s">
        <v>480</v>
      </c>
      <c r="O89" s="6" t="s">
        <v>268</v>
      </c>
      <c r="P89" s="6" t="s">
        <v>187</v>
      </c>
      <c r="Q89" s="8" t="s">
        <v>210</v>
      </c>
      <c r="R89" s="10" t="s">
        <v>365</v>
      </c>
      <c r="S89" s="11" t="s">
        <v>445</v>
      </c>
      <c r="T89" s="8" t="s">
        <v>454</v>
      </c>
      <c r="U89" s="11" t="str">
        <f t="shared" si="11"/>
        <v>1.지불 완료</v>
      </c>
      <c r="V89" s="13" t="s">
        <v>271</v>
      </c>
      <c r="W89" s="6" t="s">
        <v>483</v>
      </c>
    </row>
    <row r="90" spans="1:23" x14ac:dyDescent="0.3">
      <c r="A90" s="51">
        <v>29</v>
      </c>
      <c r="B90" s="40">
        <v>45488</v>
      </c>
      <c r="C90" s="6" t="s">
        <v>238</v>
      </c>
      <c r="D90" s="23" t="s">
        <v>210</v>
      </c>
      <c r="E90" s="23" t="s">
        <v>210</v>
      </c>
      <c r="F90" s="6"/>
      <c r="G90" s="6" t="s">
        <v>500</v>
      </c>
      <c r="H90" s="6">
        <v>1</v>
      </c>
      <c r="I90" s="40"/>
      <c r="J90" s="58"/>
      <c r="K90" s="44"/>
      <c r="L90" s="18"/>
      <c r="M90" s="55">
        <v>800000</v>
      </c>
      <c r="N90" s="15"/>
      <c r="O90" s="6"/>
      <c r="P90" s="6"/>
      <c r="Q90" s="8" t="s">
        <v>210</v>
      </c>
      <c r="R90" s="10" t="s">
        <v>365</v>
      </c>
      <c r="S90" s="13" t="s">
        <v>445</v>
      </c>
      <c r="T90" s="13" t="s">
        <v>454</v>
      </c>
      <c r="U90" s="11" t="str">
        <f t="shared" si="11"/>
        <v>1.지불 완료</v>
      </c>
      <c r="V90" s="13" t="s">
        <v>271</v>
      </c>
      <c r="W90" s="6" t="s">
        <v>483</v>
      </c>
    </row>
    <row r="91" spans="1:23" x14ac:dyDescent="0.3">
      <c r="A91" s="51">
        <v>28</v>
      </c>
      <c r="B91" s="40">
        <v>45488</v>
      </c>
      <c r="C91" s="6" t="s">
        <v>238</v>
      </c>
      <c r="D91" s="23" t="s">
        <v>210</v>
      </c>
      <c r="E91" s="23" t="s">
        <v>210</v>
      </c>
      <c r="F91" s="6"/>
      <c r="G91" s="6" t="s">
        <v>499</v>
      </c>
      <c r="H91" s="6">
        <v>100</v>
      </c>
      <c r="I91" s="40"/>
      <c r="J91" s="58"/>
      <c r="K91" s="44"/>
      <c r="L91" s="18"/>
      <c r="M91" s="55">
        <v>75000</v>
      </c>
      <c r="N91" s="15"/>
      <c r="O91" s="6"/>
      <c r="P91" s="6"/>
      <c r="Q91" s="8" t="s">
        <v>210</v>
      </c>
      <c r="R91" s="10" t="s">
        <v>365</v>
      </c>
      <c r="S91" s="13" t="s">
        <v>445</v>
      </c>
      <c r="T91" s="13" t="s">
        <v>454</v>
      </c>
      <c r="U91" s="11" t="str">
        <f t="shared" si="11"/>
        <v>1.지불 완료</v>
      </c>
      <c r="V91" s="13" t="s">
        <v>271</v>
      </c>
      <c r="W91" s="6" t="s">
        <v>483</v>
      </c>
    </row>
    <row r="92" spans="1:23" x14ac:dyDescent="0.3">
      <c r="A92" s="51">
        <v>27</v>
      </c>
      <c r="B92" s="40">
        <v>45488</v>
      </c>
      <c r="C92" s="6" t="s">
        <v>238</v>
      </c>
      <c r="D92" s="23" t="s">
        <v>210</v>
      </c>
      <c r="E92" s="23" t="s">
        <v>210</v>
      </c>
      <c r="F92" s="6"/>
      <c r="G92" s="6" t="s">
        <v>498</v>
      </c>
      <c r="H92" s="6">
        <v>100</v>
      </c>
      <c r="I92" s="40"/>
      <c r="J92" s="58"/>
      <c r="K92" s="44"/>
      <c r="L92" s="18"/>
      <c r="M92" s="55">
        <v>55000</v>
      </c>
      <c r="N92" s="15"/>
      <c r="O92" s="6"/>
      <c r="P92" s="6"/>
      <c r="Q92" s="8" t="s">
        <v>210</v>
      </c>
      <c r="R92" s="10" t="s">
        <v>365</v>
      </c>
      <c r="S92" s="13" t="s">
        <v>445</v>
      </c>
      <c r="T92" s="13" t="s">
        <v>454</v>
      </c>
      <c r="U92" s="11" t="str">
        <f t="shared" si="11"/>
        <v>1.지불 완료</v>
      </c>
      <c r="V92" s="13" t="s">
        <v>271</v>
      </c>
      <c r="W92" s="6" t="s">
        <v>483</v>
      </c>
    </row>
    <row r="93" spans="1:23" x14ac:dyDescent="0.3">
      <c r="A93" s="51">
        <v>26</v>
      </c>
      <c r="B93" s="40">
        <v>45488</v>
      </c>
      <c r="C93" s="6" t="s">
        <v>238</v>
      </c>
      <c r="D93" s="23" t="s">
        <v>210</v>
      </c>
      <c r="E93" s="23" t="s">
        <v>210</v>
      </c>
      <c r="F93" s="6"/>
      <c r="G93" s="6" t="s">
        <v>497</v>
      </c>
      <c r="H93" s="6">
        <v>50</v>
      </c>
      <c r="I93" s="40"/>
      <c r="J93" s="58"/>
      <c r="K93" s="44"/>
      <c r="L93" s="18"/>
      <c r="M93" s="55">
        <v>95000</v>
      </c>
      <c r="N93" s="15"/>
      <c r="O93" s="6"/>
      <c r="P93" s="6"/>
      <c r="Q93" s="8" t="s">
        <v>210</v>
      </c>
      <c r="R93" s="10" t="s">
        <v>365</v>
      </c>
      <c r="S93" s="13" t="s">
        <v>445</v>
      </c>
      <c r="T93" s="13" t="s">
        <v>454</v>
      </c>
      <c r="U93" s="11" t="str">
        <f t="shared" si="11"/>
        <v>1.지불 완료</v>
      </c>
      <c r="V93" s="13" t="s">
        <v>271</v>
      </c>
      <c r="W93" s="6" t="s">
        <v>483</v>
      </c>
    </row>
    <row r="94" spans="1:23" x14ac:dyDescent="0.3">
      <c r="A94" s="51">
        <v>25</v>
      </c>
      <c r="B94" s="40">
        <v>45488</v>
      </c>
      <c r="C94" s="6" t="s">
        <v>238</v>
      </c>
      <c r="D94" s="23" t="s">
        <v>210</v>
      </c>
      <c r="E94" s="23" t="s">
        <v>210</v>
      </c>
      <c r="F94" s="6"/>
      <c r="G94" s="6" t="s">
        <v>496</v>
      </c>
      <c r="H94" s="6">
        <v>1</v>
      </c>
      <c r="I94" s="40"/>
      <c r="J94" s="58"/>
      <c r="K94" s="44"/>
      <c r="L94" s="18"/>
      <c r="M94" s="55">
        <v>800000</v>
      </c>
      <c r="N94" s="15"/>
      <c r="O94" s="6"/>
      <c r="P94" s="6"/>
      <c r="Q94" s="8" t="s">
        <v>210</v>
      </c>
      <c r="R94" s="10" t="s">
        <v>365</v>
      </c>
      <c r="S94" s="13" t="s">
        <v>445</v>
      </c>
      <c r="T94" s="13" t="s">
        <v>454</v>
      </c>
      <c r="U94" s="11" t="str">
        <f t="shared" si="11"/>
        <v>1.지불 완료</v>
      </c>
      <c r="V94" s="13" t="s">
        <v>271</v>
      </c>
      <c r="W94" s="6" t="s">
        <v>483</v>
      </c>
    </row>
    <row r="95" spans="1:23" ht="33" x14ac:dyDescent="0.3">
      <c r="A95" s="51">
        <v>24</v>
      </c>
      <c r="B95" s="40">
        <v>45495</v>
      </c>
      <c r="C95" s="6" t="s">
        <v>96</v>
      </c>
      <c r="D95" s="23" t="s">
        <v>43</v>
      </c>
      <c r="E95" s="6" t="s">
        <v>97</v>
      </c>
      <c r="F95" s="6">
        <v>1</v>
      </c>
      <c r="G95" s="6" t="s">
        <v>98</v>
      </c>
      <c r="H95" s="6">
        <v>180</v>
      </c>
      <c r="I95" s="40">
        <f>B95+140</f>
        <v>45635</v>
      </c>
      <c r="J95" s="58" t="s">
        <v>47</v>
      </c>
      <c r="K95" s="44" t="s">
        <v>43</v>
      </c>
      <c r="L95" s="18">
        <v>4950</v>
      </c>
      <c r="M95" s="55">
        <v>6637950</v>
      </c>
      <c r="N95" s="15" t="s">
        <v>230</v>
      </c>
      <c r="O95" s="6" t="s">
        <v>63</v>
      </c>
      <c r="P95" s="6" t="s">
        <v>78</v>
      </c>
      <c r="Q95" s="6" t="s">
        <v>22</v>
      </c>
      <c r="R95" s="10" t="s">
        <v>77</v>
      </c>
      <c r="S95" s="11" t="s">
        <v>228</v>
      </c>
      <c r="T95" s="11" t="s">
        <v>99</v>
      </c>
      <c r="U95" s="11" t="str">
        <f t="shared" si="11"/>
        <v>1.지불 완료</v>
      </c>
      <c r="V95" s="13" t="s">
        <v>49</v>
      </c>
      <c r="W95" s="19" t="s">
        <v>229</v>
      </c>
    </row>
    <row r="96" spans="1:23" x14ac:dyDescent="0.3">
      <c r="A96" s="51">
        <v>23</v>
      </c>
      <c r="B96" s="40">
        <v>45477</v>
      </c>
      <c r="C96" s="6" t="s">
        <v>408</v>
      </c>
      <c r="D96" s="23" t="s">
        <v>210</v>
      </c>
      <c r="E96" s="6" t="s">
        <v>443</v>
      </c>
      <c r="F96" s="6">
        <v>1</v>
      </c>
      <c r="G96" s="6" t="s">
        <v>493</v>
      </c>
      <c r="H96" s="6">
        <v>1</v>
      </c>
      <c r="I96" s="40"/>
      <c r="J96" s="58"/>
      <c r="K96" s="44"/>
      <c r="L96" s="18"/>
      <c r="M96" s="55">
        <v>1626700</v>
      </c>
      <c r="N96" s="15"/>
      <c r="O96" s="6" t="s">
        <v>268</v>
      </c>
      <c r="P96" s="6" t="s">
        <v>180</v>
      </c>
      <c r="Q96" s="8" t="s">
        <v>210</v>
      </c>
      <c r="R96" s="10" t="s">
        <v>365</v>
      </c>
      <c r="S96" s="8" t="s">
        <v>445</v>
      </c>
      <c r="T96" s="8" t="s">
        <v>482</v>
      </c>
      <c r="U96" s="11" t="str">
        <f t="shared" si="11"/>
        <v>1.지불 완료</v>
      </c>
      <c r="V96" s="13" t="s">
        <v>271</v>
      </c>
      <c r="W96" s="19" t="s">
        <v>459</v>
      </c>
    </row>
    <row r="97" spans="1:23" x14ac:dyDescent="0.3">
      <c r="A97" s="51">
        <v>22</v>
      </c>
      <c r="B97" s="40">
        <v>45476</v>
      </c>
      <c r="C97" s="6" t="s">
        <v>491</v>
      </c>
      <c r="D97" s="23" t="s">
        <v>210</v>
      </c>
      <c r="E97" s="6" t="s">
        <v>479</v>
      </c>
      <c r="F97" s="6">
        <v>1</v>
      </c>
      <c r="G97" s="6" t="s">
        <v>492</v>
      </c>
      <c r="H97" s="6">
        <v>1</v>
      </c>
      <c r="I97" s="40"/>
      <c r="J97" s="58"/>
      <c r="K97" s="44"/>
      <c r="L97" s="18"/>
      <c r="M97" s="55">
        <v>1680000</v>
      </c>
      <c r="N97" s="15"/>
      <c r="O97" s="6" t="s">
        <v>268</v>
      </c>
      <c r="P97" s="6" t="s">
        <v>180</v>
      </c>
      <c r="Q97" s="8" t="s">
        <v>210</v>
      </c>
      <c r="R97" s="10" t="s">
        <v>365</v>
      </c>
      <c r="S97" s="13" t="s">
        <v>445</v>
      </c>
      <c r="T97" s="13" t="s">
        <v>454</v>
      </c>
      <c r="U97" s="11" t="str">
        <f t="shared" si="11"/>
        <v>1.지불 완료</v>
      </c>
      <c r="V97" s="13" t="s">
        <v>271</v>
      </c>
      <c r="W97" s="19" t="s">
        <v>459</v>
      </c>
    </row>
    <row r="98" spans="1:23" x14ac:dyDescent="0.3">
      <c r="A98" s="51">
        <v>21</v>
      </c>
      <c r="B98" s="40">
        <v>45475</v>
      </c>
      <c r="C98" s="6" t="s">
        <v>487</v>
      </c>
      <c r="D98" s="23" t="s">
        <v>210</v>
      </c>
      <c r="E98" s="6" t="s">
        <v>443</v>
      </c>
      <c r="F98" s="6">
        <v>1</v>
      </c>
      <c r="G98" s="6" t="s">
        <v>490</v>
      </c>
      <c r="H98" s="6">
        <v>1</v>
      </c>
      <c r="I98" s="40"/>
      <c r="J98" s="58"/>
      <c r="K98" s="44"/>
      <c r="L98" s="18"/>
      <c r="M98" s="55">
        <v>124980</v>
      </c>
      <c r="N98" s="15"/>
      <c r="O98" s="6" t="s">
        <v>268</v>
      </c>
      <c r="P98" s="6" t="s">
        <v>269</v>
      </c>
      <c r="Q98" s="8" t="s">
        <v>210</v>
      </c>
      <c r="R98" s="10" t="s">
        <v>365</v>
      </c>
      <c r="S98" s="13" t="s">
        <v>445</v>
      </c>
      <c r="T98" s="13" t="s">
        <v>454</v>
      </c>
      <c r="U98" s="11" t="str">
        <f t="shared" si="11"/>
        <v>1.지불 완료</v>
      </c>
      <c r="V98" s="13" t="s">
        <v>271</v>
      </c>
      <c r="W98" s="19" t="s">
        <v>459</v>
      </c>
    </row>
    <row r="99" spans="1:23" x14ac:dyDescent="0.3">
      <c r="A99" s="51">
        <v>20</v>
      </c>
      <c r="B99" s="40">
        <v>45475</v>
      </c>
      <c r="C99" s="6" t="s">
        <v>487</v>
      </c>
      <c r="D99" s="23" t="s">
        <v>210</v>
      </c>
      <c r="E99" s="6" t="s">
        <v>443</v>
      </c>
      <c r="F99" s="6">
        <v>1</v>
      </c>
      <c r="G99" s="6" t="s">
        <v>489</v>
      </c>
      <c r="H99" s="6">
        <v>1</v>
      </c>
      <c r="I99" s="40"/>
      <c r="J99" s="58"/>
      <c r="K99" s="44"/>
      <c r="L99" s="18">
        <v>150</v>
      </c>
      <c r="M99" s="55">
        <v>205815</v>
      </c>
      <c r="N99" s="15"/>
      <c r="O99" s="6" t="s">
        <v>268</v>
      </c>
      <c r="P99" s="6" t="s">
        <v>269</v>
      </c>
      <c r="Q99" s="8" t="s">
        <v>210</v>
      </c>
      <c r="R99" s="10" t="s">
        <v>365</v>
      </c>
      <c r="S99" s="13" t="s">
        <v>445</v>
      </c>
      <c r="T99" s="13" t="s">
        <v>454</v>
      </c>
      <c r="U99" s="11" t="str">
        <f t="shared" si="11"/>
        <v>1.지불 완료</v>
      </c>
      <c r="V99" s="13" t="s">
        <v>271</v>
      </c>
      <c r="W99" s="19" t="s">
        <v>459</v>
      </c>
    </row>
    <row r="100" spans="1:23" x14ac:dyDescent="0.3">
      <c r="A100" s="51">
        <v>19</v>
      </c>
      <c r="B100" s="40">
        <v>45475</v>
      </c>
      <c r="C100" s="6" t="s">
        <v>487</v>
      </c>
      <c r="D100" s="23" t="s">
        <v>210</v>
      </c>
      <c r="E100" s="6" t="s">
        <v>478</v>
      </c>
      <c r="F100" s="6">
        <v>1</v>
      </c>
      <c r="G100" s="6" t="s">
        <v>488</v>
      </c>
      <c r="H100" s="6">
        <v>140</v>
      </c>
      <c r="I100" s="40"/>
      <c r="J100" s="58"/>
      <c r="K100" s="44"/>
      <c r="L100" s="18">
        <v>686</v>
      </c>
      <c r="M100" s="55">
        <v>941260.6</v>
      </c>
      <c r="N100" s="15"/>
      <c r="O100" s="6" t="s">
        <v>268</v>
      </c>
      <c r="P100" s="6" t="s">
        <v>269</v>
      </c>
      <c r="Q100" s="8" t="s">
        <v>210</v>
      </c>
      <c r="R100" s="10" t="s">
        <v>365</v>
      </c>
      <c r="S100" s="13" t="s">
        <v>445</v>
      </c>
      <c r="T100" s="13" t="s">
        <v>454</v>
      </c>
      <c r="U100" s="11" t="str">
        <f t="shared" si="11"/>
        <v>1.지불 완료</v>
      </c>
      <c r="V100" s="13" t="s">
        <v>271</v>
      </c>
      <c r="W100" s="19" t="s">
        <v>459</v>
      </c>
    </row>
    <row r="101" spans="1:23" x14ac:dyDescent="0.3">
      <c r="A101" s="51">
        <v>18</v>
      </c>
      <c r="B101" s="40">
        <v>45474</v>
      </c>
      <c r="C101" s="6" t="s">
        <v>484</v>
      </c>
      <c r="D101" s="23" t="s">
        <v>210</v>
      </c>
      <c r="E101" s="6" t="s">
        <v>485</v>
      </c>
      <c r="F101" s="6">
        <v>1</v>
      </c>
      <c r="G101" s="6" t="s">
        <v>486</v>
      </c>
      <c r="H101" s="6">
        <v>70</v>
      </c>
      <c r="I101" s="40"/>
      <c r="J101" s="58"/>
      <c r="K101" s="44"/>
      <c r="L101" s="18"/>
      <c r="M101" s="55">
        <v>420000</v>
      </c>
      <c r="N101" s="15"/>
      <c r="O101" s="6" t="s">
        <v>268</v>
      </c>
      <c r="P101" s="6" t="s">
        <v>180</v>
      </c>
      <c r="Q101" s="8" t="s">
        <v>210</v>
      </c>
      <c r="R101" s="10" t="s">
        <v>365</v>
      </c>
      <c r="S101" s="13" t="s">
        <v>445</v>
      </c>
      <c r="T101" s="13" t="s">
        <v>481</v>
      </c>
      <c r="U101" s="11" t="str">
        <f t="shared" si="11"/>
        <v>1.지불 완료</v>
      </c>
      <c r="V101" s="13" t="s">
        <v>271</v>
      </c>
      <c r="W101" s="19" t="s">
        <v>459</v>
      </c>
    </row>
    <row r="102" spans="1:23" x14ac:dyDescent="0.3">
      <c r="A102" s="51">
        <v>17</v>
      </c>
      <c r="B102" s="40">
        <v>45458</v>
      </c>
      <c r="C102" s="6" t="s">
        <v>305</v>
      </c>
      <c r="D102" s="23" t="s">
        <v>210</v>
      </c>
      <c r="E102" s="6" t="s">
        <v>376</v>
      </c>
      <c r="F102" s="6">
        <v>1</v>
      </c>
      <c r="G102" s="6" t="s">
        <v>377</v>
      </c>
      <c r="H102" s="6">
        <v>1</v>
      </c>
      <c r="I102" s="40"/>
      <c r="J102" s="58"/>
      <c r="K102" s="39">
        <v>45681</v>
      </c>
      <c r="L102" s="18"/>
      <c r="M102" s="55">
        <v>24000000</v>
      </c>
      <c r="N102" s="15" t="s">
        <v>378</v>
      </c>
      <c r="O102" s="6" t="s">
        <v>268</v>
      </c>
      <c r="P102" s="6" t="s">
        <v>187</v>
      </c>
      <c r="Q102" s="6" t="s">
        <v>368</v>
      </c>
      <c r="R102" s="10" t="s">
        <v>365</v>
      </c>
      <c r="S102" s="6" t="s">
        <v>393</v>
      </c>
      <c r="T102" s="6" t="s">
        <v>415</v>
      </c>
      <c r="U102" s="11" t="str">
        <f t="shared" si="11"/>
        <v>1.지불 완료</v>
      </c>
      <c r="V102" s="13" t="s">
        <v>271</v>
      </c>
      <c r="W102" s="19" t="s">
        <v>375</v>
      </c>
    </row>
    <row r="103" spans="1:23" x14ac:dyDescent="0.3">
      <c r="A103" s="51">
        <v>16</v>
      </c>
      <c r="B103" s="40">
        <v>45458</v>
      </c>
      <c r="C103" s="6" t="s">
        <v>121</v>
      </c>
      <c r="D103" s="23" t="s">
        <v>43</v>
      </c>
      <c r="E103" s="6" t="s">
        <v>119</v>
      </c>
      <c r="F103" s="6">
        <v>1</v>
      </c>
      <c r="G103" s="6" t="s">
        <v>120</v>
      </c>
      <c r="H103" s="6">
        <v>1</v>
      </c>
      <c r="I103" s="40"/>
      <c r="J103" s="58"/>
      <c r="K103" s="40">
        <v>45622</v>
      </c>
      <c r="L103" s="9"/>
      <c r="M103" s="55">
        <v>24000000</v>
      </c>
      <c r="N103" s="6" t="s">
        <v>379</v>
      </c>
      <c r="O103" s="6" t="s">
        <v>63</v>
      </c>
      <c r="P103" s="6" t="s">
        <v>78</v>
      </c>
      <c r="Q103" s="6" t="s">
        <v>22</v>
      </c>
      <c r="R103" s="10" t="s">
        <v>77</v>
      </c>
      <c r="S103" s="6" t="s">
        <v>172</v>
      </c>
      <c r="T103" s="6" t="s">
        <v>122</v>
      </c>
      <c r="U103" s="11" t="str">
        <f t="shared" si="11"/>
        <v>1.지불 완료</v>
      </c>
      <c r="V103" s="8" t="s">
        <v>49</v>
      </c>
      <c r="W103" s="6" t="s">
        <v>204</v>
      </c>
    </row>
    <row r="104" spans="1:23" x14ac:dyDescent="0.3">
      <c r="A104" s="51">
        <v>15</v>
      </c>
      <c r="B104" s="40">
        <v>45458</v>
      </c>
      <c r="C104" s="6" t="s">
        <v>121</v>
      </c>
      <c r="D104" s="23" t="s">
        <v>43</v>
      </c>
      <c r="E104" s="6" t="s">
        <v>119</v>
      </c>
      <c r="F104" s="6">
        <v>1</v>
      </c>
      <c r="G104" s="6" t="s">
        <v>120</v>
      </c>
      <c r="H104" s="6">
        <v>1</v>
      </c>
      <c r="I104" s="40"/>
      <c r="J104" s="58"/>
      <c r="K104" s="40">
        <v>45458</v>
      </c>
      <c r="L104" s="9"/>
      <c r="M104" s="55">
        <v>32000000</v>
      </c>
      <c r="N104" s="27" t="s">
        <v>372</v>
      </c>
      <c r="O104" s="6" t="s">
        <v>63</v>
      </c>
      <c r="P104" s="6" t="s">
        <v>78</v>
      </c>
      <c r="Q104" s="6" t="s">
        <v>22</v>
      </c>
      <c r="R104" s="10" t="s">
        <v>77</v>
      </c>
      <c r="S104" s="28" t="s">
        <v>373</v>
      </c>
      <c r="T104" s="28" t="s">
        <v>374</v>
      </c>
      <c r="U104" s="11" t="str">
        <f t="shared" si="11"/>
        <v>1.지불 완료</v>
      </c>
      <c r="V104" s="8" t="s">
        <v>49</v>
      </c>
      <c r="W104" s="6" t="s">
        <v>204</v>
      </c>
    </row>
    <row r="105" spans="1:23" x14ac:dyDescent="0.3">
      <c r="A105" s="51">
        <v>14</v>
      </c>
      <c r="B105" s="40">
        <v>45453</v>
      </c>
      <c r="C105" s="6" t="s">
        <v>408</v>
      </c>
      <c r="D105" s="23" t="s">
        <v>210</v>
      </c>
      <c r="E105" s="6" t="s">
        <v>443</v>
      </c>
      <c r="F105" s="6">
        <v>1</v>
      </c>
      <c r="G105" s="6" t="s">
        <v>477</v>
      </c>
      <c r="H105" s="6">
        <v>1</v>
      </c>
      <c r="I105" s="40"/>
      <c r="J105" s="58"/>
      <c r="K105" s="40">
        <v>45462</v>
      </c>
      <c r="L105" s="9"/>
      <c r="M105" s="55">
        <v>2409000</v>
      </c>
      <c r="N105" s="27"/>
      <c r="O105" s="6" t="s">
        <v>268</v>
      </c>
      <c r="P105" s="6" t="s">
        <v>180</v>
      </c>
      <c r="Q105" s="8" t="s">
        <v>210</v>
      </c>
      <c r="R105" s="10" t="s">
        <v>365</v>
      </c>
      <c r="S105" s="28" t="s">
        <v>445</v>
      </c>
      <c r="T105" s="28" t="s">
        <v>453</v>
      </c>
      <c r="U105" s="11" t="str">
        <f t="shared" si="11"/>
        <v>1.지불 완료</v>
      </c>
      <c r="V105" s="8" t="s">
        <v>271</v>
      </c>
      <c r="W105" s="6" t="s">
        <v>459</v>
      </c>
    </row>
    <row r="106" spans="1:23" x14ac:dyDescent="0.3">
      <c r="A106" s="51">
        <v>13</v>
      </c>
      <c r="B106" s="40">
        <v>45453</v>
      </c>
      <c r="C106" s="6" t="s">
        <v>472</v>
      </c>
      <c r="D106" s="23" t="s">
        <v>210</v>
      </c>
      <c r="E106" s="6" t="s">
        <v>473</v>
      </c>
      <c r="F106" s="6">
        <v>1</v>
      </c>
      <c r="G106" s="6" t="s">
        <v>474</v>
      </c>
      <c r="H106" s="6">
        <v>1</v>
      </c>
      <c r="I106" s="40"/>
      <c r="J106" s="58" t="s">
        <v>475</v>
      </c>
      <c r="K106" s="40"/>
      <c r="L106" s="18">
        <v>24200</v>
      </c>
      <c r="M106" s="55">
        <v>30474085.465999998</v>
      </c>
      <c r="N106" s="27" t="s">
        <v>476</v>
      </c>
      <c r="O106" s="6" t="s">
        <v>268</v>
      </c>
      <c r="P106" s="6" t="s">
        <v>169</v>
      </c>
      <c r="Q106" s="8" t="s">
        <v>210</v>
      </c>
      <c r="R106" s="10" t="s">
        <v>365</v>
      </c>
      <c r="S106" s="28" t="s">
        <v>445</v>
      </c>
      <c r="T106" s="28" t="s">
        <v>454</v>
      </c>
      <c r="U106" s="11" t="str">
        <f t="shared" si="11"/>
        <v>1.지불 완료</v>
      </c>
      <c r="V106" s="8" t="s">
        <v>271</v>
      </c>
      <c r="W106" s="6" t="s">
        <v>459</v>
      </c>
    </row>
    <row r="107" spans="1:23" x14ac:dyDescent="0.3">
      <c r="A107" s="51">
        <v>12</v>
      </c>
      <c r="B107" s="40">
        <v>45435</v>
      </c>
      <c r="C107" s="6" t="s">
        <v>11</v>
      </c>
      <c r="D107" s="23" t="s">
        <v>210</v>
      </c>
      <c r="E107" s="6" t="s">
        <v>442</v>
      </c>
      <c r="F107" s="6">
        <v>1</v>
      </c>
      <c r="G107" s="6" t="s">
        <v>471</v>
      </c>
      <c r="H107" s="6">
        <v>1</v>
      </c>
      <c r="I107" s="40"/>
      <c r="J107" s="58"/>
      <c r="K107" s="40">
        <v>45462</v>
      </c>
      <c r="L107" s="9"/>
      <c r="M107" s="55">
        <v>4349310</v>
      </c>
      <c r="N107" s="27" t="s">
        <v>457</v>
      </c>
      <c r="O107" s="6" t="s">
        <v>268</v>
      </c>
      <c r="P107" s="6" t="s">
        <v>187</v>
      </c>
      <c r="Q107" s="8" t="s">
        <v>210</v>
      </c>
      <c r="R107" s="10" t="s">
        <v>365</v>
      </c>
      <c r="S107" s="28" t="s">
        <v>445</v>
      </c>
      <c r="T107" s="28" t="s">
        <v>453</v>
      </c>
      <c r="U107" s="11" t="str">
        <f t="shared" si="11"/>
        <v>1.지불 완료</v>
      </c>
      <c r="V107" s="8" t="s">
        <v>271</v>
      </c>
      <c r="W107" s="6" t="s">
        <v>459</v>
      </c>
    </row>
    <row r="108" spans="1:23" x14ac:dyDescent="0.3">
      <c r="A108" s="51">
        <v>11</v>
      </c>
      <c r="B108" s="40">
        <v>45435</v>
      </c>
      <c r="C108" s="6" t="s">
        <v>11</v>
      </c>
      <c r="D108" s="23" t="s">
        <v>210</v>
      </c>
      <c r="E108" s="6" t="s">
        <v>442</v>
      </c>
      <c r="F108" s="6">
        <v>1</v>
      </c>
      <c r="G108" s="6" t="s">
        <v>470</v>
      </c>
      <c r="H108" s="6">
        <v>1</v>
      </c>
      <c r="I108" s="40"/>
      <c r="J108" s="58"/>
      <c r="K108" s="40">
        <v>45436</v>
      </c>
      <c r="L108" s="9"/>
      <c r="M108" s="55">
        <v>1863990</v>
      </c>
      <c r="N108" s="27" t="s">
        <v>457</v>
      </c>
      <c r="O108" s="6" t="s">
        <v>268</v>
      </c>
      <c r="P108" s="6" t="s">
        <v>187</v>
      </c>
      <c r="Q108" s="8" t="s">
        <v>210</v>
      </c>
      <c r="R108" s="10" t="s">
        <v>365</v>
      </c>
      <c r="S108" s="28" t="s">
        <v>445</v>
      </c>
      <c r="T108" s="28" t="s">
        <v>446</v>
      </c>
      <c r="U108" s="11" t="str">
        <f t="shared" si="11"/>
        <v>1.지불 완료</v>
      </c>
      <c r="V108" s="8" t="s">
        <v>271</v>
      </c>
      <c r="W108" s="6" t="s">
        <v>459</v>
      </c>
    </row>
    <row r="109" spans="1:23" x14ac:dyDescent="0.3">
      <c r="A109" s="51">
        <v>10</v>
      </c>
      <c r="B109" s="40">
        <v>45435</v>
      </c>
      <c r="C109" s="6" t="s">
        <v>247</v>
      </c>
      <c r="D109" s="23" t="s">
        <v>210</v>
      </c>
      <c r="E109" s="6" t="s">
        <v>441</v>
      </c>
      <c r="F109" s="6">
        <v>1</v>
      </c>
      <c r="G109" s="6" t="s">
        <v>469</v>
      </c>
      <c r="H109" s="6">
        <v>1</v>
      </c>
      <c r="I109" s="40"/>
      <c r="J109" s="58"/>
      <c r="K109" s="40">
        <v>45497</v>
      </c>
      <c r="L109" s="9"/>
      <c r="M109" s="55">
        <v>26496461</v>
      </c>
      <c r="N109" s="27" t="s">
        <v>457</v>
      </c>
      <c r="O109" s="6" t="s">
        <v>268</v>
      </c>
      <c r="P109" s="6" t="s">
        <v>187</v>
      </c>
      <c r="Q109" s="8" t="s">
        <v>210</v>
      </c>
      <c r="R109" s="10" t="s">
        <v>365</v>
      </c>
      <c r="S109" s="28" t="s">
        <v>445</v>
      </c>
      <c r="T109" s="28" t="s">
        <v>452</v>
      </c>
      <c r="U109" s="11" t="str">
        <f t="shared" si="11"/>
        <v>1.지불 완료</v>
      </c>
      <c r="V109" s="8" t="s">
        <v>271</v>
      </c>
      <c r="W109" s="6" t="s">
        <v>459</v>
      </c>
    </row>
    <row r="110" spans="1:23" x14ac:dyDescent="0.3">
      <c r="A110" s="51">
        <v>9</v>
      </c>
      <c r="B110" s="40">
        <v>45435</v>
      </c>
      <c r="C110" s="6" t="s">
        <v>247</v>
      </c>
      <c r="D110" s="23" t="s">
        <v>210</v>
      </c>
      <c r="E110" s="6" t="s">
        <v>441</v>
      </c>
      <c r="F110" s="6">
        <v>1</v>
      </c>
      <c r="G110" s="6" t="s">
        <v>468</v>
      </c>
      <c r="H110" s="6">
        <v>1</v>
      </c>
      <c r="I110" s="40"/>
      <c r="J110" s="58"/>
      <c r="K110" s="40">
        <v>45440</v>
      </c>
      <c r="L110" s="9"/>
      <c r="M110" s="55">
        <v>16197119</v>
      </c>
      <c r="N110" s="27" t="s">
        <v>457</v>
      </c>
      <c r="O110" s="6" t="s">
        <v>268</v>
      </c>
      <c r="P110" s="6" t="s">
        <v>187</v>
      </c>
      <c r="Q110" s="8" t="s">
        <v>210</v>
      </c>
      <c r="R110" s="10" t="s">
        <v>365</v>
      </c>
      <c r="S110" s="28" t="s">
        <v>445</v>
      </c>
      <c r="T110" s="28" t="s">
        <v>451</v>
      </c>
      <c r="U110" s="11" t="str">
        <f t="shared" si="11"/>
        <v>1.지불 완료</v>
      </c>
      <c r="V110" s="8" t="s">
        <v>271</v>
      </c>
      <c r="W110" s="6" t="s">
        <v>459</v>
      </c>
    </row>
    <row r="111" spans="1:23" x14ac:dyDescent="0.3">
      <c r="A111" s="51">
        <v>8</v>
      </c>
      <c r="B111" s="40">
        <v>45432</v>
      </c>
      <c r="C111" s="6" t="s">
        <v>466</v>
      </c>
      <c r="D111" s="23" t="s">
        <v>210</v>
      </c>
      <c r="E111" s="6" t="s">
        <v>440</v>
      </c>
      <c r="F111" s="6">
        <v>1</v>
      </c>
      <c r="G111" s="6" t="s">
        <v>467</v>
      </c>
      <c r="H111" s="6">
        <v>50</v>
      </c>
      <c r="I111" s="40"/>
      <c r="J111" s="58"/>
      <c r="K111" s="40"/>
      <c r="L111" s="9"/>
      <c r="M111" s="55">
        <v>2275000</v>
      </c>
      <c r="N111" s="27"/>
      <c r="O111" s="6" t="s">
        <v>268</v>
      </c>
      <c r="P111" s="6" t="s">
        <v>458</v>
      </c>
      <c r="Q111" s="8" t="s">
        <v>210</v>
      </c>
      <c r="R111" s="10" t="s">
        <v>365</v>
      </c>
      <c r="S111" s="28" t="s">
        <v>445</v>
      </c>
      <c r="T111" s="28" t="s">
        <v>451</v>
      </c>
      <c r="U111" s="11" t="str">
        <f t="shared" si="11"/>
        <v>1.지불 완료</v>
      </c>
      <c r="V111" s="8" t="s">
        <v>271</v>
      </c>
      <c r="W111" s="6" t="s">
        <v>459</v>
      </c>
    </row>
    <row r="112" spans="1:23" x14ac:dyDescent="0.3">
      <c r="A112" s="51">
        <v>7</v>
      </c>
      <c r="B112" s="40">
        <v>45415</v>
      </c>
      <c r="C112" s="6" t="s">
        <v>248</v>
      </c>
      <c r="D112" s="23" t="s">
        <v>210</v>
      </c>
      <c r="E112" s="6" t="s">
        <v>439</v>
      </c>
      <c r="F112" s="6">
        <v>1</v>
      </c>
      <c r="G112" s="6" t="s">
        <v>465</v>
      </c>
      <c r="H112" s="6">
        <v>1</v>
      </c>
      <c r="I112" s="40"/>
      <c r="J112" s="58"/>
      <c r="K112" s="40">
        <v>45456</v>
      </c>
      <c r="L112" s="9"/>
      <c r="M112" s="55">
        <v>4928000</v>
      </c>
      <c r="N112" s="27" t="s">
        <v>457</v>
      </c>
      <c r="O112" s="6" t="s">
        <v>268</v>
      </c>
      <c r="P112" s="6" t="s">
        <v>458</v>
      </c>
      <c r="Q112" s="8" t="s">
        <v>210</v>
      </c>
      <c r="R112" s="10" t="s">
        <v>365</v>
      </c>
      <c r="S112" s="28" t="s">
        <v>445</v>
      </c>
      <c r="T112" s="28" t="s">
        <v>450</v>
      </c>
      <c r="U112" s="11" t="str">
        <f t="shared" si="11"/>
        <v>1.지불 완료</v>
      </c>
      <c r="V112" s="8" t="s">
        <v>271</v>
      </c>
      <c r="W112" s="6" t="s">
        <v>459</v>
      </c>
    </row>
    <row r="113" spans="1:23" x14ac:dyDescent="0.3">
      <c r="A113" s="51">
        <v>6</v>
      </c>
      <c r="B113" s="40">
        <v>45415</v>
      </c>
      <c r="C113" s="6" t="s">
        <v>248</v>
      </c>
      <c r="D113" s="23" t="s">
        <v>210</v>
      </c>
      <c r="E113" s="6" t="s">
        <v>439</v>
      </c>
      <c r="F113" s="6">
        <v>1</v>
      </c>
      <c r="G113" s="6" t="s">
        <v>464</v>
      </c>
      <c r="H113" s="6">
        <v>1</v>
      </c>
      <c r="I113" s="40"/>
      <c r="J113" s="58"/>
      <c r="K113" s="40">
        <v>45431</v>
      </c>
      <c r="L113" s="9"/>
      <c r="M113" s="55">
        <v>2112000</v>
      </c>
      <c r="N113" s="27" t="s">
        <v>457</v>
      </c>
      <c r="O113" s="6" t="s">
        <v>268</v>
      </c>
      <c r="P113" s="6" t="s">
        <v>458</v>
      </c>
      <c r="Q113" s="8" t="s">
        <v>210</v>
      </c>
      <c r="R113" s="10" t="s">
        <v>365</v>
      </c>
      <c r="S113" s="28" t="s">
        <v>445</v>
      </c>
      <c r="T113" s="28" t="s">
        <v>449</v>
      </c>
      <c r="U113" s="11" t="str">
        <f t="shared" si="11"/>
        <v>1.지불 완료</v>
      </c>
      <c r="V113" s="8" t="s">
        <v>271</v>
      </c>
      <c r="W113" s="6" t="s">
        <v>459</v>
      </c>
    </row>
    <row r="114" spans="1:23" x14ac:dyDescent="0.3">
      <c r="A114" s="51">
        <v>5</v>
      </c>
      <c r="B114" s="40">
        <v>45414</v>
      </c>
      <c r="C114" s="6" t="s">
        <v>461</v>
      </c>
      <c r="D114" s="23" t="s">
        <v>210</v>
      </c>
      <c r="E114" s="6" t="s">
        <v>438</v>
      </c>
      <c r="F114" s="6">
        <v>1</v>
      </c>
      <c r="G114" s="6" t="s">
        <v>463</v>
      </c>
      <c r="H114" s="6">
        <v>1</v>
      </c>
      <c r="I114" s="40"/>
      <c r="J114" s="58"/>
      <c r="K114" s="40">
        <v>45505</v>
      </c>
      <c r="L114" s="9"/>
      <c r="M114" s="55">
        <v>43820000</v>
      </c>
      <c r="N114" s="27" t="s">
        <v>457</v>
      </c>
      <c r="O114" s="6" t="s">
        <v>268</v>
      </c>
      <c r="P114" s="6" t="s">
        <v>458</v>
      </c>
      <c r="Q114" s="8" t="s">
        <v>210</v>
      </c>
      <c r="R114" s="10" t="s">
        <v>365</v>
      </c>
      <c r="S114" s="28" t="s">
        <v>445</v>
      </c>
      <c r="T114" s="28" t="s">
        <v>448</v>
      </c>
      <c r="U114" s="11" t="str">
        <f t="shared" si="11"/>
        <v>1.지불 완료</v>
      </c>
      <c r="V114" s="8" t="s">
        <v>271</v>
      </c>
      <c r="W114" s="6" t="s">
        <v>459</v>
      </c>
    </row>
    <row r="115" spans="1:23" x14ac:dyDescent="0.3">
      <c r="A115" s="51">
        <v>4</v>
      </c>
      <c r="B115" s="40">
        <v>45414</v>
      </c>
      <c r="C115" s="6" t="s">
        <v>461</v>
      </c>
      <c r="D115" s="23" t="s">
        <v>210</v>
      </c>
      <c r="E115" s="6" t="s">
        <v>438</v>
      </c>
      <c r="F115" s="6">
        <v>1</v>
      </c>
      <c r="G115" s="6" t="s">
        <v>462</v>
      </c>
      <c r="H115" s="6">
        <v>1</v>
      </c>
      <c r="I115" s="40"/>
      <c r="J115" s="58"/>
      <c r="K115" s="40">
        <v>45429</v>
      </c>
      <c r="L115" s="9"/>
      <c r="M115" s="55">
        <v>18780000</v>
      </c>
      <c r="N115" s="27" t="s">
        <v>457</v>
      </c>
      <c r="O115" s="6" t="s">
        <v>268</v>
      </c>
      <c r="P115" s="6" t="s">
        <v>458</v>
      </c>
      <c r="Q115" s="8" t="s">
        <v>210</v>
      </c>
      <c r="R115" s="10" t="s">
        <v>365</v>
      </c>
      <c r="S115" s="28" t="s">
        <v>445</v>
      </c>
      <c r="T115" s="28" t="s">
        <v>447</v>
      </c>
      <c r="U115" s="11" t="str">
        <f t="shared" si="11"/>
        <v>1.지불 완료</v>
      </c>
      <c r="V115" s="8" t="s">
        <v>271</v>
      </c>
      <c r="W115" s="6" t="s">
        <v>459</v>
      </c>
    </row>
    <row r="116" spans="1:23" x14ac:dyDescent="0.3">
      <c r="A116" s="51">
        <v>3</v>
      </c>
      <c r="B116" s="40">
        <v>45413</v>
      </c>
      <c r="C116" s="6" t="s">
        <v>65</v>
      </c>
      <c r="D116" s="23" t="s">
        <v>210</v>
      </c>
      <c r="E116" s="6" t="s">
        <v>455</v>
      </c>
      <c r="F116" s="6">
        <v>1</v>
      </c>
      <c r="G116" s="6" t="s">
        <v>460</v>
      </c>
      <c r="H116" s="6">
        <v>1</v>
      </c>
      <c r="I116" s="40"/>
      <c r="J116" s="58"/>
      <c r="K116" s="40">
        <v>45436</v>
      </c>
      <c r="L116" s="9"/>
      <c r="M116" s="55">
        <v>16039357.272727273</v>
      </c>
      <c r="N116" s="27" t="s">
        <v>457</v>
      </c>
      <c r="O116" s="6" t="s">
        <v>268</v>
      </c>
      <c r="P116" s="6" t="s">
        <v>458</v>
      </c>
      <c r="Q116" s="8" t="s">
        <v>210</v>
      </c>
      <c r="R116" s="10" t="s">
        <v>365</v>
      </c>
      <c r="S116" s="28" t="s">
        <v>445</v>
      </c>
      <c r="T116" s="28" t="s">
        <v>446</v>
      </c>
      <c r="U116" s="11" t="str">
        <f t="shared" si="11"/>
        <v>1.지불 완료</v>
      </c>
      <c r="V116" s="8" t="s">
        <v>271</v>
      </c>
      <c r="W116" s="6" t="s">
        <v>459</v>
      </c>
    </row>
    <row r="117" spans="1:23" x14ac:dyDescent="0.3">
      <c r="A117" s="51">
        <v>2</v>
      </c>
      <c r="B117" s="40">
        <v>45413</v>
      </c>
      <c r="C117" s="6" t="s">
        <v>65</v>
      </c>
      <c r="D117" s="23" t="s">
        <v>210</v>
      </c>
      <c r="E117" s="6" t="s">
        <v>455</v>
      </c>
      <c r="F117" s="6">
        <v>1</v>
      </c>
      <c r="G117" s="6" t="s">
        <v>456</v>
      </c>
      <c r="H117" s="6">
        <v>1</v>
      </c>
      <c r="I117" s="40"/>
      <c r="J117" s="58"/>
      <c r="K117" s="40">
        <v>45428</v>
      </c>
      <c r="L117" s="9"/>
      <c r="M117" s="55">
        <v>6874012.7272727266</v>
      </c>
      <c r="N117" s="27" t="s">
        <v>457</v>
      </c>
      <c r="O117" s="6" t="s">
        <v>268</v>
      </c>
      <c r="P117" s="6" t="s">
        <v>458</v>
      </c>
      <c r="Q117" s="8" t="s">
        <v>210</v>
      </c>
      <c r="R117" s="10" t="s">
        <v>365</v>
      </c>
      <c r="S117" s="28" t="s">
        <v>445</v>
      </c>
      <c r="T117" s="28" t="s">
        <v>444</v>
      </c>
      <c r="U117" s="11" t="str">
        <f t="shared" si="11"/>
        <v>1.지불 완료</v>
      </c>
      <c r="V117" s="8" t="s">
        <v>271</v>
      </c>
      <c r="W117" s="6" t="s">
        <v>459</v>
      </c>
    </row>
    <row r="118" spans="1:23" x14ac:dyDescent="0.3">
      <c r="A118" s="51">
        <v>1</v>
      </c>
      <c r="B118" s="40">
        <v>45392</v>
      </c>
      <c r="C118" s="6" t="s">
        <v>148</v>
      </c>
      <c r="D118" s="24"/>
      <c r="E118" s="6" t="s">
        <v>147</v>
      </c>
      <c r="F118" s="6">
        <v>1</v>
      </c>
      <c r="G118" s="6" t="s">
        <v>157</v>
      </c>
      <c r="H118" s="7">
        <v>1</v>
      </c>
      <c r="I118" s="40">
        <v>45657</v>
      </c>
      <c r="J118" s="58"/>
      <c r="K118" s="40">
        <v>45644</v>
      </c>
      <c r="L118" s="9"/>
      <c r="M118" s="55">
        <v>5000000</v>
      </c>
      <c r="N118" s="6" t="s">
        <v>149</v>
      </c>
      <c r="O118" s="6" t="s">
        <v>63</v>
      </c>
      <c r="P118" s="6" t="s">
        <v>150</v>
      </c>
      <c r="Q118" s="6" t="s">
        <v>22</v>
      </c>
      <c r="R118" s="6" t="s">
        <v>160</v>
      </c>
      <c r="S118" s="8" t="s">
        <v>327</v>
      </c>
      <c r="T118" s="6" t="s">
        <v>286</v>
      </c>
      <c r="U118" s="11" t="str">
        <f t="shared" si="11"/>
        <v>1.지불 완료</v>
      </c>
      <c r="V118" s="8" t="s">
        <v>217</v>
      </c>
      <c r="W118" s="6" t="s">
        <v>151</v>
      </c>
    </row>
  </sheetData>
  <autoFilter ref="A2:Z118" xr:uid="{E8B29AE8-3ABB-4472-8BB0-DFDEC1FBF892}"/>
  <phoneticPr fontId="1" type="noConversion"/>
  <conditionalFormatting sqref="C10">
    <cfRule type="expression" dxfId="4" priority="1">
      <formula>$L10="선금지급"</formula>
    </cfRule>
    <cfRule type="expression" dxfId="3" priority="2">
      <formula>$L10="결제완료"</formula>
    </cfRule>
    <cfRule type="expression" dxfId="2" priority="3">
      <formula>$L10="입고완료"</formula>
    </cfRule>
    <cfRule type="expression" dxfId="1" priority="4">
      <formula>$L10="발주완료"</formula>
    </cfRule>
    <cfRule type="expression" dxfId="0" priority="5">
      <formula>$L10="발주취소"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업체별 종합</vt:lpstr>
      <vt:lpstr>계약별 상세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S.S. Choi</dc:creator>
  <cp:lastModifiedBy>성필 최</cp:lastModifiedBy>
  <dcterms:created xsi:type="dcterms:W3CDTF">2024-11-01T02:22:49Z</dcterms:created>
  <dcterms:modified xsi:type="dcterms:W3CDTF">2025-03-18T07:53:48Z</dcterms:modified>
</cp:coreProperties>
</file>
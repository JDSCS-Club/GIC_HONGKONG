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3_매입현황\"/>
    </mc:Choice>
  </mc:AlternateContent>
  <xr:revisionPtr revIDLastSave="0" documentId="13_ncr:1_{560C8EAF-2F13-457C-AD41-02A38E3413BD}" xr6:coauthVersionLast="47" xr6:coauthVersionMax="47" xr10:uidLastSave="{00000000-0000-0000-0000-000000000000}"/>
  <bookViews>
    <workbookView xWindow="-120" yWindow="-120" windowWidth="29040" windowHeight="17520" activeTab="2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상세'!$A$2:$Z$132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3" l="1"/>
  <c r="U4" i="3"/>
  <c r="U5" i="3"/>
  <c r="U10" i="3" l="1"/>
  <c r="U7" i="3"/>
  <c r="U6" i="3"/>
  <c r="U8" i="3" l="1"/>
  <c r="U9" i="3" l="1"/>
  <c r="U16" i="3"/>
  <c r="U15" i="3"/>
  <c r="U14" i="3"/>
  <c r="U13" i="3"/>
  <c r="U12" i="3"/>
  <c r="U11" i="3"/>
  <c r="U18" i="3" l="1"/>
  <c r="U17" i="3"/>
  <c r="U21" i="3"/>
  <c r="U20" i="3"/>
  <c r="U26" i="3" l="1"/>
  <c r="U19" i="3"/>
  <c r="I19" i="3"/>
  <c r="U25" i="3" l="1"/>
  <c r="U24" i="3"/>
  <c r="U23" i="3"/>
  <c r="U22" i="3"/>
  <c r="U27" i="3"/>
  <c r="U53" i="3"/>
  <c r="U108" i="3"/>
  <c r="U107" i="3"/>
  <c r="U106" i="3"/>
  <c r="U105" i="3"/>
  <c r="U104" i="3"/>
  <c r="U132" i="3" l="1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3" i="3"/>
  <c r="U102" i="3"/>
  <c r="U33" i="3" l="1"/>
  <c r="U32" i="3"/>
  <c r="U28" i="3" l="1"/>
  <c r="U29" i="3"/>
  <c r="I29" i="3"/>
  <c r="U30" i="3"/>
  <c r="I30" i="3"/>
  <c r="U31" i="3" l="1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I35" i="3"/>
  <c r="I34" i="3"/>
  <c r="I36" i="3"/>
  <c r="I37" i="3"/>
  <c r="I38" i="3"/>
  <c r="I44" i="3" l="1"/>
  <c r="I45" i="3"/>
  <c r="M59" i="3"/>
  <c r="M60" i="3"/>
  <c r="I46" i="3"/>
  <c r="M97" i="3" l="1"/>
  <c r="M98" i="3"/>
  <c r="M96" i="3"/>
  <c r="M93" i="3"/>
  <c r="M92" i="3"/>
  <c r="I92" i="3"/>
  <c r="I97" i="3"/>
  <c r="I98" i="3"/>
  <c r="I109" i="3"/>
  <c r="I101" i="3"/>
  <c r="I100" i="3"/>
  <c r="I99" i="3"/>
  <c r="I96" i="3"/>
  <c r="I95" i="3"/>
  <c r="I94" i="3"/>
  <c r="I93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58" i="3"/>
  <c r="I57" i="3"/>
  <c r="I55" i="3"/>
  <c r="I56" i="3"/>
  <c r="I54" i="3"/>
  <c r="I52" i="3"/>
  <c r="I51" i="3"/>
  <c r="I50" i="3"/>
  <c r="I49" i="3"/>
  <c r="I48" i="3"/>
  <c r="I61" i="3"/>
  <c r="I47" i="3"/>
</calcChain>
</file>

<file path=xl/sharedStrings.xml><?xml version="1.0" encoding="utf-8"?>
<sst xmlns="http://schemas.openxmlformats.org/spreadsheetml/2006/main" count="1831" uniqueCount="648">
  <si>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</si>
  <si>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</si>
  <si>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</si>
  <si>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</si>
  <si>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</si>
  <si>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</si>
  <si>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</si>
  <si>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</si>
  <si>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</si>
  <si>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</si>
  <si>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</si>
  <si>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</si>
  <si>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</si>
  <si>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</si>
  <si>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</si>
  <si>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</si>
  <si>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</si>
  <si>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</si>
  <si>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</si>
  <si>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</si>
  <si>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</si>
  <si>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</si>
  <si>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</si>
  <si>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</si>
  <si>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</si>
  <si>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</si>
  <si>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</si>
  <si>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</si>
  <si>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</si>
  <si>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</si>
  <si>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</si>
  <si>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</si>
  <si>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</si>
  <si>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</si>
  <si>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</si>
  <si>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</si>
  <si>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</si>
  <si>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</si>
  <si>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</si>
  <si>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</si>
  <si>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</si>
  <si>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</si>
  <si>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</si>
  <si>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</si>
  <si>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</si>
  <si>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</si>
  <si>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</si>
  <si>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</si>
  <si>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</si>
  <si>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</si>
  <si>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</si>
  <si>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</si>
  <si>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</si>
  <si>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</si>
  <si>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</si>
  <si>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</si>
  <si>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</si>
  <si>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</si>
  <si>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</si>
  <si>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</si>
  <si>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</si>
  <si>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</si>
  <si>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</si>
  <si>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</si>
  <si>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</si>
  <si>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</si>
  <si>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</si>
  <si>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</si>
  <si>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</si>
  <si>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</si>
  <si>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</si>
  <si>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</si>
  <si>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</si>
  <si>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</si>
  <si>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</si>
  <si>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</si>
  <si>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</si>
  <si>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</si>
  <si>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</si>
  <si>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</si>
  <si>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</si>
  <si>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</si>
  <si>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</si>
  <si>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</si>
  <si>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</si>
  <si>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</si>
  <si>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</si>
  <si>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</si>
  <si>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</si>
  <si>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</si>
  <si>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</si>
  <si>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</si>
  <si>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</si>
  <si>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</si>
  <si>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</si>
  <si>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</si>
  <si>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</si>
  <si>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</si>
  <si>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</si>
  <si>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</si>
  <si>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</si>
  <si>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</si>
  <si>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</si>
  <si>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</si>
  <si>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</si>
  <si>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</si>
  <si>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</si>
  <si>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</si>
  <si>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</si>
  <si>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</si>
  <si>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</si>
  <si>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</si>
  <si>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</si>
  <si>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</si>
  <si>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</si>
  <si>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</si>
  <si>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</si>
  <si>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</si>
  <si>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</si>
  <si>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</si>
  <si>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</si>
  <si>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</si>
  <si>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</si>
  <si>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</si>
  <si>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</si>
  <si>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</si>
  <si>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</si>
  <si>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</si>
  <si>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</si>
  <si>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</si>
  <si>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</si>
  <si>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</si>
  <si>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</si>
  <si>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</si>
  <si>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</si>
  <si>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</si>
  <si>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</si>
  <si>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</si>
  <si>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</si>
  <si>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</si>
  <si>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</si>
  <si>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</si>
  <si>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</si>
  <si>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</si>
  <si>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</si>
  <si>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</si>
  <si>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</si>
  <si>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</si>
  <si>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</si>
  <si>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</si>
  <si>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</si>
  <si>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</si>
  <si>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</si>
  <si>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</si>
  <si>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</si>
  <si>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</si>
  <si>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</si>
  <si>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</si>
  <si>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</si>
  <si>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</si>
  <si>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</si>
  <si>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</si>
  <si>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</si>
  <si>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</si>
  <si>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</si>
  <si>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</si>
  <si>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</si>
  <si>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</si>
  <si>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</si>
  <si>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</si>
  <si>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</si>
  <si>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</si>
  <si>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</si>
  <si>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</si>
  <si>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</si>
  <si>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</si>
  <si>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</si>
  <si>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</si>
  <si>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</si>
  <si>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</si>
  <si>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</si>
  <si>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</si>
  <si>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</si>
  <si>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</si>
  <si>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</si>
  <si>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</si>
  <si>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</si>
  <si>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</si>
  <si>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</si>
  <si>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</si>
  <si>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</si>
  <si>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</si>
  <si>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</si>
  <si>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</si>
  <si>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</si>
  <si>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</si>
  <si>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</si>
  <si>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</si>
  <si>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</si>
  <si>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</si>
  <si>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</si>
  <si>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</si>
  <si>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</si>
  <si>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</si>
  <si>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</si>
  <si>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</si>
  <si>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</si>
  <si>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</si>
  <si>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</si>
  <si>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</si>
  <si>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</si>
  <si>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</si>
  <si>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</si>
  <si>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</si>
  <si>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</si>
  <si>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</si>
  <si>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</si>
  <si>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</si>
  <si>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</si>
  <si>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</si>
  <si>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</si>
  <si>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</si>
  <si>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</si>
  <si>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</si>
  <si>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</si>
  <si>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</si>
  <si>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</si>
  <si>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</si>
  <si>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</si>
  <si>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</si>
  <si>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</si>
  <si>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</si>
  <si>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</si>
  <si>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</si>
  <si>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</si>
  <si>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</si>
  <si>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</si>
  <si>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</si>
  <si>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</si>
  <si>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</si>
  <si>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</si>
  <si>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</si>
  <si>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</si>
  <si>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</si>
  <si>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</si>
  <si>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</si>
  <si>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</si>
  <si>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</si>
  <si>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</si>
  <si>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</si>
  <si>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</si>
  <si>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</si>
  <si>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</si>
  <si>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</si>
  <si>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</si>
  <si>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</si>
  <si>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</si>
  <si>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</si>
  <si>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</si>
  <si>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</si>
  <si>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</si>
  <si>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</si>
  <si>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</si>
  <si>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</si>
  <si>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</si>
  <si>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</si>
  <si>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</si>
  <si>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</si>
  <si>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</si>
  <si>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</si>
  <si>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</si>
  <si>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</si>
  <si>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</si>
  <si>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</si>
  <si>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</si>
  <si>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</si>
  <si>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</si>
  <si>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</si>
  <si>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</si>
  <si>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</si>
  <si>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</si>
  <si>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</si>
  <si>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</si>
  <si>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</si>
  <si>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</si>
  <si>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</si>
  <si>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</si>
  <si>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</si>
  <si>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</si>
  <si>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</si>
  <si>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</si>
  <si>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</si>
  <si>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</si>
  <si>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</si>
  <si>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</si>
  <si>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</si>
  <si>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</si>
  <si>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</si>
  <si>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</si>
  <si>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</si>
  <si>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</si>
  <si>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</si>
  <si>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</si>
  <si>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</si>
  <si>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</si>
  <si>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</si>
  <si>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</si>
  <si>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</si>
  <si>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</si>
  <si>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</si>
  <si>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</si>
  <si>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</si>
  <si>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</si>
  <si>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</si>
  <si>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</si>
  <si>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</si>
  <si>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</si>
  <si>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</si>
  <si>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</si>
  <si>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</si>
  <si>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</si>
  <si>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</si>
  <si>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</si>
  <si>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</si>
  <si>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</si>
  <si>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</si>
  <si>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</si>
  <si>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</si>
  <si>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</si>
  <si>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</si>
  <si>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</si>
  <si>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</si>
  <si>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</si>
  <si>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</si>
  <si>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</si>
  <si>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</si>
  <si>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</si>
  <si>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</si>
  <si>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</si>
  <si>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</si>
  <si>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</si>
  <si>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</si>
  <si>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</si>
  <si>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</si>
  <si>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</si>
  <si>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</si>
  <si>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</si>
  <si>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</si>
  <si>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</si>
  <si>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</si>
  <si>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</si>
  <si>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</si>
  <si>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</si>
  <si>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</si>
  <si>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</si>
  <si>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</si>
  <si>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</si>
  <si>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</si>
  <si>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</si>
  <si>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</si>
  <si>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</si>
  <si>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</si>
  <si>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</si>
  <si>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</si>
  <si>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</si>
  <si>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</si>
  <si>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</si>
  <si>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</si>
  <si>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</si>
  <si>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</si>
  <si>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</si>
  <si>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</si>
  <si>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</si>
  <si>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</si>
  <si>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</si>
  <si>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</si>
  <si>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</si>
  <si>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</si>
  <si>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</si>
  <si>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</si>
  <si>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</si>
  <si>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</si>
  <si>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</si>
  <si>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</si>
  <si>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</si>
  <si>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</si>
  <si>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</si>
  <si>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</si>
  <si>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</si>
  <si>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</si>
  <si>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</si>
  <si>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</si>
  <si>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</si>
  <si>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</si>
  <si>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</si>
  <si>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</si>
  <si>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</si>
  <si>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</si>
  <si>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</si>
  <si>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</si>
  <si>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</si>
  <si>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</si>
  <si>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</si>
  <si>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</si>
  <si>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</si>
  <si>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</si>
  <si>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</si>
  <si>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</si>
  <si>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</si>
  <si>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</si>
  <si>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</si>
  <si>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</si>
  <si>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</si>
  <si>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</si>
  <si>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</si>
  <si>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</si>
  <si>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</si>
  <si>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</si>
  <si>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</si>
  <si>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</si>
  <si>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</si>
  <si>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</si>
  <si>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</si>
  <si>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</si>
  <si>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</si>
  <si>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</si>
  <si>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</si>
  <si>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</si>
  <si>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</si>
  <si>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</si>
  <si>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</si>
  <si>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</si>
  <si>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</si>
  <si>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</si>
  <si>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</si>
  <si>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</si>
  <si>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</si>
  <si>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</si>
  <si>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</si>
  <si>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</si>
  <si>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</si>
  <si>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</si>
  <si>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</si>
  <si>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</si>
  <si>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</si>
  <si>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</si>
  <si>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</si>
  <si>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</si>
  <si>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</si>
  <si>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</si>
  <si>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</si>
  <si>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</si>
  <si>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</si>
  <si>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</si>
  <si>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</si>
  <si>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</si>
  <si>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</si>
  <si>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</si>
  <si>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</si>
  <si>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</si>
  <si>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</si>
  <si>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</si>
  <si>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</si>
  <si>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</si>
  <si>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</si>
  <si>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</si>
  <si>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</si>
  <si>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</si>
  <si>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</si>
  <si>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</si>
  <si>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</si>
  <si>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</si>
  <si>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</si>
  <si>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</si>
  <si>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</si>
  <si>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</si>
  <si>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</si>
  <si>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</si>
  <si>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</si>
  <si>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</si>
  <si>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</si>
  <si>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</si>
  <si>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</si>
  <si>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</si>
  <si>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</si>
  <si>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</si>
  <si>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</si>
  <si>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</si>
  <si>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</si>
  <si>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</si>
  <si>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</si>
  <si>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</si>
  <si>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</si>
  <si>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</si>
  <si>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</si>
  <si>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</si>
  <si>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</si>
  <si>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</si>
  <si>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</si>
  <si>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</si>
  <si>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</si>
  <si>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</si>
  <si>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</si>
  <si>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</si>
  <si>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</si>
  <si>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</si>
  <si>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</si>
  <si>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</si>
  <si>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</si>
  <si>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</si>
  <si>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</si>
  <si>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</si>
  <si>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</si>
  <si>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</si>
  <si>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</si>
  <si>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</si>
  <si>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</si>
  <si>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</si>
  <si>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</si>
  <si>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</si>
  <si>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</si>
  <si>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</si>
  <si>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</si>
  <si>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</si>
  <si>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</si>
  <si>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</si>
  <si>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</si>
  <si>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</si>
  <si>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</si>
  <si>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</si>
  <si>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</si>
  <si>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</si>
  <si>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</si>
  <si>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</si>
  <si>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</si>
  <si>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</si>
  <si>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</si>
  <si>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</si>
  <si>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</si>
  <si>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</si>
  <si>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</si>
  <si>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</si>
  <si>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</si>
  <si>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</si>
  <si>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</si>
  <si>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</si>
  <si>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</si>
  <si>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</si>
  <si>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</si>
  <si>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</si>
  <si>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</si>
  <si>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</si>
  <si>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</si>
  <si>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</si>
  <si>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</si>
  <si>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</si>
  <si>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</si>
  <si>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</si>
  <si>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</si>
  <si>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</si>
  <si>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</si>
  <si>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</si>
  <si>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</si>
  <si>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</si>
  <si>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</si>
  <si>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</si>
  <si>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</si>
  <si>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</si>
  <si>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</si>
  <si>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</si>
  <si>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</si>
  <si>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</si>
  <si>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</si>
  <si>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</si>
  <si>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</si>
  <si>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</si>
  <si>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</si>
  <si>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</si>
  <si>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</si>
  <si>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</si>
  <si>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</si>
  <si>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</si>
  <si>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</si>
  <si>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</si>
  <si>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</si>
  <si>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</si>
  <si>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</si>
  <si>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</si>
  <si>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</si>
  <si>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</si>
  <si>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</si>
  <si>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</si>
  <si>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</si>
  <si>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</si>
  <si>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</si>
  <si>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</si>
  <si>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</si>
  <si>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</si>
  <si>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</si>
  <si>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</si>
  <si>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</si>
  <si>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2024년</t>
  </si>
  <si>
    <t>2025년</t>
  </si>
  <si>
    <t>제BEUP LDJ25-0508-1호</t>
  </si>
  <si>
    <t>IM-INT 3종 PCB 아트웍 외</t>
  </si>
  <si>
    <t>1_BEUPSYS\5-1_업체구매요청서\1_부품구매요청서및계약서\캐드존\임시-IM-INT-BD\제BEUP LDJ25-0508-1호</t>
  </si>
  <si>
    <t>임시-IM-INT-BD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</si>
  <si>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</si>
  <si>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</si>
  <si>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</si>
  <si>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</si>
  <si>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</si>
  <si>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</si>
  <si>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</si>
  <si>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 xml:space="preserve">MOXA 8-Port Ethernet switch </t>
  </si>
  <si>
    <t>ANSM, MIC 기구물</t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</si>
  <si>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</si>
  <si>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</si>
  <si>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</si>
  <si>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</si>
  <si>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</si>
  <si>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</si>
  <si>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</si>
  <si>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250522 지급(입금) / 매입증빙 확인</t>
    <phoneticPr fontId="1" type="noConversion"/>
  </si>
  <si>
    <t>250519 전자세금계산서</t>
    <phoneticPr fontId="1" type="noConversion"/>
  </si>
  <si>
    <t>250516 전자세금계산서</t>
    <phoneticPr fontId="1" type="noConversion"/>
  </si>
  <si>
    <t>250610 지급(입금) / 매입증빙 확인</t>
    <phoneticPr fontId="1" type="noConversion"/>
  </si>
  <si>
    <t>파츠맨</t>
    <phoneticPr fontId="1" type="noConversion"/>
  </si>
  <si>
    <t>유로</t>
  </si>
  <si>
    <t>유로</t>
    <phoneticPr fontId="1" type="noConversion"/>
  </si>
  <si>
    <t>제BEUP LDJ25-0627-1호</t>
  </si>
  <si>
    <t>제BEUP LDJ25-0627-2호</t>
  </si>
  <si>
    <t>2DIB1411FXUMA1 외</t>
  </si>
  <si>
    <t>IM-INT-MAIN PCB 조립 외</t>
  </si>
  <si>
    <t>250630 전자세금계산서</t>
    <phoneticPr fontId="1" type="noConversion"/>
  </si>
  <si>
    <t>1_BEUPSYS\5-1_업체구매요청서\1_부품구매요청서및계약서\파츠맨\임시-IM-INT-BD\제BEUP LDJ25-0627-1호</t>
    <phoneticPr fontId="1" type="noConversion"/>
  </si>
  <si>
    <t>1_BEUPSYS\5-1_업체구매요청서\1_부품구매요청서및계약서\유로\임시-IM-INT-BD\제BEUP LDJ25-0627-2호</t>
    <phoneticPr fontId="1" type="noConversion"/>
  </si>
  <si>
    <t>나무</t>
  </si>
  <si>
    <t>나무</t>
    <phoneticPr fontId="1" type="noConversion"/>
  </si>
  <si>
    <t>제BEUP LDJ25-0714-1호</t>
    <phoneticPr fontId="1" type="noConversion"/>
  </si>
  <si>
    <t>ISELED MCU 구매건</t>
  </si>
  <si>
    <t>납품 후 1주내</t>
    <phoneticPr fontId="1" type="noConversion"/>
  </si>
  <si>
    <t>선금 100%</t>
  </si>
  <si>
    <t>250710 지급(입금) / 매입증빙 확인</t>
    <phoneticPr fontId="1" type="noConversion"/>
  </si>
  <si>
    <t>1_BEUPSYS\5-1_업체구매요청서\1_부품구매요청서및계약서\나무\IM-품의-250627-003\제BEUP LDJ25-0714호</t>
    <phoneticPr fontId="1" type="noConversion"/>
  </si>
  <si>
    <t>발주 후 선금 100%</t>
    <phoneticPr fontId="1" type="noConversion"/>
  </si>
  <si>
    <t>250718 전자세금계산서</t>
    <phoneticPr fontId="1" type="noConversion"/>
  </si>
  <si>
    <t>250722 지급(입금) / 매입증빙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</si>
</sst>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49" fontId="3" fillId="2" borderId="1" xfId="0" applyNumberFormat="1" applyFont="1" applyFill="1" applyBorder="1">
      <alignment vertical="center"/>
    </xf>
    <xf numFmtId="0" fontId="6" fillId="0" borderId="1" xfId="0" applyFont="1" applyFill="1" applyBorder="1">
      <alignment vertical="center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131</xdr:row>
      <xdr:rowOff>0</xdr:rowOff>
    </xdr:from>
    <xdr:to>
      <xdr:col>10</xdr:col>
      <xdr:colOff>304800</xdr:colOff>
      <xdr:row>132</xdr:row>
      <xdr:rowOff>85725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gjoon Hong" refreshedDate="45860.443665162034" createdVersion="7" refreshedVersion="8" minRefreshableVersion="3" recordCount="130" xr:uid="{68F36ED7-716F-4D9E-91E0-B523F2554E77}">
  <cacheSource type="worksheet">
    <worksheetSource ref="B2:W132" sheet="계약별 상세"/>
  </cacheSource>
  <cacheFields count="24">
    <cacheField name="계약일자_x000a_(서명일 기준)" numFmtId="14">
      <sharedItems containsSemiMixedTypes="0" containsNonDate="0" containsDate="1" containsString="0" minDate="2024-04-10T00:00:00" maxDate="2025-07-15T00:00:00" count="77">
        <d v="2025-07-14T00:00:00"/>
        <d v="2025-06-27T00:00:00"/>
        <d v="2025-05-16T00:00:00"/>
        <d v="2025-05-08T00:00:00"/>
        <d v="2025-04-28T00:00:00"/>
        <d v="2025-04-21T00:00:00"/>
        <d v="2025-03-31T00:00:00"/>
        <d v="2025-03-27T00:00:00"/>
        <d v="2025-03-26T00:00:00"/>
        <d v="2025-03-20T00:00:00"/>
        <d v="2025-03-19T00:00:00"/>
        <d v="2025-03-14T00:00:00"/>
        <d v="2025-03-10T00:00:00"/>
        <d v="2025-03-05T00:00:00"/>
        <d v="2025-03-04T00:00:00"/>
        <d v="2025-02-28T00:00:00"/>
        <d v="2025-02-24T00:00:00"/>
        <d v="2025-02-20T00:00:00"/>
        <d v="2025-02-19T00:00:00"/>
        <d v="2025-02-11T00:00:00"/>
        <d v="2025-02-10T00:00:00"/>
        <d v="2025-02-06T00:00:00"/>
        <d v="2025-02-03T00:00:00"/>
        <d v="2025-01-24T00:00:00"/>
        <d v="2025-01-23T00:00:00"/>
        <d v="2025-01-16T00:00:00"/>
        <d v="2025-01-13T00:00:00"/>
        <d v="2025-01-09T00:00:00"/>
        <d v="2025-01-02T00:00:00"/>
        <d v="2024-12-27T00:00:00"/>
        <d v="2024-12-26T00:00:00"/>
        <d v="2024-12-24T00:00:00"/>
        <d v="2024-12-20T00:00:00"/>
        <d v="2024-12-19T00:00:00"/>
        <d v="2024-12-18T00:00:00"/>
        <d v="2024-12-16T00:00:00"/>
        <d v="2024-12-13T00:00:00"/>
        <d v="2024-12-11T00:00:00"/>
        <d v="2024-12-03T00:00:00"/>
        <d v="2024-11-25T00:00:00"/>
        <d v="2024-11-12T00:00:00"/>
        <d v="2024-11-05T00:00:00"/>
        <d v="2024-11-02T00:00:00"/>
        <d v="2024-11-06T00:00:00"/>
        <d v="2024-11-01T00:00:00"/>
        <d v="2024-10-30T00:00:00"/>
        <d v="2024-10-29T00:00:00"/>
        <d v="2024-10-24T00:00:00"/>
        <d v="2024-10-21T00:00:00"/>
        <d v="2024-10-18T00:00:00"/>
        <d v="2024-10-17T00:00:00"/>
        <d v="2024-10-15T00:00:00"/>
        <d v="2024-10-08T00:00:00"/>
        <d v="2024-09-27T00:00:00"/>
        <d v="2024-09-24T00:00:00"/>
        <d v="2024-09-23T00:00:00"/>
        <d v="2024-09-14T00:00:00"/>
        <d v="2024-09-13T00:00:00"/>
        <d v="2024-09-09T00:00:00"/>
        <d v="2024-09-06T00:00:00"/>
        <d v="2024-08-28T00:00:00"/>
        <d v="2024-08-21T00:00:00"/>
        <d v="2024-07-23T00:00:00"/>
        <d v="2024-07-15T00:00:00"/>
        <d v="2024-07-22T00:00:00"/>
        <d v="2024-07-04T00:00:00"/>
        <d v="2024-07-03T00:00:00"/>
        <d v="2024-07-02T00:00:00"/>
        <d v="2024-07-01T00:00:00"/>
        <d v="2024-06-15T00:00:00"/>
        <d v="2024-06-10T00:00:00"/>
        <d v="2024-05-23T00:00:00"/>
        <d v="2024-05-20T00:00:00"/>
        <d v="2024-05-03T00:00:00"/>
        <d v="2024-05-02T00:00:00"/>
        <d v="2024-05-01T00:00:00"/>
        <d v="2024-04-10T00:00:00"/>
      </sharedItems>
      <fieldGroup par="23" base="0">
        <rangePr groupBy="months" startDate="2024-04-10T00:00:00" endDate="2025-07-15T00:00:00"/>
        <groupItems count="14">
          <s v="&lt;2024-04-10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7-15"/>
        </groupItems>
      </fieldGroup>
    </cacheField>
    <cacheField name="공급업체" numFmtId="0">
      <sharedItems count="45">
        <s v="나무"/>
        <s v="유로"/>
        <s v="파츠맨"/>
        <s v="세일엔지니어링"/>
        <s v="위존"/>
        <s v="캐드존"/>
        <s v="김재현"/>
        <s v="김민석"/>
        <s v="아이리코(I RICCO)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9-06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7-01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1.지불 완료"/>
        <s v="3.진행 중"/>
        <s v="2.공급 완료" u="1"/>
        <m u="1"/>
      </sharedItems>
    </cacheField>
    <cacheField name="비고" numFmtId="0">
      <sharedItems/>
    </cacheField>
    <cacheField name="서버 경로" numFmtId="0">
      <sharedItems/>
    </cacheField>
    <cacheField name="분기" numFmtId="0" databaseField="0">
      <fieldGroup base="0">
        <rangePr groupBy="quarters" startDate="2024-04-10T00:00:00" endDate="2025-07-15T00:00:00"/>
        <groupItems count="6">
          <s v="&lt;2024-04-10"/>
          <s v="1사분기"/>
          <s v="2사분기"/>
          <s v="3사분기"/>
          <s v="4사분기"/>
          <s v="&gt;2025-07-15"/>
        </groupItems>
      </fieldGroup>
    </cacheField>
    <cacheField name="연" numFmtId="0" databaseField="0">
      <fieldGroup base="0">
        <rangePr groupBy="years" startDate="2024-04-10T00:00:00" endDate="2025-07-15T00:00:00"/>
        <groupItems count="4">
          <s v="&lt;2024-04-10"/>
          <s v="2024년"/>
          <s v="2025년"/>
          <s v="&gt;2025-07-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m/>
    <s v="제BEUP LDJ25-0714-1호"/>
    <m/>
    <s v="ISELED MCU 구매건"/>
    <n v="50"/>
    <d v="2025-08-11T00:00:00"/>
    <s v="발주 후 4주내"/>
    <m/>
    <m/>
    <n v="224250"/>
    <s v="납품 후 1주내"/>
    <s v="인터모빌리티"/>
    <s v="임시-IM-INT-BD"/>
    <s v="계약 서명확인"/>
    <s v="선금 100%"/>
    <s v="250718 전자세금계산서"/>
    <s v="250722 지급(입금) / 매입증빙 확인"/>
    <x v="0"/>
    <s v="VAT 별도"/>
    <s v="1_BEUPSYS\5-1_업체구매요청서\1_부품구매요청서및계약서\나무\IM-품의-250627-003\제BEUP LDJ25-0714호"/>
  </r>
  <r>
    <x v="1"/>
    <x v="1"/>
    <m/>
    <s v="제BEUP LDJ25-0627-2호"/>
    <m/>
    <s v="IM-INT-MAIN PCB 조립 외"/>
    <n v="1"/>
    <d v="2025-06-30T00:00:00"/>
    <s v="발주 후 4주내"/>
    <d v="2025-06-30T00:00:00"/>
    <m/>
    <n v="2400000"/>
    <s v="납품 후 지급"/>
    <s v="인터모빌리티"/>
    <s v="임시-IM-INT-BD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유로\임시-IM-INT-BD\제BEUP LDJ25-0627-2호"/>
  </r>
  <r>
    <x v="1"/>
    <x v="2"/>
    <m/>
    <s v="제BEUP LDJ25-0627-1호"/>
    <m/>
    <s v="2DIB1411FXUMA1 외"/>
    <n v="1"/>
    <d v="2025-06-30T00:00:00"/>
    <s v="발주 후 4주내"/>
    <d v="2025-06-30T00:00:00"/>
    <m/>
    <n v="7444670"/>
    <s v="납품 후 지급"/>
    <s v="인터모빌리티"/>
    <s v="임시-IM-INT-BD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파츠맨\임시-IM-INT-BD\제BEUP LDJ25-0627-1호"/>
  </r>
  <r>
    <x v="2"/>
    <x v="3"/>
    <m/>
    <s v="제BEUP LDJ25-0516-1호"/>
    <m/>
    <s v="ANSM, MIC 기구물"/>
    <n v="1"/>
    <d v="2025-06-13T00:00:00"/>
    <s v="발주 후 4주내"/>
    <d v="2025-05-16T00:00:00"/>
    <m/>
    <n v="92000"/>
    <s v="납품 후 지급"/>
    <s v="㈜지아이씨"/>
    <s v="GIC CSP24-0524-1호"/>
    <s v="계약 서명확인"/>
    <s v="입고 확인"/>
    <s v="250516 전자세금계산서"/>
    <s v="250610 지급(입금) / 매입증빙 확인"/>
    <x v="0"/>
    <s v="VAT 별도"/>
    <s v="1_BEUPSYS\5-1_업체구매요청서\1_부품구매요청서및계약서\㈜세일엔지니어링\241104_GIC CSP24-0524-1호_MOP외2종\제BEUP LDJ25-0516-1호"/>
  </r>
  <r>
    <x v="2"/>
    <x v="4"/>
    <m/>
    <s v="제BEUP LDJ25-0515-1호"/>
    <m/>
    <s v="MOXA 8-Port Ethernet switch "/>
    <n v="1"/>
    <d v="2025-09-05T00:00:00"/>
    <s v="발주 후 16주내"/>
    <m/>
    <m/>
    <n v="1800000"/>
    <s v="발주 후 선금 100%"/>
    <s v="㈜지아이씨"/>
    <s v="GIC CSP24-0524-1호"/>
    <s v="계약 서명확인"/>
    <s v="선금 100%"/>
    <s v="250519 전자세금계산서"/>
    <s v="250522 지급(입금) / 매입증빙 확인"/>
    <x v="0"/>
    <s v="VAT 별도"/>
    <s v="1_BEUPSYS\5-1_업체구매요청서\1_부품구매요청서및계약서\위존\GIC CSP24-0524-1호\제BEUP LDJ25-0515-1호"/>
  </r>
  <r>
    <x v="3"/>
    <x v="5"/>
    <m/>
    <s v="제BEUP LDJ25-0508-1호"/>
    <m/>
    <s v="IM-INT 3종 PCB 아트웍 외"/>
    <n v="1"/>
    <d v="2025-06-05T00:00:00"/>
    <s v="발주 후 4주내"/>
    <d v="2025-06-30T00:00:00"/>
    <m/>
    <n v="6582000"/>
    <s v="납품 후 지급"/>
    <s v="인터모빌리티"/>
    <s v="임시-IM-INT-BD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캐드존\임시-IM-INT-BD\제BEUP LDJ25-0508-1호"/>
  </r>
  <r>
    <x v="4"/>
    <x v="2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s v="GIC CSP24-0913-1호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파츠맨\GIC CSP24-0913-1호 NVRCTMMSR 3종생산\제BEUP LDJ25-0428-1호"/>
  </r>
  <r>
    <x v="5"/>
    <x v="6"/>
    <m/>
    <s v="제BEUPSYS HSJ25-0418"/>
    <m/>
    <s v="방송장치 오디오 테스트 방법 수립"/>
    <n v="1"/>
    <d v="2025-05-20T00:00:00"/>
    <m/>
    <d v="2025-05-20T00:00:00"/>
    <m/>
    <n v="10000000"/>
    <s v="2025-5-21 (사업소득세 3.3% 공제)"/>
    <s v="㈜지아이씨"/>
    <s v="GIC CSP24-0913-1호"/>
    <s v="계약 서명확인"/>
    <s v="업무 완료"/>
    <s v="전자세금계산서 미수취 / 프리렌서계약"/>
    <s v="250522 지급(입금) / 매입증빙 확인"/>
    <x v="0"/>
    <s v="VAT 별도"/>
    <s v="1_BEUPSYS\5-1_업체구매요청서\1_부품구매요청서및계약서\프리렌서계약_김재현\제GIC CSP24-0913-1호_MSR NVR 외 11종\3차"/>
  </r>
  <r>
    <x v="6"/>
    <x v="7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s v="GIC CSP24-0913-1호"/>
    <s v="계약 서명확인"/>
    <s v="업무 완료"/>
    <s v="전자세금계산서 미수취 / 프리렌서계약"/>
    <s v="250507 지급(입금) / 매입증빙 확인"/>
    <x v="0"/>
    <s v="사업소득세 3.3% 공제"/>
    <s v="1_BEUPSYS\5-1_업체구매요청서\1_부품구매요청서및계약서\프리렌서계약_김민석\제GIC CSP24-0913-1호_MSR NVR 외 11종\3차_2504월"/>
  </r>
  <r>
    <x v="7"/>
    <x v="2"/>
    <m/>
    <s v="제BEUP LDJ25-0327-1호"/>
    <m/>
    <s v="35155-0700 외"/>
    <n v="1"/>
    <m/>
    <s v="발주 후 4주내"/>
    <d v="2025-03-28T00:00:00"/>
    <m/>
    <n v="3461900"/>
    <s v="납품 후 지급"/>
    <s v="㈜지아이씨"/>
    <s v="GIC CSP24-0913-1호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파츠맨\GIC CSP24-0913-1호 NVRCTMMSR 3종생산\제BEUP LDJ25-0327-1호"/>
  </r>
  <r>
    <x v="8"/>
    <x v="8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s v="GIC CSP24-0524-1호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아이리코(I RICCO)\240524_GIC CSP24-0524-1호_MOP외2종생산\제BEUP LDJ25-0326-1호"/>
  </r>
  <r>
    <x v="9"/>
    <x v="9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s v="임시-IDN- 보수품"/>
    <s v="계약 서명확인"/>
    <s v="입고 확인"/>
    <s v="250321 전자세금계산서"/>
    <s v="250407 지급(입금) / 매입증빙 확인"/>
    <x v="0"/>
    <s v="VAT 별도"/>
    <s v="1_BEUPSYS\5-1_업체구매요청서\1_부품구매요청서및계약서\미래로\임시-IDN- 보수품\제BEUP LDJ25-0320-2호"/>
  </r>
  <r>
    <x v="9"/>
    <x v="10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s v="GIC CSP24-0524-1호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아이닉스\GIC CSP24-0524-1호_MOP외2종생산\제BEUP LDJ25-0320-1호"/>
  </r>
  <r>
    <x v="10"/>
    <x v="10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s v="임시-홍콩-시험기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임시-홍콩-시험기\제BEUP LDJ25-0319-1호"/>
  </r>
  <r>
    <x v="11"/>
    <x v="10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s v="GIC CSP24-0524-1호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314-1호"/>
  </r>
  <r>
    <x v="12"/>
    <x v="11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s v="GIC CSP24-0524-1호"/>
    <s v="계약 서명확인"/>
    <s v="입고 확인"/>
    <s v="250313 전자세금계산서"/>
    <s v="250407 지급(입금) / 매입증빙 확인"/>
    <x v="0"/>
    <s v="VAT 별도"/>
    <s v="1_BEUPSYS\5-1_업체구매요청서\1_부품구매요청서및계약서\㈜세일엔지니어링\241104_GIC CSP24-0524-1호_MOP외2종\제BEUP LDJ25-0310-1호"/>
  </r>
  <r>
    <x v="13"/>
    <x v="12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s v="GIC CSP24-0409-1호"/>
    <s v="계약 서명확인"/>
    <s v="입고 확인"/>
    <s v="250306 전자세금계산서"/>
    <s v="250307 지급(입금) / 매입증빙 확인"/>
    <x v="0"/>
    <s v="VAT 별도"/>
    <s v="1_BEUPSYS\5-1_업체구매요청서\1_부품구매요청서및계약서\텍시트코리아\제GIC CSP24-0409-1호\제BEUP LDJ25-0305-1호"/>
  </r>
  <r>
    <x v="14"/>
    <x v="13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고은효\제GIC CSP24-0913-1호_MSR NVR 외 11종\1차_2503월"/>
  </r>
  <r>
    <x v="14"/>
    <x v="7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민석\제GIC CSP24-0913-1호_MSR NVR 외 11종\2차_2503월"/>
  </r>
  <r>
    <x v="15"/>
    <x v="8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s v="GIC CSP24-0524-1호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아이리코(I RICCO)\240524_GIC CSP24-0524-1호_MOP외2종생산\제BEUP LDJ25-0228-2호"/>
  </r>
  <r>
    <x v="15"/>
    <x v="2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s v="GIC CSP24-0913-1호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파츠맨\GIC CSP24-0913-1호 NVRCTMMSR 3종생산\제BEUP LDJ25-0228-1호"/>
  </r>
  <r>
    <x v="16"/>
    <x v="14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s v="HRCPO20250226-001"/>
    <s v="계약 서명확인"/>
    <s v="선금 100%"/>
    <s v="250327 전자세금계산서"/>
    <s v="250407 지급(입금) / 매입증빙 확인"/>
    <x v="0"/>
    <s v="VAT 별도"/>
    <s v="1_BEUPSYS\5-1_업체구매요청서\1_부품구매요청서및계약서\대현테크\임시-EIDS수리-241224\제BEUP LDJ25-0224-2호"/>
  </r>
  <r>
    <x v="16"/>
    <x v="10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s v="GIC CSP24-0524-1호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224-1호"/>
  </r>
  <r>
    <x v="17"/>
    <x v="6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재현\제GIC CSP24-0913-1호_MSR NVR 외 11종\2차"/>
  </r>
  <r>
    <x v="18"/>
    <x v="15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수삽자재 부족분"/>
  </r>
  <r>
    <x v="19"/>
    <x v="15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s v="250225 전자세금계산서"/>
    <s v="250307 지급(입금) / 매입증빙 확인"/>
    <x v="0"/>
    <s v="VAT 별도"/>
    <s v="1_BEUPSYS\5-1_업체구매요청서\1_부품구매요청서및계약서\㈜메카전자\GIC CSP24-0913-1호_CTM 추가 수정 및 작업건"/>
  </r>
  <r>
    <x v="19"/>
    <x v="10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s v="250227 전자세금계산서"/>
    <s v="250306 지급(입금) / 매입증빙 확인"/>
    <x v="0"/>
    <s v="VAT 별도"/>
    <s v="1_BEUPSYS\5-1_업체구매요청서\1_부품구매요청서및계약서\아이닉스\GIC CSP24-0524-1호_MOP외2종생산\제BEUP LDJ25-0211-1호"/>
  </r>
  <r>
    <x v="20"/>
    <x v="16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s v="GIC CSP24-0923-1호"/>
    <s v="계약 서명확인"/>
    <s v="입고 확인"/>
    <s v="250226 전자세금계산서"/>
    <s v="250306 지급(입금) / 매입증빙 확인"/>
    <x v="0"/>
    <s v="VAT 별도"/>
    <s v="1_BEUPSYS\5-1_업체구매요청서\1_부품구매요청서및계약서\이노웍스코리아\GIC CSP24-0923-1호\제BEUP LDJ25-0210-1호"/>
  </r>
  <r>
    <x v="21"/>
    <x v="17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s v="GIC CSP24-0923-1호"/>
    <s v="계약 서명확인"/>
    <s v="선금 100%"/>
    <s v="250228 전자세금계산서"/>
    <s v="250306 지급(입금) / 매입증빙 확인"/>
    <x v="0"/>
    <s v="VAT 별도"/>
    <s v="1_BEUPSYS\5-1_업체구매요청서\1_부품구매요청서및계약서\이엔엠테크놀러지\GIC CSP24-0923-1호\제BEUP LDJ25-0206-1호"/>
  </r>
  <r>
    <x v="22"/>
    <x v="18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이예준\제GIC CSP24-0913-1호_MSR NVR 외 11종"/>
  </r>
  <r>
    <x v="22"/>
    <x v="7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민석\제GIC CSP24-0913-1호_MSR NVR 외 11종"/>
  </r>
  <r>
    <x v="23"/>
    <x v="2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파츠맨\GIC CSP24-0913-1호 NVRCTMMSR 3종생산\제BEUP LDJ25-0124-2호"/>
  </r>
  <r>
    <x v="23"/>
    <x v="2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913-1호 NVRCTMMSR 3종생산\제BEUP LDJ25-0124-1호"/>
  </r>
  <r>
    <x v="24"/>
    <x v="19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s v="GIC CSP24-0524-1호"/>
    <s v="계약 서명확인"/>
    <s v="입고 확인"/>
    <s v="250325 전자세금계산서"/>
    <s v="250407 지급(입금) / 매입증빙 확인"/>
    <x v="0"/>
    <s v="VAT 별도"/>
    <s v="1_BEUPSYS\5-1_업체구매요청서\1_부품구매요청서및계약서\티엠에스(전자파 인증관리)\240524_GIC CSP24-0524-1호_MOP외2종생산"/>
  </r>
  <r>
    <x v="24"/>
    <x v="15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s v="250205 전자세금계산서"/>
    <s v="250306 지급(입금) / 매입증빙 확인"/>
    <x v="0"/>
    <s v="VAT 별도"/>
    <s v="1_BEUPSYS\5-1_업체구매요청서\1_부품구매요청서및계약서\㈜메카전자\GIC CSP24-0913-1호 NVRCTMMSR 3종생산\NVR 수리자재"/>
  </r>
  <r>
    <x v="24"/>
    <x v="8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0524_GIC CSP24-0524-1호_MOP외2종생산\제BEUP LDJ25-0123-1호"/>
  </r>
  <r>
    <x v="25"/>
    <x v="20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0"/>
    <s v="VAT 별도"/>
    <s v="1_BEUPSYS\5-1_업체구매요청서\1_부품구매요청서및계약서\㈜이송이엠씨\GIC CSP24-0524-1호_MOP외2종생산\제BEUP JDS25-0116-2호"/>
  </r>
  <r>
    <x v="25"/>
    <x v="10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/5-1_업체구매요청서/1_부품구매요청서및계약서/아이닉스/GIC CSP24-0524-1호_MOP외2종생산/제BEUP JDS25-0116-1호"/>
  </r>
  <r>
    <x v="26"/>
    <x v="15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생산"/>
  </r>
  <r>
    <x v="27"/>
    <x v="8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1016_GIC CSP24-0524-2호_PSR-Hub외9종생산\2025-1 구매 진행"/>
  </r>
  <r>
    <x v="27"/>
    <x v="2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524-2호_PSR-Hub외9종생산\2025-1 구매 진행"/>
  </r>
  <r>
    <x v="28"/>
    <x v="21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0"/>
    <s v="VAT 별도"/>
    <s v="1_BEUPSYS/5-1_업체구매요청서/1_부품구매요청서및계약서/디에스테크놀로지/240923_GIC CSP24-0923-1호_MSR PWR Board for MSR외 10종"/>
  </r>
  <r>
    <x v="28"/>
    <x v="22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0"/>
    <s v="VAT 별도"/>
    <s v="1_BEUPSYS/5-1_업체구매요청서/1_부품구매요청서및계약서/우석케미칼/240923_GIC CSP24-0923-1호_MSR PWR Board for MSR외 10종"/>
  </r>
  <r>
    <x v="29"/>
    <x v="8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리코(I RICCO)/240923_GIC CSP24-0923-1호_MSR PWR Board for MSR외 10종/제BEUP JDS24-1227-1호_홍콩보드코팅_아이리코"/>
  </r>
  <r>
    <x v="29"/>
    <x v="23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태신전자\GIC CSP24-0913-1호 NVRCTMMSR 3종생산\3_MOPSUB추가생산"/>
  </r>
  <r>
    <x v="30"/>
    <x v="2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c"/>
  </r>
  <r>
    <x v="30"/>
    <x v="2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12월부자재-서명완료지급필요_1304260"/>
  </r>
  <r>
    <x v="31"/>
    <x v="15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㈜메카전자\GIC CSP24-0913-1호 NVRCTMMSR 3종생산\MSR-SSD_조립생산"/>
  </r>
  <r>
    <x v="31"/>
    <x v="15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메카전자\GIC CSP24-0913-1호 NVRCTMMSR 3종생산\NVR생산"/>
  </r>
  <r>
    <x v="31"/>
    <x v="15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0"/>
    <s v="VAT 별도"/>
    <s v="1_BEUPSYS\5-1_업체구매요청서\1_부품구매요청서및계약서\㈜메카전자\GIC CSP24-0913-1호 NVRCTMMSR 3종생산\MOPLCD"/>
  </r>
  <r>
    <x v="32"/>
    <x v="6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재현\제GIC CSP24-0913-1호_MSR NVR 외 11종"/>
  </r>
  <r>
    <x v="33"/>
    <x v="8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아이리코(I RICCO)\240524_GIC CSP24-0524-1호_MOP외2종생산\제BEUP JDS24-1219-1호"/>
  </r>
  <r>
    <x v="33"/>
    <x v="20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0"/>
    <s v="VAT 별도"/>
    <s v="1_BEUPSYS\5-1_업체구매요청서\1_부품구매요청서및계약서\㈜이송이엠씨\GIC CSP24-0524-1호_MOP외2종생산"/>
  </r>
  <r>
    <x v="34"/>
    <x v="24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0"/>
    <s v="VAT 별도"/>
    <s v="1_BEUPSYS\5-1_업체구매요청서\1_부품구매요청서및계약서\㈜화인테크폴리머\GIC CSP24-0524-1호_MOP외2종생산"/>
  </r>
  <r>
    <x v="35"/>
    <x v="10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닉스/GIC CSP24-0524-1호_MOP외2종생산"/>
  </r>
  <r>
    <x v="36"/>
    <x v="8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아이리코/240524_GIC CSP24-0524-1호_MOP외2종생산"/>
  </r>
  <r>
    <x v="37"/>
    <x v="25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1"/>
    <s v="사업소득세 3.3% 공제"/>
    <s v="1_BEUPSYS\5-1_업체구매요청서\1_부품구매요청서및계약서\프리렌서계약_박진호\DWE-2024-JUN-11-001_7호선3차분TCMS개조"/>
  </r>
  <r>
    <x v="37"/>
    <x v="25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0"/>
    <s v="사업소득세 3.3% 공제"/>
    <s v="1_BEUPSYS\5-1_업체구매요청서\1_부품구매요청서및계약서\프리렌서계약_박진호\DWE-2024-JUN-11-001_7호선3차분TCMS개조"/>
  </r>
  <r>
    <x v="38"/>
    <x v="2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0"/>
    <s v="VAT 별도"/>
    <s v="1_BEUPSYS\5-1_업체구매요청서\1_부품구매요청서및계약서\파츠맨\GIC CSP24-0913-1호 NVRCTMMSR 3종생산\SSD-서명완료지급필요_1,575,350"/>
  </r>
  <r>
    <x v="39"/>
    <x v="2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11월자재비용"/>
  </r>
  <r>
    <x v="40"/>
    <x v="2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NVRCTM추가자재"/>
  </r>
  <r>
    <x v="40"/>
    <x v="2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PBX추가자재(수리용)"/>
  </r>
  <r>
    <x v="41"/>
    <x v="2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MOPLCD"/>
  </r>
  <r>
    <x v="42"/>
    <x v="2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MOP추가생산"/>
  </r>
  <r>
    <x v="42"/>
    <x v="2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VOIPMODULE추가생산"/>
  </r>
  <r>
    <x v="43"/>
    <x v="11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0"/>
    <s v="VAT 별도"/>
    <s v="1_BEUPSYS\5-1_업체구매요청서\1_부품구매요청서및계약서\㈜세일엔지니어링\241104_GIC CSP24-0524-1호_MOP외2종"/>
  </r>
  <r>
    <x v="44"/>
    <x v="2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23-1호 추가PCB공급건\10월자재진행"/>
  </r>
  <r>
    <x v="44"/>
    <x v="15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0"/>
    <s v="VAT 별도"/>
    <s v="1_BEUPSYS\5-1_업체구매요청서\1_부품구매요청서및계약서\㈜메카전자\GIC CSP24-0913-1호 NVRCTMMSR 3종생산"/>
  </r>
  <r>
    <x v="45"/>
    <x v="8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23_BEUP JDS24-1023-1호_M12컨넥터 배선작업"/>
  </r>
  <r>
    <x v="46"/>
    <x v="23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0"/>
    <s v="VAT 별도"/>
    <s v="1_BEUPSYS\5-1_업체구매요청서\1_부품구매요청서및계약서\(주)태신전자\GIC CSP24-0913-1호 NVRCTMMSR 3종생산\2_SSD"/>
  </r>
  <r>
    <x v="47"/>
    <x v="5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0"/>
    <s v="VAT 별도"/>
    <s v="1_BEUPSYS\5-1_업체구매요청서\1_부품구매요청서및계약서\캐드존\240524_GIC CSP24-0524-1호_MOP외2종생산"/>
  </r>
  <r>
    <x v="48"/>
    <x v="26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0"/>
    <s v="VAT 별도"/>
    <s v="1_BEUPSYS\5-1_업체구매요청서\1_부품구매요청서및계약서\일성\GIC CSP24-0913-1호 NVRCTMMSR 3종생산"/>
  </r>
  <r>
    <x v="49"/>
    <x v="27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0"/>
    <s v="VAT 별도"/>
    <s v="1_BEUPSYS\5-1_업체구매요청서\1_부품구매요청서및계약서\㈜엔에스티정보통신\GIC CSP24-0923-1호_MSR PWR Board for MSR외 10종\제BEUP JDS24-1018-2호"/>
  </r>
  <r>
    <x v="49"/>
    <x v="8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0409_GIC CSP24-0409-1호_PAB외4종생산\241018_BEUP JDS24-1018-1_PAB 배선작업"/>
  </r>
  <r>
    <x v="50"/>
    <x v="10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0"/>
    <s v="VAT 별도"/>
    <s v="1_BEUPSYS/5-1_업체구매요청서/1_부품구매요청서및계약서/아이닉스/GIC CSP24-0923-1호_MSR PWR Board for MSR외 10종"/>
  </r>
  <r>
    <x v="51"/>
    <x v="23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51"/>
    <x v="23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51"/>
    <x v="23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51"/>
    <x v="23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51"/>
    <x v="23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51"/>
    <x v="23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52"/>
    <x v="2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13-1호 NVRCTMMSR 3종생산\CTM"/>
  </r>
  <r>
    <x v="52"/>
    <x v="28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0"/>
    <s v="VAT 별도"/>
    <s v="1_BEUPSYS\5-1_업체구매요청서\1_부품구매요청서및계약서\㈜유에스케이\GIC CSP24-0524-2호_PSR-Hub외9종생산\6종_Front Panel"/>
  </r>
  <r>
    <x v="52"/>
    <x v="29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이지파워/GIC CSP24-0524-2호_PSR-Hub외9종생산/제BEUP JDS24-1007-2호"/>
  </r>
  <r>
    <x v="52"/>
    <x v="8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04_BEUP JDS24-1007-1호_M12컨넥터 배선작업"/>
  </r>
  <r>
    <x v="53"/>
    <x v="30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0"/>
    <s v="VAT 별도"/>
    <s v="1_BEUPSYS\5-1_업체구매요청서\1_부품구매요청서및계약서\주식회사 일렉콤티에스\GIC CSP24-0913-1호 NVRCTMMSR 3종생산\MSR_SC"/>
  </r>
  <r>
    <x v="54"/>
    <x v="8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아이리코(I RICCO)\240923_GIC CSP24-0923-1호_MSR PWR Board for MSR외 10종\제BEUP KNK24-0924-1호_홍콩보드코팅_아이리코"/>
  </r>
  <r>
    <x v="55"/>
    <x v="2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23-1호 추가PCB공급건\9월자재비용"/>
  </r>
  <r>
    <x v="55"/>
    <x v="2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13-1호 NVRCTMMSR 3종생산\NVR"/>
  </r>
  <r>
    <x v="56"/>
    <x v="31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0"/>
    <s v="VAT 별도"/>
    <s v="1_BEUPSYS\5-1_업체구매요청서\1_부품구매요청서및계약서\바이슨"/>
  </r>
  <r>
    <x v="56"/>
    <x v="31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0"/>
    <s v="VAT 별도"/>
    <s v="1_BEUPSYS\5-1_업체구매요청서\1_부품구매요청서및계약서\바이슨"/>
  </r>
  <r>
    <x v="57"/>
    <x v="10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0"/>
    <s v="VAT 별도"/>
    <s v="1_BEUPSYS\5-1_업체구매요청서\1_부품구매요청서및계약서\아이닉스\DWE-2024-JUN-11-001_7호선3차분TCMS개조_CSC수리부품구매"/>
  </r>
  <r>
    <x v="58"/>
    <x v="29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0"/>
    <s v="VAT 별도"/>
    <s v="1_BEUPSYS\5-1_업체구매요청서\1_부품구매요청서및계약서\이지파워\GIC CSP24-0524-2호_PSR-Hub외9종생산\제BEUP_24-0909-1호"/>
  </r>
  <r>
    <x v="58"/>
    <x v="26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0"/>
    <s v="VAT 별도"/>
    <s v="1_BEUPSYS\5-1_업체구매요청서\1_부품구매요청서및계약서\(주)일성\GIC CSP24-0524-2호_PSR-Hub외9종생산"/>
  </r>
  <r>
    <x v="58"/>
    <x v="26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0"/>
    <s v="VAT 별도"/>
    <s v="1_BEUPSYS\5-1_업체구매요청서\1_부품구매요청서및계약서\(주)일성\GIC CSP24-0524-2호_PSR-Hub외9종생산"/>
  </r>
  <r>
    <x v="58"/>
    <x v="26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0"/>
    <s v="VAT 별도"/>
    <s v="1_BEUPSYS\5-1_업체구매요청서\1_부품구매요청서및계약서\(주)일성\GIC CSP24-0524-2호_PSR-Hub외9종생산"/>
  </r>
  <r>
    <x v="59"/>
    <x v="8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0"/>
    <s v="VAT 별도"/>
    <s v="1_BEUPSYS\5-1_업체구매요청서\1_부품구매요청서및계약서\아이리코(I RICCO)\241016_GIC CSP24-0524-2호_PSR-Hub외9종생산\Board 코팅"/>
  </r>
  <r>
    <x v="60"/>
    <x v="2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0"/>
    <s v="VAT 별도"/>
    <s v="1_BEUPSYS\5-1_업체구매요청서\1_부품구매요청서및계약서\파츠맨\GIC CSP24-0524-2호_PSR-Hub외9종생산\8월자재진행"/>
  </r>
  <r>
    <x v="61"/>
    <x v="10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0"/>
    <s v="VAT 별도"/>
    <s v="1_BEUPSYS\5-1_업체구매요청서\1_부품구매요청서및계약서\아이닉스\GIC CSP24-0524-2호_PSR-Hub외9종생산"/>
  </r>
  <r>
    <x v="62"/>
    <x v="20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0"/>
    <s v="VAT 별도"/>
    <s v="누락"/>
  </r>
  <r>
    <x v="62"/>
    <x v="20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0"/>
    <s v="VAT 별도"/>
    <s v="누락"/>
  </r>
  <r>
    <x v="63"/>
    <x v="24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0"/>
    <s v="VAT 별도"/>
    <s v="누락"/>
  </r>
  <r>
    <x v="63"/>
    <x v="24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0"/>
    <s v="VAT 별도"/>
    <s v="누락"/>
  </r>
  <r>
    <x v="63"/>
    <x v="24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0"/>
    <s v="VAT 별도"/>
    <s v="누락"/>
  </r>
  <r>
    <x v="63"/>
    <x v="24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0"/>
    <s v="VAT 별도"/>
    <s v="누락"/>
  </r>
  <r>
    <x v="63"/>
    <x v="24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0"/>
    <s v="VAT 별도"/>
    <s v="누락"/>
  </r>
  <r>
    <x v="64"/>
    <x v="32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0"/>
    <s v="VAT 별도"/>
    <s v="1_BEUPSYS\5-1_업체구매요청서\1_부품구매요청서및계약서\유니퀘스트㈜\240524_GIC CSP24-0524-1호_MOP외2종생산"/>
  </r>
  <r>
    <x v="65"/>
    <x v="17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0"/>
    <s v="VAT 별도"/>
    <s v="네이버 게시판 자료"/>
  </r>
  <r>
    <x v="66"/>
    <x v="33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0"/>
    <s v="VAT 별도"/>
    <s v="네이버 게시판 자료"/>
  </r>
  <r>
    <x v="67"/>
    <x v="34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x v="67"/>
    <x v="34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x v="67"/>
    <x v="34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x v="68"/>
    <x v="35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0"/>
    <s v="VAT 별도"/>
    <s v="네이버 게시판 자료"/>
  </r>
  <r>
    <x v="69"/>
    <x v="36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드림온테크 유한회사\240524_GIC CSP24-0524-1호_MOP외2종생산"/>
  </r>
  <r>
    <x v="69"/>
    <x v="36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0"/>
    <s v="VAT 별도"/>
    <s v="1_BEUPSYS\5-1_업체구매요청서\1_부품구매요청서및계약서\드림온테크 유한회사\240524_GIC CSP24-0524-1호_MOP외2종생산"/>
  </r>
  <r>
    <x v="69"/>
    <x v="36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0"/>
    <s v="VAT 별도"/>
    <s v="1_BEUPSYS\5-1_업체구매요청서\1_부품구매요청서및계약서\드림온테크 유한회사\240524_GIC CSP24-0524-1호_MOP외2종생산"/>
  </r>
  <r>
    <x v="70"/>
    <x v="17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0"/>
    <s v="VAT 별도"/>
    <s v="네이버 게시판 자료"/>
  </r>
  <r>
    <x v="70"/>
    <x v="37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0"/>
    <s v="VAT 별도"/>
    <s v="네이버 게시판 자료"/>
  </r>
  <r>
    <x v="71"/>
    <x v="23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0"/>
    <s v="VAT 별도"/>
    <s v="네이버 게시판 자료"/>
  </r>
  <r>
    <x v="71"/>
    <x v="23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0"/>
    <s v="VAT 별도"/>
    <s v="네이버 게시판 자료"/>
  </r>
  <r>
    <x v="71"/>
    <x v="2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0"/>
    <s v="VAT 별도"/>
    <s v="네이버 게시판 자료"/>
  </r>
  <r>
    <x v="71"/>
    <x v="2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0"/>
    <s v="VAT 별도"/>
    <s v="네이버 게시판 자료"/>
  </r>
  <r>
    <x v="72"/>
    <x v="38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0"/>
    <s v="VAT 별도"/>
    <s v="네이버 게시판 자료"/>
  </r>
  <r>
    <x v="73"/>
    <x v="15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0"/>
    <s v="VAT 별도"/>
    <s v="네이버 게시판 자료"/>
  </r>
  <r>
    <x v="73"/>
    <x v="15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0"/>
    <s v="VAT 별도"/>
    <s v="네이버 게시판 자료"/>
  </r>
  <r>
    <x v="74"/>
    <x v="39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0"/>
    <s v="VAT 별도"/>
    <s v="네이버 게시판 자료"/>
  </r>
  <r>
    <x v="74"/>
    <x v="39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0"/>
    <s v="VAT 별도"/>
    <s v="네이버 게시판 자료"/>
  </r>
  <r>
    <x v="75"/>
    <x v="30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0"/>
    <s v="VAT 별도"/>
    <s v="네이버 게시판 자료"/>
  </r>
  <r>
    <x v="75"/>
    <x v="30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0"/>
    <s v="VAT 별도"/>
    <s v="네이버 게시판 자료"/>
  </r>
  <r>
    <x v="76"/>
    <x v="40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0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57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6">
        <item x="36"/>
        <item m="1" x="41"/>
        <item x="31"/>
        <item x="25"/>
        <item x="10"/>
        <item x="8"/>
        <item x="32"/>
        <item x="40"/>
        <item x="29"/>
        <item x="15"/>
        <item x="11"/>
        <item x="27"/>
        <item x="28"/>
        <item x="20"/>
        <item x="30"/>
        <item x="26"/>
        <item x="23"/>
        <item x="24"/>
        <item x="5"/>
        <item x="2"/>
        <item x="21"/>
        <item x="22"/>
        <item x="19"/>
        <item x="17"/>
        <item x="16"/>
        <item x="18"/>
        <item x="7"/>
        <item m="1" x="44"/>
        <item x="33"/>
        <item x="34"/>
        <item x="35"/>
        <item x="37"/>
        <item m="1" x="43"/>
        <item x="38"/>
        <item x="39"/>
        <item m="1" x="42"/>
        <item x="6"/>
        <item x="14"/>
        <item x="12"/>
        <item x="13"/>
        <item x="9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m="1" x="2"/>
        <item x="1"/>
        <item m="1" x="3"/>
        <item t="default"/>
      </items>
    </pivotField>
    <pivotField showAll="0"/>
    <pivotField showAll="0"/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</pivotFields>
  <rowFields count="2">
    <field x="23"/>
    <field x="1"/>
  </rowFields>
  <rowItems count="53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46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6">
        <item x="36"/>
        <item m="1" x="41"/>
        <item x="31"/>
        <item x="25"/>
        <item x="10"/>
        <item x="8"/>
        <item x="32"/>
        <item x="40"/>
        <item x="29"/>
        <item x="15"/>
        <item x="11"/>
        <item x="27"/>
        <item x="28"/>
        <item x="20"/>
        <item x="30"/>
        <item x="26"/>
        <item x="23"/>
        <item x="24"/>
        <item x="5"/>
        <item x="2"/>
        <item x="21"/>
        <item x="22"/>
        <item x="19"/>
        <item x="17"/>
        <item x="16"/>
        <item x="18"/>
        <item x="7"/>
        <item m="1" x="44"/>
        <item x="33"/>
        <item x="34"/>
        <item x="35"/>
        <item x="37"/>
        <item m="1" x="43"/>
        <item x="38"/>
        <item x="39"/>
        <item m="1" x="42"/>
        <item x="6"/>
        <item x="14"/>
        <item x="12"/>
        <item x="13"/>
        <item x="9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m="1" x="2"/>
        <item x="1"/>
        <item m="1" x="3"/>
        <item t="default"/>
      </items>
    </pivotField>
    <pivotField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1"/>
  </rowFields>
  <rowItems count="42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E57"/>
  <sheetViews>
    <sheetView zoomScale="85" zoomScaleNormal="85" workbookViewId="0"/>
  </sheetViews>
  <sheetFormatPr defaultColWidth="8.875" defaultRowHeight="16.5" x14ac:dyDescent="0.3"/>
  <cols>
    <col min="2" max="2" width="24.5" bestFit="1" customWidth="1"/>
    <col min="3" max="3" width="14.875" bestFit="1" customWidth="1"/>
    <col min="4" max="4" width="12.37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601</v>
      </c>
      <c r="C5" s="34">
        <v>527020116.06600004</v>
      </c>
      <c r="D5" s="34">
        <v>3000000</v>
      </c>
      <c r="E5" s="34">
        <v>530020116.06600004</v>
      </c>
    </row>
    <row r="6" spans="2:5" x14ac:dyDescent="0.3">
      <c r="B6" s="68" t="s">
        <v>305</v>
      </c>
      <c r="C6" s="34">
        <v>80000000</v>
      </c>
      <c r="D6" s="34"/>
      <c r="E6" s="34">
        <v>80000000</v>
      </c>
    </row>
    <row r="7" spans="2:5" x14ac:dyDescent="0.3">
      <c r="B7" s="68" t="s">
        <v>306</v>
      </c>
      <c r="C7" s="34">
        <v>5544000</v>
      </c>
      <c r="D7" s="34"/>
      <c r="E7" s="34">
        <v>5544000</v>
      </c>
    </row>
    <row r="8" spans="2:5" x14ac:dyDescent="0.3">
      <c r="B8" s="68" t="s">
        <v>307</v>
      </c>
      <c r="C8" s="34">
        <v>3000000</v>
      </c>
      <c r="D8" s="34">
        <v>3000000</v>
      </c>
      <c r="E8" s="34">
        <v>6000000</v>
      </c>
    </row>
    <row r="9" spans="2:5" x14ac:dyDescent="0.3">
      <c r="B9" s="68" t="s">
        <v>308</v>
      </c>
      <c r="C9" s="34">
        <v>10591250</v>
      </c>
      <c r="D9" s="34"/>
      <c r="E9" s="34">
        <v>10591250</v>
      </c>
    </row>
    <row r="10" spans="2:5" x14ac:dyDescent="0.3">
      <c r="B10" s="68" t="s">
        <v>245</v>
      </c>
      <c r="C10" s="34">
        <v>19939200</v>
      </c>
      <c r="D10" s="34"/>
      <c r="E10" s="34">
        <v>19939200</v>
      </c>
    </row>
    <row r="11" spans="2:5" x14ac:dyDescent="0.3">
      <c r="B11" s="68" t="s">
        <v>309</v>
      </c>
      <c r="C11" s="34">
        <v>6637950</v>
      </c>
      <c r="D11" s="34"/>
      <c r="E11" s="34">
        <v>6637950</v>
      </c>
    </row>
    <row r="12" spans="2:5" x14ac:dyDescent="0.3">
      <c r="B12" s="68" t="s">
        <v>310</v>
      </c>
      <c r="C12" s="34">
        <v>5000000</v>
      </c>
      <c r="D12" s="34"/>
      <c r="E12" s="34">
        <v>5000000</v>
      </c>
    </row>
    <row r="13" spans="2:5" x14ac:dyDescent="0.3">
      <c r="B13" s="68" t="s">
        <v>311</v>
      </c>
      <c r="C13" s="34">
        <v>10155000</v>
      </c>
      <c r="D13" s="34"/>
      <c r="E13" s="34">
        <v>10155000</v>
      </c>
    </row>
    <row r="14" spans="2:5" x14ac:dyDescent="0.3">
      <c r="B14" s="68" t="s">
        <v>248</v>
      </c>
      <c r="C14" s="34">
        <v>24234000</v>
      </c>
      <c r="D14" s="34"/>
      <c r="E14" s="34">
        <v>24234000</v>
      </c>
    </row>
    <row r="15" spans="2:5" x14ac:dyDescent="0.3">
      <c r="B15" s="68" t="s">
        <v>312</v>
      </c>
      <c r="C15" s="34">
        <v>330000</v>
      </c>
      <c r="D15" s="34"/>
      <c r="E15" s="34">
        <v>330000</v>
      </c>
    </row>
    <row r="16" spans="2:5" x14ac:dyDescent="0.3">
      <c r="B16" s="68" t="s">
        <v>313</v>
      </c>
      <c r="C16" s="34">
        <v>1900000</v>
      </c>
      <c r="D16" s="34"/>
      <c r="E16" s="34">
        <v>1900000</v>
      </c>
    </row>
    <row r="17" spans="2:5" x14ac:dyDescent="0.3">
      <c r="B17" s="68" t="s">
        <v>314</v>
      </c>
      <c r="C17" s="34">
        <v>1970000</v>
      </c>
      <c r="D17" s="34"/>
      <c r="E17" s="34">
        <v>1970000</v>
      </c>
    </row>
    <row r="18" spans="2:5" x14ac:dyDescent="0.3">
      <c r="B18" s="68" t="s">
        <v>315</v>
      </c>
      <c r="C18" s="34">
        <v>1860000</v>
      </c>
      <c r="D18" s="34"/>
      <c r="E18" s="34">
        <v>1860000</v>
      </c>
    </row>
    <row r="19" spans="2:5" x14ac:dyDescent="0.3">
      <c r="B19" s="68" t="s">
        <v>316</v>
      </c>
      <c r="C19" s="34">
        <v>89696310</v>
      </c>
      <c r="D19" s="34"/>
      <c r="E19" s="34">
        <v>89696310</v>
      </c>
    </row>
    <row r="20" spans="2:5" x14ac:dyDescent="0.3">
      <c r="B20" s="68" t="s">
        <v>317</v>
      </c>
      <c r="C20" s="34">
        <v>45058000</v>
      </c>
      <c r="D20" s="34"/>
      <c r="E20" s="34">
        <v>45058000</v>
      </c>
    </row>
    <row r="21" spans="2:5" x14ac:dyDescent="0.3">
      <c r="B21" s="68" t="s">
        <v>246</v>
      </c>
      <c r="C21" s="34">
        <v>13056300</v>
      </c>
      <c r="D21" s="34"/>
      <c r="E21" s="34">
        <v>13056300</v>
      </c>
    </row>
    <row r="22" spans="2:5" x14ac:dyDescent="0.3">
      <c r="B22" s="68" t="s">
        <v>318</v>
      </c>
      <c r="C22" s="34">
        <v>2095000</v>
      </c>
      <c r="D22" s="34"/>
      <c r="E22" s="34">
        <v>2095000</v>
      </c>
    </row>
    <row r="23" spans="2:5" x14ac:dyDescent="0.3">
      <c r="B23" s="68" t="s">
        <v>319</v>
      </c>
      <c r="C23" s="34">
        <v>4090000</v>
      </c>
      <c r="D23" s="34"/>
      <c r="E23" s="34">
        <v>4090000</v>
      </c>
    </row>
    <row r="24" spans="2:5" x14ac:dyDescent="0.3">
      <c r="B24" s="68" t="s">
        <v>247</v>
      </c>
      <c r="C24" s="34">
        <v>94106265</v>
      </c>
      <c r="D24" s="34"/>
      <c r="E24" s="34">
        <v>94106265</v>
      </c>
    </row>
    <row r="25" spans="2:5" x14ac:dyDescent="0.3">
      <c r="B25" s="68" t="s">
        <v>408</v>
      </c>
      <c r="C25" s="34">
        <v>4035700</v>
      </c>
      <c r="D25" s="34"/>
      <c r="E25" s="34">
        <v>4035700</v>
      </c>
    </row>
    <row r="26" spans="2:5" x14ac:dyDescent="0.3">
      <c r="B26" s="68" t="s">
        <v>491</v>
      </c>
      <c r="C26" s="34">
        <v>1680000</v>
      </c>
      <c r="D26" s="34"/>
      <c r="E26" s="34">
        <v>1680000</v>
      </c>
    </row>
    <row r="27" spans="2:5" x14ac:dyDescent="0.3">
      <c r="B27" s="68" t="s">
        <v>487</v>
      </c>
      <c r="C27" s="34">
        <v>1272055.6000000001</v>
      </c>
      <c r="D27" s="34"/>
      <c r="E27" s="34">
        <v>1272055.6000000001</v>
      </c>
    </row>
    <row r="28" spans="2:5" x14ac:dyDescent="0.3">
      <c r="B28" s="68" t="s">
        <v>484</v>
      </c>
      <c r="C28" s="34">
        <v>420000</v>
      </c>
      <c r="D28" s="34"/>
      <c r="E28" s="34">
        <v>420000</v>
      </c>
    </row>
    <row r="29" spans="2:5" x14ac:dyDescent="0.3">
      <c r="B29" s="68" t="s">
        <v>472</v>
      </c>
      <c r="C29" s="34">
        <v>30474085.465999998</v>
      </c>
      <c r="D29" s="34"/>
      <c r="E29" s="34">
        <v>30474085.465999998</v>
      </c>
    </row>
    <row r="30" spans="2:5" x14ac:dyDescent="0.3">
      <c r="B30" s="68" t="s">
        <v>466</v>
      </c>
      <c r="C30" s="34">
        <v>2275000</v>
      </c>
      <c r="D30" s="34"/>
      <c r="E30" s="34">
        <v>2275000</v>
      </c>
    </row>
    <row r="31" spans="2:5" x14ac:dyDescent="0.3">
      <c r="B31" s="68" t="s">
        <v>461</v>
      </c>
      <c r="C31" s="34">
        <v>62600000</v>
      </c>
      <c r="D31" s="34"/>
      <c r="E31" s="34">
        <v>62600000</v>
      </c>
    </row>
    <row r="32" spans="2:5" x14ac:dyDescent="0.3">
      <c r="B32" s="68" t="s">
        <v>501</v>
      </c>
      <c r="C32" s="34">
        <v>5000000</v>
      </c>
      <c r="D32" s="34"/>
      <c r="E32" s="34">
        <v>5000000</v>
      </c>
    </row>
    <row r="33" spans="2:5" x14ac:dyDescent="0.3">
      <c r="B33" s="30" t="s">
        <v>602</v>
      </c>
      <c r="C33" s="34">
        <v>136010549</v>
      </c>
      <c r="D33" s="34"/>
      <c r="E33" s="34">
        <v>136010549</v>
      </c>
    </row>
    <row r="34" spans="2:5" x14ac:dyDescent="0.3">
      <c r="B34" s="68" t="s">
        <v>308</v>
      </c>
      <c r="C34" s="34">
        <v>6353000</v>
      </c>
      <c r="D34" s="34"/>
      <c r="E34" s="34">
        <v>6353000</v>
      </c>
    </row>
    <row r="35" spans="2:5" x14ac:dyDescent="0.3">
      <c r="B35" s="68" t="s">
        <v>245</v>
      </c>
      <c r="C35" s="34">
        <v>11898200</v>
      </c>
      <c r="D35" s="34"/>
      <c r="E35" s="34">
        <v>11898200</v>
      </c>
    </row>
    <row r="36" spans="2:5" x14ac:dyDescent="0.3">
      <c r="B36" s="68" t="s">
        <v>248</v>
      </c>
      <c r="C36" s="34">
        <v>16131280</v>
      </c>
      <c r="D36" s="34"/>
      <c r="E36" s="34">
        <v>16131280</v>
      </c>
    </row>
    <row r="37" spans="2:5" x14ac:dyDescent="0.3">
      <c r="B37" s="68" t="s">
        <v>312</v>
      </c>
      <c r="C37" s="34">
        <v>500000</v>
      </c>
      <c r="D37" s="34"/>
      <c r="E37" s="34">
        <v>500000</v>
      </c>
    </row>
    <row r="38" spans="2:5" x14ac:dyDescent="0.3">
      <c r="B38" s="68" t="s">
        <v>315</v>
      </c>
      <c r="C38" s="34">
        <v>180000</v>
      </c>
      <c r="D38" s="34"/>
      <c r="E38" s="34">
        <v>180000</v>
      </c>
    </row>
    <row r="39" spans="2:5" x14ac:dyDescent="0.3">
      <c r="B39" s="68" t="s">
        <v>319</v>
      </c>
      <c r="C39" s="34">
        <v>6582000</v>
      </c>
      <c r="D39" s="34"/>
      <c r="E39" s="34">
        <v>6582000</v>
      </c>
    </row>
    <row r="40" spans="2:5" x14ac:dyDescent="0.3">
      <c r="B40" s="68" t="s">
        <v>247</v>
      </c>
      <c r="C40" s="34">
        <v>19256910</v>
      </c>
      <c r="D40" s="34"/>
      <c r="E40" s="34">
        <v>19256910</v>
      </c>
    </row>
    <row r="41" spans="2:5" x14ac:dyDescent="0.3">
      <c r="B41" s="68" t="s">
        <v>342</v>
      </c>
      <c r="C41" s="34">
        <v>3300000</v>
      </c>
      <c r="D41" s="34"/>
      <c r="E41" s="34">
        <v>3300000</v>
      </c>
    </row>
    <row r="42" spans="2:5" x14ac:dyDescent="0.3">
      <c r="B42" s="68" t="s">
        <v>343</v>
      </c>
      <c r="C42" s="34">
        <v>368000</v>
      </c>
      <c r="D42" s="34"/>
      <c r="E42" s="34">
        <v>368000</v>
      </c>
    </row>
    <row r="43" spans="2:5" x14ac:dyDescent="0.3">
      <c r="B43" s="68" t="s">
        <v>406</v>
      </c>
      <c r="C43" s="34">
        <v>29900000</v>
      </c>
      <c r="D43" s="34"/>
      <c r="E43" s="34">
        <v>29900000</v>
      </c>
    </row>
    <row r="44" spans="2:5" x14ac:dyDescent="0.3">
      <c r="B44" s="68" t="s">
        <v>408</v>
      </c>
      <c r="C44" s="34">
        <v>9760500</v>
      </c>
      <c r="D44" s="34"/>
      <c r="E44" s="34">
        <v>9760500</v>
      </c>
    </row>
    <row r="45" spans="2:5" x14ac:dyDescent="0.3">
      <c r="B45" s="68" t="s">
        <v>422</v>
      </c>
      <c r="C45" s="34">
        <v>710000</v>
      </c>
      <c r="D45" s="34"/>
      <c r="E45" s="34">
        <v>710000</v>
      </c>
    </row>
    <row r="46" spans="2:5" x14ac:dyDescent="0.3">
      <c r="B46" s="68" t="s">
        <v>436</v>
      </c>
      <c r="C46" s="34">
        <v>2000000</v>
      </c>
      <c r="D46" s="34"/>
      <c r="E46" s="34">
        <v>2000000</v>
      </c>
    </row>
    <row r="47" spans="2:5" x14ac:dyDescent="0.3">
      <c r="B47" s="68" t="s">
        <v>437</v>
      </c>
      <c r="C47" s="34">
        <v>4900000</v>
      </c>
      <c r="D47" s="34"/>
      <c r="E47" s="34">
        <v>4900000</v>
      </c>
    </row>
    <row r="48" spans="2:5" x14ac:dyDescent="0.3">
      <c r="B48" s="68" t="s">
        <v>501</v>
      </c>
      <c r="C48" s="34">
        <v>15000000</v>
      </c>
      <c r="D48" s="34"/>
      <c r="E48" s="34">
        <v>15000000</v>
      </c>
    </row>
    <row r="49" spans="2:5" x14ac:dyDescent="0.3">
      <c r="B49" s="68" t="s">
        <v>534</v>
      </c>
      <c r="C49" s="34">
        <v>2611000</v>
      </c>
      <c r="D49" s="34"/>
      <c r="E49" s="34">
        <v>2611000</v>
      </c>
    </row>
    <row r="50" spans="2:5" x14ac:dyDescent="0.3">
      <c r="B50" s="68" t="s">
        <v>538</v>
      </c>
      <c r="C50" s="34">
        <v>250000</v>
      </c>
      <c r="D50" s="34"/>
      <c r="E50" s="34">
        <v>250000</v>
      </c>
    </row>
    <row r="51" spans="2:5" x14ac:dyDescent="0.3">
      <c r="B51" s="68" t="s">
        <v>561</v>
      </c>
      <c r="C51" s="34">
        <v>800000</v>
      </c>
      <c r="D51" s="34"/>
      <c r="E51" s="34">
        <v>800000</v>
      </c>
    </row>
    <row r="52" spans="2:5" x14ac:dyDescent="0.3">
      <c r="B52" s="68" t="s">
        <v>562</v>
      </c>
      <c r="C52" s="34">
        <v>993409</v>
      </c>
      <c r="D52" s="34"/>
      <c r="E52" s="34">
        <v>993409</v>
      </c>
    </row>
    <row r="53" spans="2:5" x14ac:dyDescent="0.3">
      <c r="B53" s="68" t="s">
        <v>610</v>
      </c>
      <c r="C53" s="34">
        <v>92000</v>
      </c>
      <c r="D53" s="34"/>
      <c r="E53" s="34">
        <v>92000</v>
      </c>
    </row>
    <row r="54" spans="2:5" x14ac:dyDescent="0.3">
      <c r="B54" s="68" t="s">
        <v>608</v>
      </c>
      <c r="C54" s="34">
        <v>1800000</v>
      </c>
      <c r="D54" s="34"/>
      <c r="E54" s="34">
        <v>1800000</v>
      </c>
    </row>
    <row r="55" spans="2:5" x14ac:dyDescent="0.3">
      <c r="B55" s="68" t="s">
        <v>628</v>
      </c>
      <c r="C55" s="34">
        <v>2400000</v>
      </c>
      <c r="D55" s="34"/>
      <c r="E55" s="34">
        <v>2400000</v>
      </c>
    </row>
    <row r="56" spans="2:5" x14ac:dyDescent="0.3">
      <c r="B56" s="68" t="s">
        <v>637</v>
      </c>
      <c r="C56" s="34">
        <v>224250</v>
      </c>
      <c r="D56" s="34"/>
      <c r="E56" s="34">
        <v>224250</v>
      </c>
    </row>
    <row r="57" spans="2:5" x14ac:dyDescent="0.3">
      <c r="B57" s="30" t="s">
        <v>320</v>
      </c>
      <c r="C57" s="34">
        <v>663030665.06599998</v>
      </c>
      <c r="D57" s="34">
        <v>3000000</v>
      </c>
      <c r="E57" s="34">
        <v>666030665.06599998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E46"/>
  <sheetViews>
    <sheetView zoomScale="85" zoomScaleNormal="85"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2.37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305</v>
      </c>
      <c r="C5" s="34">
        <v>80000000</v>
      </c>
      <c r="D5" s="34"/>
      <c r="E5" s="34">
        <v>80000000</v>
      </c>
    </row>
    <row r="6" spans="2:5" x14ac:dyDescent="0.3">
      <c r="B6" s="30" t="s">
        <v>306</v>
      </c>
      <c r="C6" s="34">
        <v>5544000</v>
      </c>
      <c r="D6" s="34"/>
      <c r="E6" s="34">
        <v>5544000</v>
      </c>
    </row>
    <row r="7" spans="2:5" x14ac:dyDescent="0.3">
      <c r="B7" s="30" t="s">
        <v>307</v>
      </c>
      <c r="C7" s="34">
        <v>3000000</v>
      </c>
      <c r="D7" s="34">
        <v>3000000</v>
      </c>
      <c r="E7" s="34">
        <v>6000000</v>
      </c>
    </row>
    <row r="8" spans="2:5" x14ac:dyDescent="0.3">
      <c r="B8" s="30" t="s">
        <v>308</v>
      </c>
      <c r="C8" s="34">
        <v>16944250</v>
      </c>
      <c r="D8" s="34"/>
      <c r="E8" s="34">
        <v>16944250</v>
      </c>
    </row>
    <row r="9" spans="2:5" x14ac:dyDescent="0.3">
      <c r="B9" s="30" t="s">
        <v>245</v>
      </c>
      <c r="C9" s="34">
        <v>31837400</v>
      </c>
      <c r="D9" s="34"/>
      <c r="E9" s="34">
        <v>31837400</v>
      </c>
    </row>
    <row r="10" spans="2:5" x14ac:dyDescent="0.3">
      <c r="B10" s="30" t="s">
        <v>309</v>
      </c>
      <c r="C10" s="34">
        <v>6637950</v>
      </c>
      <c r="D10" s="34"/>
      <c r="E10" s="34">
        <v>6637950</v>
      </c>
    </row>
    <row r="11" spans="2:5" x14ac:dyDescent="0.3">
      <c r="B11" s="30" t="s">
        <v>310</v>
      </c>
      <c r="C11" s="34">
        <v>5000000</v>
      </c>
      <c r="D11" s="34"/>
      <c r="E11" s="34">
        <v>5000000</v>
      </c>
    </row>
    <row r="12" spans="2:5" x14ac:dyDescent="0.3">
      <c r="B12" s="30" t="s">
        <v>311</v>
      </c>
      <c r="C12" s="34">
        <v>10155000</v>
      </c>
      <c r="D12" s="34"/>
      <c r="E12" s="34">
        <v>10155000</v>
      </c>
    </row>
    <row r="13" spans="2:5" x14ac:dyDescent="0.3">
      <c r="B13" s="30" t="s">
        <v>248</v>
      </c>
      <c r="C13" s="34">
        <v>40365280</v>
      </c>
      <c r="D13" s="34"/>
      <c r="E13" s="34">
        <v>40365280</v>
      </c>
    </row>
    <row r="14" spans="2:5" x14ac:dyDescent="0.3">
      <c r="B14" s="30" t="s">
        <v>312</v>
      </c>
      <c r="C14" s="34">
        <v>830000</v>
      </c>
      <c r="D14" s="34"/>
      <c r="E14" s="34">
        <v>830000</v>
      </c>
    </row>
    <row r="15" spans="2:5" x14ac:dyDescent="0.3">
      <c r="B15" s="30" t="s">
        <v>313</v>
      </c>
      <c r="C15" s="34">
        <v>1900000</v>
      </c>
      <c r="D15" s="34"/>
      <c r="E15" s="34">
        <v>1900000</v>
      </c>
    </row>
    <row r="16" spans="2:5" x14ac:dyDescent="0.3">
      <c r="B16" s="30" t="s">
        <v>314</v>
      </c>
      <c r="C16" s="34">
        <v>1970000</v>
      </c>
      <c r="D16" s="34"/>
      <c r="E16" s="34">
        <v>1970000</v>
      </c>
    </row>
    <row r="17" spans="2:5" x14ac:dyDescent="0.3">
      <c r="B17" s="30" t="s">
        <v>315</v>
      </c>
      <c r="C17" s="34">
        <v>2040000</v>
      </c>
      <c r="D17" s="34"/>
      <c r="E17" s="34">
        <v>2040000</v>
      </c>
    </row>
    <row r="18" spans="2:5" x14ac:dyDescent="0.3">
      <c r="B18" s="30" t="s">
        <v>316</v>
      </c>
      <c r="C18" s="34">
        <v>89696310</v>
      </c>
      <c r="D18" s="34"/>
      <c r="E18" s="34">
        <v>89696310</v>
      </c>
    </row>
    <row r="19" spans="2:5" x14ac:dyDescent="0.3">
      <c r="B19" s="30" t="s">
        <v>317</v>
      </c>
      <c r="C19" s="34">
        <v>45058000</v>
      </c>
      <c r="D19" s="34"/>
      <c r="E19" s="34">
        <v>45058000</v>
      </c>
    </row>
    <row r="20" spans="2:5" x14ac:dyDescent="0.3">
      <c r="B20" s="30" t="s">
        <v>246</v>
      </c>
      <c r="C20" s="34">
        <v>13056300</v>
      </c>
      <c r="D20" s="34"/>
      <c r="E20" s="34">
        <v>13056300</v>
      </c>
    </row>
    <row r="21" spans="2:5" x14ac:dyDescent="0.3">
      <c r="B21" s="30" t="s">
        <v>318</v>
      </c>
      <c r="C21" s="34">
        <v>2095000</v>
      </c>
      <c r="D21" s="34"/>
      <c r="E21" s="34">
        <v>2095000</v>
      </c>
    </row>
    <row r="22" spans="2:5" x14ac:dyDescent="0.3">
      <c r="B22" s="30" t="s">
        <v>319</v>
      </c>
      <c r="C22" s="34">
        <v>10672000</v>
      </c>
      <c r="D22" s="34"/>
      <c r="E22" s="34">
        <v>10672000</v>
      </c>
    </row>
    <row r="23" spans="2:5" x14ac:dyDescent="0.3">
      <c r="B23" s="30" t="s">
        <v>247</v>
      </c>
      <c r="C23" s="34">
        <v>113363175</v>
      </c>
      <c r="D23" s="34"/>
      <c r="E23" s="34">
        <v>113363175</v>
      </c>
    </row>
    <row r="24" spans="2:5" x14ac:dyDescent="0.3">
      <c r="B24" s="30" t="s">
        <v>342</v>
      </c>
      <c r="C24" s="34">
        <v>3300000</v>
      </c>
      <c r="D24" s="34"/>
      <c r="E24" s="34">
        <v>3300000</v>
      </c>
    </row>
    <row r="25" spans="2:5" x14ac:dyDescent="0.3">
      <c r="B25" s="30" t="s">
        <v>343</v>
      </c>
      <c r="C25" s="34">
        <v>368000</v>
      </c>
      <c r="D25" s="34"/>
      <c r="E25" s="34">
        <v>368000</v>
      </c>
    </row>
    <row r="26" spans="2:5" x14ac:dyDescent="0.3">
      <c r="B26" s="30" t="s">
        <v>406</v>
      </c>
      <c r="C26" s="34">
        <v>29900000</v>
      </c>
      <c r="D26" s="34"/>
      <c r="E26" s="34">
        <v>29900000</v>
      </c>
    </row>
    <row r="27" spans="2:5" x14ac:dyDescent="0.3">
      <c r="B27" s="30" t="s">
        <v>408</v>
      </c>
      <c r="C27" s="34">
        <v>13796200</v>
      </c>
      <c r="D27" s="34"/>
      <c r="E27" s="34">
        <v>13796200</v>
      </c>
    </row>
    <row r="28" spans="2:5" x14ac:dyDescent="0.3">
      <c r="B28" s="30" t="s">
        <v>422</v>
      </c>
      <c r="C28" s="34">
        <v>710000</v>
      </c>
      <c r="D28" s="34"/>
      <c r="E28" s="34">
        <v>710000</v>
      </c>
    </row>
    <row r="29" spans="2:5" x14ac:dyDescent="0.3">
      <c r="B29" s="30" t="s">
        <v>436</v>
      </c>
      <c r="C29" s="34">
        <v>2000000</v>
      </c>
      <c r="D29" s="34"/>
      <c r="E29" s="34">
        <v>2000000</v>
      </c>
    </row>
    <row r="30" spans="2:5" x14ac:dyDescent="0.3">
      <c r="B30" s="30" t="s">
        <v>437</v>
      </c>
      <c r="C30" s="34">
        <v>4900000</v>
      </c>
      <c r="D30" s="34"/>
      <c r="E30" s="34">
        <v>4900000</v>
      </c>
    </row>
    <row r="31" spans="2:5" x14ac:dyDescent="0.3">
      <c r="B31" s="30" t="s">
        <v>491</v>
      </c>
      <c r="C31" s="34">
        <v>1680000</v>
      </c>
      <c r="D31" s="34"/>
      <c r="E31" s="34">
        <v>1680000</v>
      </c>
    </row>
    <row r="32" spans="2:5" x14ac:dyDescent="0.3">
      <c r="B32" s="30" t="s">
        <v>487</v>
      </c>
      <c r="C32" s="34">
        <v>1272055.6000000001</v>
      </c>
      <c r="D32" s="34"/>
      <c r="E32" s="34">
        <v>1272055.6000000001</v>
      </c>
    </row>
    <row r="33" spans="2:5" x14ac:dyDescent="0.3">
      <c r="B33" s="30" t="s">
        <v>484</v>
      </c>
      <c r="C33" s="34">
        <v>420000</v>
      </c>
      <c r="D33" s="34"/>
      <c r="E33" s="34">
        <v>420000</v>
      </c>
    </row>
    <row r="34" spans="2:5" x14ac:dyDescent="0.3">
      <c r="B34" s="30" t="s">
        <v>472</v>
      </c>
      <c r="C34" s="34">
        <v>30474085.465999998</v>
      </c>
      <c r="D34" s="34"/>
      <c r="E34" s="34">
        <v>30474085.465999998</v>
      </c>
    </row>
    <row r="35" spans="2:5" x14ac:dyDescent="0.3">
      <c r="B35" s="30" t="s">
        <v>466</v>
      </c>
      <c r="C35" s="34">
        <v>2275000</v>
      </c>
      <c r="D35" s="34"/>
      <c r="E35" s="34">
        <v>2275000</v>
      </c>
    </row>
    <row r="36" spans="2:5" x14ac:dyDescent="0.3">
      <c r="B36" s="30" t="s">
        <v>461</v>
      </c>
      <c r="C36" s="34">
        <v>62600000</v>
      </c>
      <c r="D36" s="34"/>
      <c r="E36" s="34">
        <v>62600000</v>
      </c>
    </row>
    <row r="37" spans="2:5" x14ac:dyDescent="0.3">
      <c r="B37" s="30" t="s">
        <v>501</v>
      </c>
      <c r="C37" s="34">
        <v>20000000</v>
      </c>
      <c r="D37" s="34"/>
      <c r="E37" s="34">
        <v>20000000</v>
      </c>
    </row>
    <row r="38" spans="2:5" x14ac:dyDescent="0.3">
      <c r="B38" s="30" t="s">
        <v>534</v>
      </c>
      <c r="C38" s="34">
        <v>2611000</v>
      </c>
      <c r="D38" s="34"/>
      <c r="E38" s="34">
        <v>2611000</v>
      </c>
    </row>
    <row r="39" spans="2:5" x14ac:dyDescent="0.3">
      <c r="B39" s="30" t="s">
        <v>538</v>
      </c>
      <c r="C39" s="34">
        <v>250000</v>
      </c>
      <c r="D39" s="34"/>
      <c r="E39" s="34">
        <v>250000</v>
      </c>
    </row>
    <row r="40" spans="2:5" x14ac:dyDescent="0.3">
      <c r="B40" s="30" t="s">
        <v>561</v>
      </c>
      <c r="C40" s="34">
        <v>800000</v>
      </c>
      <c r="D40" s="34"/>
      <c r="E40" s="34">
        <v>800000</v>
      </c>
    </row>
    <row r="41" spans="2:5" x14ac:dyDescent="0.3">
      <c r="B41" s="30" t="s">
        <v>562</v>
      </c>
      <c r="C41" s="34">
        <v>993409</v>
      </c>
      <c r="D41" s="34"/>
      <c r="E41" s="34">
        <v>993409</v>
      </c>
    </row>
    <row r="42" spans="2:5" x14ac:dyDescent="0.3">
      <c r="B42" s="30" t="s">
        <v>610</v>
      </c>
      <c r="C42" s="34">
        <v>92000</v>
      </c>
      <c r="D42" s="34"/>
      <c r="E42" s="34">
        <v>92000</v>
      </c>
    </row>
    <row r="43" spans="2:5" x14ac:dyDescent="0.3">
      <c r="B43" s="30" t="s">
        <v>608</v>
      </c>
      <c r="C43" s="34">
        <v>1800000</v>
      </c>
      <c r="D43" s="34"/>
      <c r="E43" s="34">
        <v>1800000</v>
      </c>
    </row>
    <row r="44" spans="2:5" x14ac:dyDescent="0.3">
      <c r="B44" s="30" t="s">
        <v>628</v>
      </c>
      <c r="C44" s="34">
        <v>2400000</v>
      </c>
      <c r="D44" s="34"/>
      <c r="E44" s="34">
        <v>2400000</v>
      </c>
    </row>
    <row r="45" spans="2:5" x14ac:dyDescent="0.3">
      <c r="B45" s="30" t="s">
        <v>637</v>
      </c>
      <c r="C45" s="34">
        <v>224250</v>
      </c>
      <c r="D45" s="34"/>
      <c r="E45" s="34">
        <v>224250</v>
      </c>
    </row>
    <row r="46" spans="2:5" x14ac:dyDescent="0.3">
      <c r="B46" s="30" t="s">
        <v>320</v>
      </c>
      <c r="C46" s="34">
        <v>663030665.06599998</v>
      </c>
      <c r="D46" s="34">
        <v>3000000</v>
      </c>
      <c r="E46" s="34">
        <v>666030665.06599998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32"/>
  <sheetViews>
    <sheetView tabSelected="1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 x14ac:dyDescent="0.3"/>
  <cols>
    <col min="1" max="1" width="9.75" style="50" bestFit="1" customWidth="1"/>
    <col min="2" max="2" width="13" style="36" customWidth="1"/>
    <col min="3" max="3" width="20.875" customWidth="1"/>
    <col min="4" max="4" width="21" style="21" customWidth="1"/>
    <col min="5" max="5" width="24" bestFit="1" customWidth="1"/>
    <col min="6" max="6" width="8" customWidth="1"/>
    <col min="7" max="7" width="47.125" bestFit="1" customWidth="1"/>
    <col min="8" max="8" width="11.5" bestFit="1" customWidth="1"/>
    <col min="9" max="9" width="28.375" style="36" bestFit="1" customWidth="1"/>
    <col min="10" max="10" width="18.125" style="50" bestFit="1" customWidth="1"/>
    <col min="11" max="11" width="24" style="36" bestFit="1" customWidth="1"/>
    <col min="12" max="12" width="13" bestFit="1" customWidth="1"/>
    <col min="13" max="13" width="18.5" style="52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6"/>
      <c r="Y1" t="s">
        <v>4</v>
      </c>
      <c r="Z1" s="2"/>
    </row>
    <row r="2" spans="1:26" s="50" customFormat="1" ht="33" x14ac:dyDescent="0.3">
      <c r="A2" s="67" t="s">
        <v>507</v>
      </c>
      <c r="B2" s="37" t="s">
        <v>32</v>
      </c>
      <c r="C2" s="46" t="s">
        <v>331</v>
      </c>
      <c r="D2" s="47" t="s">
        <v>6</v>
      </c>
      <c r="E2" s="46" t="s">
        <v>1</v>
      </c>
      <c r="F2" s="46" t="s">
        <v>8</v>
      </c>
      <c r="G2" s="46" t="s">
        <v>2</v>
      </c>
      <c r="H2" s="46" t="s">
        <v>10</v>
      </c>
      <c r="I2" s="37" t="s">
        <v>220</v>
      </c>
      <c r="J2" s="46" t="s">
        <v>107</v>
      </c>
      <c r="K2" s="37" t="s">
        <v>218</v>
      </c>
      <c r="L2" s="48" t="s">
        <v>287</v>
      </c>
      <c r="M2" s="49" t="s">
        <v>288</v>
      </c>
      <c r="N2" s="46" t="s">
        <v>3</v>
      </c>
      <c r="O2" s="46" t="s">
        <v>9</v>
      </c>
      <c r="P2" s="46" t="s">
        <v>0</v>
      </c>
      <c r="Q2" s="46" t="s">
        <v>108</v>
      </c>
      <c r="R2" s="46" t="s">
        <v>109</v>
      </c>
      <c r="S2" s="46" t="s">
        <v>110</v>
      </c>
      <c r="T2" s="46" t="s">
        <v>111</v>
      </c>
      <c r="U2" s="46" t="s">
        <v>329</v>
      </c>
      <c r="V2" s="46" t="s">
        <v>112</v>
      </c>
      <c r="W2" s="46" t="s">
        <v>389</v>
      </c>
      <c r="Y2" s="50" t="s">
        <v>5</v>
      </c>
      <c r="Z2" s="51"/>
    </row>
    <row r="3" spans="1:26" s="50" customFormat="1" x14ac:dyDescent="0.3">
      <c r="A3" s="67">
        <v>130</v>
      </c>
      <c r="B3" s="37">
        <v>45852</v>
      </c>
      <c r="C3" s="1" t="s">
        <v>638</v>
      </c>
      <c r="D3" s="47"/>
      <c r="E3" s="1" t="s">
        <v>639</v>
      </c>
      <c r="F3" s="46"/>
      <c r="G3" s="1" t="s">
        <v>640</v>
      </c>
      <c r="H3" s="46">
        <v>50</v>
      </c>
      <c r="I3" s="37">
        <v>45880</v>
      </c>
      <c r="J3" s="46" t="s">
        <v>387</v>
      </c>
      <c r="K3" s="37"/>
      <c r="L3" s="48"/>
      <c r="M3" s="49">
        <v>224250</v>
      </c>
      <c r="N3" s="1" t="s">
        <v>641</v>
      </c>
      <c r="O3" s="69" t="s">
        <v>607</v>
      </c>
      <c r="P3" s="5" t="s">
        <v>606</v>
      </c>
      <c r="Q3" s="1" t="s">
        <v>368</v>
      </c>
      <c r="R3" s="5" t="s">
        <v>642</v>
      </c>
      <c r="S3" s="5" t="s">
        <v>646</v>
      </c>
      <c r="T3" s="73" t="s">
        <v>647</v>
      </c>
      <c r="U3" s="35" t="str">
        <f t="shared" ref="U3:U10" si="0">IF(ISBLANK(T3)=FALSE, "1.지불 완료", IF(ISBLANK(R3)=FALSE, "2.공급 완료", "3.진행 중"))</f>
        <v>1.지불 완료</v>
      </c>
      <c r="V3" s="5" t="s">
        <v>271</v>
      </c>
      <c r="W3" s="1" t="s">
        <v>644</v>
      </c>
      <c r="Z3" s="51"/>
    </row>
    <row r="4" spans="1:26" s="50" customFormat="1" x14ac:dyDescent="0.3">
      <c r="A4" s="67">
        <v>129</v>
      </c>
      <c r="B4" s="38">
        <v>45835</v>
      </c>
      <c r="C4" s="6" t="s">
        <v>629</v>
      </c>
      <c r="D4" s="59"/>
      <c r="E4" s="6" t="s">
        <v>631</v>
      </c>
      <c r="F4" s="56"/>
      <c r="G4" s="6" t="s">
        <v>633</v>
      </c>
      <c r="H4" s="56">
        <v>1</v>
      </c>
      <c r="I4" s="38">
        <v>45838</v>
      </c>
      <c r="J4" s="56" t="s">
        <v>387</v>
      </c>
      <c r="K4" s="38">
        <v>45838</v>
      </c>
      <c r="L4" s="60"/>
      <c r="M4" s="63">
        <v>2400000</v>
      </c>
      <c r="N4" s="6" t="s">
        <v>511</v>
      </c>
      <c r="O4" s="65" t="s">
        <v>607</v>
      </c>
      <c r="P4" s="8" t="s">
        <v>606</v>
      </c>
      <c r="Q4" s="6" t="s">
        <v>368</v>
      </c>
      <c r="R4" s="6" t="s">
        <v>365</v>
      </c>
      <c r="S4" s="11" t="s">
        <v>634</v>
      </c>
      <c r="T4" s="10" t="s">
        <v>643</v>
      </c>
      <c r="U4" s="11" t="str">
        <f t="shared" si="0"/>
        <v>1.지불 완료</v>
      </c>
      <c r="V4" s="8" t="s">
        <v>271</v>
      </c>
      <c r="W4" s="6" t="s">
        <v>636</v>
      </c>
      <c r="Z4" s="51"/>
    </row>
    <row r="5" spans="1:26" s="50" customFormat="1" x14ac:dyDescent="0.3">
      <c r="A5" s="67">
        <v>128</v>
      </c>
      <c r="B5" s="38">
        <v>45835</v>
      </c>
      <c r="C5" s="6" t="s">
        <v>627</v>
      </c>
      <c r="D5" s="59"/>
      <c r="E5" s="6" t="s">
        <v>630</v>
      </c>
      <c r="F5" s="56"/>
      <c r="G5" s="6" t="s">
        <v>632</v>
      </c>
      <c r="H5" s="56">
        <v>1</v>
      </c>
      <c r="I5" s="38">
        <v>45838</v>
      </c>
      <c r="J5" s="56" t="s">
        <v>387</v>
      </c>
      <c r="K5" s="38">
        <v>45838</v>
      </c>
      <c r="L5" s="60"/>
      <c r="M5" s="63">
        <v>7444670</v>
      </c>
      <c r="N5" s="6" t="s">
        <v>511</v>
      </c>
      <c r="O5" s="65" t="s">
        <v>607</v>
      </c>
      <c r="P5" s="8" t="s">
        <v>606</v>
      </c>
      <c r="Q5" s="6" t="s">
        <v>368</v>
      </c>
      <c r="R5" s="6" t="s">
        <v>365</v>
      </c>
      <c r="S5" s="11" t="s">
        <v>634</v>
      </c>
      <c r="T5" s="10" t="s">
        <v>643</v>
      </c>
      <c r="U5" s="11" t="str">
        <f t="shared" si="0"/>
        <v>1.지불 완료</v>
      </c>
      <c r="V5" s="8" t="s">
        <v>271</v>
      </c>
      <c r="W5" s="6" t="s">
        <v>635</v>
      </c>
      <c r="Z5" s="51"/>
    </row>
    <row r="6" spans="1:26" s="50" customFormat="1" x14ac:dyDescent="0.3">
      <c r="A6" s="67">
        <v>127</v>
      </c>
      <c r="B6" s="38">
        <v>45793</v>
      </c>
      <c r="C6" s="6" t="s">
        <v>611</v>
      </c>
      <c r="D6" s="59"/>
      <c r="E6" s="6" t="s">
        <v>613</v>
      </c>
      <c r="F6" s="56"/>
      <c r="G6" s="6" t="s">
        <v>615</v>
      </c>
      <c r="H6" s="56">
        <v>1</v>
      </c>
      <c r="I6" s="38">
        <v>45821</v>
      </c>
      <c r="J6" s="56" t="s">
        <v>387</v>
      </c>
      <c r="K6" s="38">
        <v>45793</v>
      </c>
      <c r="L6" s="60"/>
      <c r="M6" s="63">
        <v>92000</v>
      </c>
      <c r="N6" s="6" t="s">
        <v>511</v>
      </c>
      <c r="O6" s="6" t="s">
        <v>268</v>
      </c>
      <c r="P6" s="6" t="s">
        <v>78</v>
      </c>
      <c r="Q6" s="6" t="s">
        <v>368</v>
      </c>
      <c r="R6" s="6" t="s">
        <v>365</v>
      </c>
      <c r="S6" s="11" t="s">
        <v>625</v>
      </c>
      <c r="T6" s="10" t="s">
        <v>626</v>
      </c>
      <c r="U6" s="11" t="str">
        <f t="shared" si="0"/>
        <v>1.지불 완료</v>
      </c>
      <c r="V6" s="8" t="s">
        <v>271</v>
      </c>
      <c r="W6" s="6" t="s">
        <v>617</v>
      </c>
      <c r="Z6" s="51"/>
    </row>
    <row r="7" spans="1:26" s="50" customFormat="1" x14ac:dyDescent="0.3">
      <c r="A7" s="67">
        <v>126</v>
      </c>
      <c r="B7" s="37">
        <v>45793</v>
      </c>
      <c r="C7" s="1" t="s">
        <v>609</v>
      </c>
      <c r="D7" s="47"/>
      <c r="E7" s="1" t="s">
        <v>612</v>
      </c>
      <c r="F7" s="46"/>
      <c r="G7" s="1" t="s">
        <v>614</v>
      </c>
      <c r="H7" s="46">
        <v>1</v>
      </c>
      <c r="I7" s="37">
        <v>45905</v>
      </c>
      <c r="J7" s="46" t="s">
        <v>616</v>
      </c>
      <c r="K7" s="37"/>
      <c r="L7" s="48"/>
      <c r="M7" s="49">
        <v>1800000</v>
      </c>
      <c r="N7" s="5" t="s">
        <v>645</v>
      </c>
      <c r="O7" s="1" t="s">
        <v>268</v>
      </c>
      <c r="P7" s="1" t="s">
        <v>78</v>
      </c>
      <c r="Q7" s="1" t="s">
        <v>368</v>
      </c>
      <c r="R7" s="5" t="s">
        <v>642</v>
      </c>
      <c r="S7" s="5" t="s">
        <v>624</v>
      </c>
      <c r="T7" s="5" t="s">
        <v>623</v>
      </c>
      <c r="U7" s="35" t="str">
        <f t="shared" si="0"/>
        <v>1.지불 완료</v>
      </c>
      <c r="V7" s="5" t="s">
        <v>271</v>
      </c>
      <c r="W7" s="1" t="s">
        <v>618</v>
      </c>
      <c r="Z7" s="51"/>
    </row>
    <row r="8" spans="1:26" s="50" customFormat="1" x14ac:dyDescent="0.3">
      <c r="A8" s="67">
        <v>125</v>
      </c>
      <c r="B8" s="38">
        <v>45785</v>
      </c>
      <c r="C8" s="6" t="s">
        <v>40</v>
      </c>
      <c r="D8" s="59"/>
      <c r="E8" s="6" t="s">
        <v>603</v>
      </c>
      <c r="F8" s="56"/>
      <c r="G8" s="6" t="s">
        <v>604</v>
      </c>
      <c r="H8" s="56">
        <v>1</v>
      </c>
      <c r="I8" s="38">
        <v>45813</v>
      </c>
      <c r="J8" s="56" t="s">
        <v>387</v>
      </c>
      <c r="K8" s="38">
        <v>45838</v>
      </c>
      <c r="L8" s="60"/>
      <c r="M8" s="63">
        <v>6582000</v>
      </c>
      <c r="N8" s="6" t="s">
        <v>511</v>
      </c>
      <c r="O8" s="65" t="s">
        <v>607</v>
      </c>
      <c r="P8" s="8" t="s">
        <v>606</v>
      </c>
      <c r="Q8" s="6" t="s">
        <v>368</v>
      </c>
      <c r="R8" s="6" t="s">
        <v>365</v>
      </c>
      <c r="S8" s="11" t="s">
        <v>634</v>
      </c>
      <c r="T8" s="10" t="s">
        <v>643</v>
      </c>
      <c r="U8" s="11" t="str">
        <f t="shared" si="0"/>
        <v>1.지불 완료</v>
      </c>
      <c r="V8" s="8" t="s">
        <v>271</v>
      </c>
      <c r="W8" s="6" t="s">
        <v>605</v>
      </c>
      <c r="Z8" s="51"/>
    </row>
    <row r="9" spans="1:26" s="50" customFormat="1" x14ac:dyDescent="0.3">
      <c r="A9" s="67">
        <v>124</v>
      </c>
      <c r="B9" s="38">
        <v>45775</v>
      </c>
      <c r="C9" s="6" t="s">
        <v>23</v>
      </c>
      <c r="D9" s="59"/>
      <c r="E9" s="6" t="s">
        <v>596</v>
      </c>
      <c r="F9" s="56"/>
      <c r="G9" s="6" t="s">
        <v>597</v>
      </c>
      <c r="H9" s="56">
        <v>1</v>
      </c>
      <c r="I9" s="38">
        <v>45803</v>
      </c>
      <c r="J9" s="56" t="s">
        <v>59</v>
      </c>
      <c r="K9" s="38">
        <v>45775</v>
      </c>
      <c r="L9" s="60"/>
      <c r="M9" s="63">
        <v>1479800</v>
      </c>
      <c r="N9" s="6" t="s">
        <v>511</v>
      </c>
      <c r="O9" s="6" t="s">
        <v>268</v>
      </c>
      <c r="P9" s="6" t="s">
        <v>269</v>
      </c>
      <c r="Q9" s="6" t="s">
        <v>368</v>
      </c>
      <c r="R9" s="6" t="s">
        <v>365</v>
      </c>
      <c r="S9" s="6" t="s">
        <v>599</v>
      </c>
      <c r="T9" s="6" t="s">
        <v>600</v>
      </c>
      <c r="U9" s="11" t="str">
        <f t="shared" si="0"/>
        <v>1.지불 완료</v>
      </c>
      <c r="V9" s="8" t="s">
        <v>271</v>
      </c>
      <c r="W9" s="6" t="s">
        <v>598</v>
      </c>
      <c r="Z9" s="51"/>
    </row>
    <row r="10" spans="1:26" s="50" customFormat="1" x14ac:dyDescent="0.3">
      <c r="A10" s="67">
        <v>123</v>
      </c>
      <c r="B10" s="38">
        <v>45768</v>
      </c>
      <c r="C10" s="6" t="s">
        <v>502</v>
      </c>
      <c r="D10" s="59"/>
      <c r="E10" s="6" t="s">
        <v>619</v>
      </c>
      <c r="F10" s="56"/>
      <c r="G10" s="6" t="s">
        <v>548</v>
      </c>
      <c r="H10" s="56">
        <v>1</v>
      </c>
      <c r="I10" s="44">
        <v>45797</v>
      </c>
      <c r="J10" s="44"/>
      <c r="K10" s="44">
        <v>45797</v>
      </c>
      <c r="L10" s="60"/>
      <c r="M10" s="63">
        <v>10000000</v>
      </c>
      <c r="N10" s="6" t="s">
        <v>620</v>
      </c>
      <c r="O10" s="6" t="s">
        <v>268</v>
      </c>
      <c r="P10" s="6" t="s">
        <v>269</v>
      </c>
      <c r="Q10" s="6" t="s">
        <v>368</v>
      </c>
      <c r="R10" s="6" t="s">
        <v>580</v>
      </c>
      <c r="S10" s="8" t="s">
        <v>595</v>
      </c>
      <c r="T10" s="6" t="s">
        <v>621</v>
      </c>
      <c r="U10" s="11" t="str">
        <f t="shared" si="0"/>
        <v>1.지불 완료</v>
      </c>
      <c r="V10" s="8" t="s">
        <v>271</v>
      </c>
      <c r="W10" s="6" t="s">
        <v>622</v>
      </c>
      <c r="Z10" s="51"/>
    </row>
    <row r="11" spans="1:26" s="50" customFormat="1" x14ac:dyDescent="0.3">
      <c r="A11" s="50">
        <v>122</v>
      </c>
      <c r="B11" s="38">
        <v>45747</v>
      </c>
      <c r="C11" s="6" t="s">
        <v>433</v>
      </c>
      <c r="D11" s="59"/>
      <c r="E11" s="70" t="s">
        <v>569</v>
      </c>
      <c r="F11" s="56"/>
      <c r="G11" s="6" t="s">
        <v>431</v>
      </c>
      <c r="H11" s="56">
        <v>1</v>
      </c>
      <c r="I11" s="38">
        <v>45765</v>
      </c>
      <c r="J11" s="56"/>
      <c r="K11" s="38">
        <v>45765</v>
      </c>
      <c r="L11" s="60"/>
      <c r="M11" s="63">
        <v>1400000</v>
      </c>
      <c r="N11" s="6" t="s">
        <v>579</v>
      </c>
      <c r="O11" s="6" t="s">
        <v>268</v>
      </c>
      <c r="P11" s="6" t="s">
        <v>269</v>
      </c>
      <c r="Q11" s="6" t="s">
        <v>368</v>
      </c>
      <c r="R11" s="6" t="s">
        <v>580</v>
      </c>
      <c r="S11" s="8" t="s">
        <v>595</v>
      </c>
      <c r="T11" s="6" t="s">
        <v>600</v>
      </c>
      <c r="U11" s="11" t="str">
        <f t="shared" ref="U11:U16" si="1">IF(ISBLANK(T11)=FALSE, "1.지불 완료", IF(ISBLANK(R11)=FALSE, "2.공급 완료", "3.진행 중"))</f>
        <v>1.지불 완료</v>
      </c>
      <c r="V11" s="8" t="s">
        <v>583</v>
      </c>
      <c r="W11" s="6" t="s">
        <v>594</v>
      </c>
    </row>
    <row r="12" spans="1:26" s="50" customFormat="1" x14ac:dyDescent="0.3">
      <c r="A12" s="50">
        <v>121</v>
      </c>
      <c r="B12" s="38">
        <v>45743</v>
      </c>
      <c r="C12" s="6" t="s">
        <v>23</v>
      </c>
      <c r="D12" s="59"/>
      <c r="E12" s="6" t="s">
        <v>568</v>
      </c>
      <c r="F12" s="56"/>
      <c r="G12" s="6" t="s">
        <v>574</v>
      </c>
      <c r="H12" s="56">
        <v>1</v>
      </c>
      <c r="I12" s="38"/>
      <c r="J12" s="56" t="s">
        <v>387</v>
      </c>
      <c r="K12" s="38">
        <v>45744</v>
      </c>
      <c r="L12" s="60"/>
      <c r="M12" s="63">
        <v>3461900</v>
      </c>
      <c r="N12" s="6" t="s">
        <v>511</v>
      </c>
      <c r="O12" s="6" t="s">
        <v>268</v>
      </c>
      <c r="P12" s="6" t="s">
        <v>269</v>
      </c>
      <c r="Q12" s="6" t="s">
        <v>368</v>
      </c>
      <c r="R12" s="6" t="s">
        <v>365</v>
      </c>
      <c r="S12" s="6" t="s">
        <v>589</v>
      </c>
      <c r="T12" s="6" t="s">
        <v>582</v>
      </c>
      <c r="U12" s="11" t="str">
        <f t="shared" si="1"/>
        <v>1.지불 완료</v>
      </c>
      <c r="V12" s="8" t="s">
        <v>271</v>
      </c>
      <c r="W12" s="6" t="s">
        <v>593</v>
      </c>
    </row>
    <row r="13" spans="1:26" s="50" customFormat="1" x14ac:dyDescent="0.3">
      <c r="A13" s="50">
        <v>120</v>
      </c>
      <c r="B13" s="38">
        <v>45742</v>
      </c>
      <c r="C13" s="6" t="s">
        <v>245</v>
      </c>
      <c r="D13" s="59"/>
      <c r="E13" s="6" t="s">
        <v>567</v>
      </c>
      <c r="F13" s="56"/>
      <c r="G13" s="6" t="s">
        <v>573</v>
      </c>
      <c r="H13" s="56">
        <v>1</v>
      </c>
      <c r="I13" s="38"/>
      <c r="J13" s="56" t="s">
        <v>387</v>
      </c>
      <c r="K13" s="38">
        <v>45743</v>
      </c>
      <c r="L13" s="60"/>
      <c r="M13" s="63">
        <v>2665000</v>
      </c>
      <c r="N13" s="6" t="s">
        <v>511</v>
      </c>
      <c r="O13" s="6" t="s">
        <v>268</v>
      </c>
      <c r="P13" s="6" t="s">
        <v>187</v>
      </c>
      <c r="Q13" s="6" t="s">
        <v>368</v>
      </c>
      <c r="R13" s="6" t="s">
        <v>365</v>
      </c>
      <c r="S13" s="6" t="s">
        <v>589</v>
      </c>
      <c r="T13" s="6" t="s">
        <v>582</v>
      </c>
      <c r="U13" s="11" t="str">
        <f t="shared" si="1"/>
        <v>1.지불 완료</v>
      </c>
      <c r="V13" s="8" t="s">
        <v>271</v>
      </c>
      <c r="W13" s="6" t="s">
        <v>592</v>
      </c>
    </row>
    <row r="14" spans="1:26" s="50" customFormat="1" x14ac:dyDescent="0.3">
      <c r="A14" s="50">
        <v>119</v>
      </c>
      <c r="B14" s="38">
        <v>45736</v>
      </c>
      <c r="C14" s="6" t="s">
        <v>563</v>
      </c>
      <c r="D14" s="59"/>
      <c r="E14" s="6" t="s">
        <v>566</v>
      </c>
      <c r="F14" s="56"/>
      <c r="G14" s="6" t="s">
        <v>572</v>
      </c>
      <c r="H14" s="56">
        <v>1</v>
      </c>
      <c r="I14" s="38">
        <v>45778</v>
      </c>
      <c r="J14" s="56" t="s">
        <v>387</v>
      </c>
      <c r="K14" s="38">
        <v>45736</v>
      </c>
      <c r="L14" s="18">
        <v>670</v>
      </c>
      <c r="M14" s="63">
        <v>993409</v>
      </c>
      <c r="N14" s="6" t="s">
        <v>511</v>
      </c>
      <c r="O14" s="65" t="s">
        <v>576</v>
      </c>
      <c r="P14" s="13" t="s">
        <v>577</v>
      </c>
      <c r="Q14" s="6" t="s">
        <v>368</v>
      </c>
      <c r="R14" s="6" t="s">
        <v>365</v>
      </c>
      <c r="S14" s="6" t="s">
        <v>588</v>
      </c>
      <c r="T14" s="6" t="s">
        <v>582</v>
      </c>
      <c r="U14" s="11" t="str">
        <f t="shared" si="1"/>
        <v>1.지불 완료</v>
      </c>
      <c r="V14" s="8" t="s">
        <v>271</v>
      </c>
      <c r="W14" s="6" t="s">
        <v>591</v>
      </c>
    </row>
    <row r="15" spans="1:26" s="50" customFormat="1" x14ac:dyDescent="0.3">
      <c r="A15" s="50">
        <v>118</v>
      </c>
      <c r="B15" s="38">
        <v>45736</v>
      </c>
      <c r="C15" s="6" t="s">
        <v>308</v>
      </c>
      <c r="D15" s="59"/>
      <c r="E15" s="6" t="s">
        <v>565</v>
      </c>
      <c r="F15" s="56"/>
      <c r="G15" s="6" t="s">
        <v>571</v>
      </c>
      <c r="H15" s="56">
        <v>1</v>
      </c>
      <c r="I15" s="38">
        <v>45778</v>
      </c>
      <c r="J15" s="56" t="s">
        <v>578</v>
      </c>
      <c r="K15" s="38">
        <v>45763</v>
      </c>
      <c r="L15" s="60"/>
      <c r="M15" s="63">
        <v>576000</v>
      </c>
      <c r="N15" s="6" t="s">
        <v>511</v>
      </c>
      <c r="O15" s="6" t="s">
        <v>268</v>
      </c>
      <c r="P15" s="6" t="s">
        <v>187</v>
      </c>
      <c r="Q15" s="6" t="s">
        <v>368</v>
      </c>
      <c r="R15" s="6" t="s">
        <v>365</v>
      </c>
      <c r="S15" s="6" t="s">
        <v>599</v>
      </c>
      <c r="T15" s="6" t="s">
        <v>600</v>
      </c>
      <c r="U15" s="11" t="str">
        <f t="shared" si="1"/>
        <v>1.지불 완료</v>
      </c>
      <c r="V15" s="8" t="s">
        <v>271</v>
      </c>
      <c r="W15" s="6" t="s">
        <v>590</v>
      </c>
    </row>
    <row r="16" spans="1:26" s="50" customFormat="1" x14ac:dyDescent="0.3">
      <c r="A16" s="50">
        <v>117</v>
      </c>
      <c r="B16" s="38">
        <v>45735</v>
      </c>
      <c r="C16" s="6" t="s">
        <v>308</v>
      </c>
      <c r="D16" s="59"/>
      <c r="E16" s="6" t="s">
        <v>564</v>
      </c>
      <c r="F16" s="56"/>
      <c r="G16" s="6" t="s">
        <v>570</v>
      </c>
      <c r="H16" s="56">
        <v>2</v>
      </c>
      <c r="I16" s="38">
        <v>45763</v>
      </c>
      <c r="J16" s="56" t="s">
        <v>387</v>
      </c>
      <c r="K16" s="38">
        <v>45741</v>
      </c>
      <c r="L16" s="60"/>
      <c r="M16" s="63">
        <v>3794000</v>
      </c>
      <c r="N16" s="6" t="s">
        <v>511</v>
      </c>
      <c r="O16" s="65" t="s">
        <v>443</v>
      </c>
      <c r="P16" s="13" t="s">
        <v>575</v>
      </c>
      <c r="Q16" s="6" t="s">
        <v>368</v>
      </c>
      <c r="R16" s="6" t="s">
        <v>365</v>
      </c>
      <c r="S16" s="6" t="s">
        <v>581</v>
      </c>
      <c r="T16" s="6" t="s">
        <v>582</v>
      </c>
      <c r="U16" s="11" t="str">
        <f t="shared" si="1"/>
        <v>1.지불 완료</v>
      </c>
      <c r="V16" s="8" t="s">
        <v>271</v>
      </c>
      <c r="W16" s="6" t="s">
        <v>584</v>
      </c>
    </row>
    <row r="17" spans="1:23" s="50" customFormat="1" x14ac:dyDescent="0.3">
      <c r="A17" s="50">
        <v>116</v>
      </c>
      <c r="B17" s="38">
        <v>45730</v>
      </c>
      <c r="C17" s="6" t="s">
        <v>308</v>
      </c>
      <c r="D17" s="59"/>
      <c r="E17" s="6" t="s">
        <v>557</v>
      </c>
      <c r="F17" s="56"/>
      <c r="G17" s="6" t="s">
        <v>556</v>
      </c>
      <c r="H17" s="56">
        <v>250</v>
      </c>
      <c r="I17" s="38">
        <v>45758</v>
      </c>
      <c r="J17" s="56" t="s">
        <v>387</v>
      </c>
      <c r="K17" s="38">
        <v>45741</v>
      </c>
      <c r="L17" s="60"/>
      <c r="M17" s="63">
        <v>450000</v>
      </c>
      <c r="N17" s="6" t="s">
        <v>511</v>
      </c>
      <c r="O17" s="6" t="s">
        <v>268</v>
      </c>
      <c r="P17" s="6" t="s">
        <v>187</v>
      </c>
      <c r="Q17" s="6" t="s">
        <v>368</v>
      </c>
      <c r="R17" s="6" t="s">
        <v>365</v>
      </c>
      <c r="S17" s="6" t="s">
        <v>581</v>
      </c>
      <c r="T17" s="6" t="s">
        <v>582</v>
      </c>
      <c r="U17" s="11" t="str">
        <f t="shared" ref="U17:U18" si="2">IF(ISBLANK(T17)=FALSE, "1.지불 완료", IF(ISBLANK(R17)=FALSE, "2.공급 완료", "3.진행 중"))</f>
        <v>1.지불 완료</v>
      </c>
      <c r="V17" s="8" t="s">
        <v>271</v>
      </c>
      <c r="W17" s="6" t="s">
        <v>560</v>
      </c>
    </row>
    <row r="18" spans="1:23" s="50" customFormat="1" x14ac:dyDescent="0.3">
      <c r="A18" s="50">
        <v>115</v>
      </c>
      <c r="B18" s="38">
        <v>45726</v>
      </c>
      <c r="C18" s="6" t="s">
        <v>312</v>
      </c>
      <c r="D18" s="59"/>
      <c r="E18" s="6" t="s">
        <v>558</v>
      </c>
      <c r="F18" s="56"/>
      <c r="G18" s="6" t="s">
        <v>555</v>
      </c>
      <c r="H18" s="56">
        <v>1</v>
      </c>
      <c r="I18" s="38">
        <v>45754</v>
      </c>
      <c r="J18" s="56" t="s">
        <v>387</v>
      </c>
      <c r="K18" s="38">
        <v>45727</v>
      </c>
      <c r="L18" s="60"/>
      <c r="M18" s="58">
        <v>500000</v>
      </c>
      <c r="N18" s="6" t="s">
        <v>511</v>
      </c>
      <c r="O18" s="6" t="s">
        <v>268</v>
      </c>
      <c r="P18" s="6" t="s">
        <v>187</v>
      </c>
      <c r="Q18" s="6" t="s">
        <v>368</v>
      </c>
      <c r="R18" s="6" t="s">
        <v>365</v>
      </c>
      <c r="S18" s="6" t="s">
        <v>585</v>
      </c>
      <c r="T18" s="6" t="s">
        <v>582</v>
      </c>
      <c r="U18" s="11" t="str">
        <f t="shared" si="2"/>
        <v>1.지불 완료</v>
      </c>
      <c r="V18" s="8" t="s">
        <v>271</v>
      </c>
      <c r="W18" s="6" t="s">
        <v>559</v>
      </c>
    </row>
    <row r="19" spans="1:23" s="50" customFormat="1" x14ac:dyDescent="0.3">
      <c r="A19" s="50">
        <v>114</v>
      </c>
      <c r="B19" s="38">
        <v>45721</v>
      </c>
      <c r="C19" s="6" t="s">
        <v>539</v>
      </c>
      <c r="D19" s="59"/>
      <c r="E19" s="6" t="s">
        <v>540</v>
      </c>
      <c r="F19" s="56"/>
      <c r="G19" s="6" t="s">
        <v>541</v>
      </c>
      <c r="H19" s="56">
        <v>1000</v>
      </c>
      <c r="I19" s="38">
        <f>B19+28</f>
        <v>45749</v>
      </c>
      <c r="J19" s="56" t="s">
        <v>387</v>
      </c>
      <c r="K19" s="38">
        <v>45722</v>
      </c>
      <c r="L19" s="60"/>
      <c r="M19" s="58">
        <v>250000</v>
      </c>
      <c r="N19" s="6" t="s">
        <v>524</v>
      </c>
      <c r="O19" s="6" t="s">
        <v>268</v>
      </c>
      <c r="P19" s="6" t="s">
        <v>81</v>
      </c>
      <c r="Q19" s="6" t="s">
        <v>22</v>
      </c>
      <c r="R19" s="6" t="s">
        <v>77</v>
      </c>
      <c r="S19" s="6" t="s">
        <v>543</v>
      </c>
      <c r="T19" s="6" t="s">
        <v>544</v>
      </c>
      <c r="U19" s="11" t="str">
        <f t="shared" ref="U19" si="3">IF(ISBLANK(T19)=FALSE, "1.지불 완료", IF(ISBLANK(R19)=FALSE, "2.공급 완료", "3.진행 중"))</f>
        <v>1.지불 완료</v>
      </c>
      <c r="V19" s="8" t="s">
        <v>271</v>
      </c>
      <c r="W19" s="6" t="s">
        <v>542</v>
      </c>
    </row>
    <row r="20" spans="1:23" s="50" customFormat="1" x14ac:dyDescent="0.3">
      <c r="A20" s="50">
        <v>113</v>
      </c>
      <c r="B20" s="38">
        <v>45720</v>
      </c>
      <c r="C20" s="6" t="s">
        <v>546</v>
      </c>
      <c r="D20" s="59"/>
      <c r="E20" s="70" t="s">
        <v>551</v>
      </c>
      <c r="F20" s="56"/>
      <c r="G20" s="6" t="s">
        <v>431</v>
      </c>
      <c r="H20" s="56">
        <v>1</v>
      </c>
      <c r="I20" s="38">
        <v>45730</v>
      </c>
      <c r="J20" s="56"/>
      <c r="K20" s="38">
        <v>45730</v>
      </c>
      <c r="L20" s="60"/>
      <c r="M20" s="63">
        <v>800000</v>
      </c>
      <c r="N20" s="6" t="s">
        <v>552</v>
      </c>
      <c r="O20" s="6" t="s">
        <v>268</v>
      </c>
      <c r="P20" s="6" t="s">
        <v>269</v>
      </c>
      <c r="Q20" s="6" t="s">
        <v>368</v>
      </c>
      <c r="R20" s="6" t="s">
        <v>580</v>
      </c>
      <c r="S20" s="8" t="s">
        <v>327</v>
      </c>
      <c r="T20" s="6" t="s">
        <v>582</v>
      </c>
      <c r="U20" s="11" t="str">
        <f t="shared" ref="U20:U26" si="4">IF(ISBLANK(T20)=FALSE, "1.지불 완료", IF(ISBLANK(R20)=FALSE, "2.공급 완료", "3.진행 중"))</f>
        <v>1.지불 완료</v>
      </c>
      <c r="V20" s="8" t="s">
        <v>271</v>
      </c>
      <c r="W20" s="6" t="s">
        <v>554</v>
      </c>
    </row>
    <row r="21" spans="1:23" s="50" customFormat="1" x14ac:dyDescent="0.3">
      <c r="A21" s="50">
        <v>112</v>
      </c>
      <c r="B21" s="38">
        <v>45720</v>
      </c>
      <c r="C21" s="6" t="s">
        <v>433</v>
      </c>
      <c r="D21" s="59"/>
      <c r="E21" s="70" t="s">
        <v>550</v>
      </c>
      <c r="F21" s="56"/>
      <c r="G21" s="6" t="s">
        <v>431</v>
      </c>
      <c r="H21" s="56">
        <v>1</v>
      </c>
      <c r="I21" s="38">
        <v>45740</v>
      </c>
      <c r="J21" s="56"/>
      <c r="K21" s="38">
        <v>45747</v>
      </c>
      <c r="L21" s="60"/>
      <c r="M21" s="58">
        <v>1500000</v>
      </c>
      <c r="N21" s="6" t="s">
        <v>552</v>
      </c>
      <c r="O21" s="6" t="s">
        <v>268</v>
      </c>
      <c r="P21" s="6" t="s">
        <v>269</v>
      </c>
      <c r="Q21" s="6" t="s">
        <v>368</v>
      </c>
      <c r="R21" s="6" t="s">
        <v>580</v>
      </c>
      <c r="S21" s="8" t="s">
        <v>327</v>
      </c>
      <c r="T21" s="6" t="s">
        <v>582</v>
      </c>
      <c r="U21" s="11" t="str">
        <f t="shared" si="4"/>
        <v>1.지불 완료</v>
      </c>
      <c r="V21" s="8" t="s">
        <v>271</v>
      </c>
      <c r="W21" s="6" t="s">
        <v>553</v>
      </c>
    </row>
    <row r="22" spans="1:23" s="50" customFormat="1" x14ac:dyDescent="0.3">
      <c r="A22" s="50">
        <v>111</v>
      </c>
      <c r="B22" s="38">
        <v>45716</v>
      </c>
      <c r="C22" s="6" t="s">
        <v>75</v>
      </c>
      <c r="D22" s="59"/>
      <c r="E22" s="6" t="s">
        <v>518</v>
      </c>
      <c r="F22" s="56"/>
      <c r="G22" s="6" t="s">
        <v>522</v>
      </c>
      <c r="H22" s="56">
        <v>1</v>
      </c>
      <c r="I22" s="38">
        <v>45744</v>
      </c>
      <c r="J22" s="56" t="s">
        <v>387</v>
      </c>
      <c r="K22" s="38">
        <v>45716</v>
      </c>
      <c r="L22" s="60"/>
      <c r="M22" s="63">
        <v>1866000</v>
      </c>
      <c r="N22" s="6" t="s">
        <v>511</v>
      </c>
      <c r="O22" s="6" t="s">
        <v>268</v>
      </c>
      <c r="P22" s="6" t="s">
        <v>187</v>
      </c>
      <c r="Q22" s="6" t="s">
        <v>368</v>
      </c>
      <c r="R22" s="6" t="s">
        <v>77</v>
      </c>
      <c r="S22" s="6" t="s">
        <v>528</v>
      </c>
      <c r="T22" s="6" t="s">
        <v>545</v>
      </c>
      <c r="U22" s="11" t="str">
        <f t="shared" si="4"/>
        <v>1.지불 완료</v>
      </c>
      <c r="V22" s="8" t="s">
        <v>271</v>
      </c>
      <c r="W22" s="6" t="s">
        <v>537</v>
      </c>
    </row>
    <row r="23" spans="1:23" s="50" customFormat="1" x14ac:dyDescent="0.3">
      <c r="A23" s="50">
        <v>110</v>
      </c>
      <c r="B23" s="38">
        <v>45716</v>
      </c>
      <c r="C23" s="6" t="s">
        <v>23</v>
      </c>
      <c r="D23" s="59"/>
      <c r="E23" s="6" t="s">
        <v>517</v>
      </c>
      <c r="F23" s="56"/>
      <c r="G23" s="6" t="s">
        <v>521</v>
      </c>
      <c r="H23" s="56">
        <v>1</v>
      </c>
      <c r="I23" s="38">
        <v>45744</v>
      </c>
      <c r="J23" s="56" t="s">
        <v>387</v>
      </c>
      <c r="K23" s="38">
        <v>45716</v>
      </c>
      <c r="L23" s="60"/>
      <c r="M23" s="63">
        <v>2140340</v>
      </c>
      <c r="N23" s="6" t="s">
        <v>511</v>
      </c>
      <c r="O23" s="6" t="s">
        <v>268</v>
      </c>
      <c r="P23" s="6" t="s">
        <v>269</v>
      </c>
      <c r="Q23" s="6" t="s">
        <v>368</v>
      </c>
      <c r="R23" s="6" t="s">
        <v>77</v>
      </c>
      <c r="S23" s="6" t="s">
        <v>528</v>
      </c>
      <c r="T23" s="6" t="s">
        <v>545</v>
      </c>
      <c r="U23" s="11" t="str">
        <f t="shared" si="4"/>
        <v>1.지불 완료</v>
      </c>
      <c r="V23" s="8" t="s">
        <v>271</v>
      </c>
      <c r="W23" s="6" t="s">
        <v>525</v>
      </c>
    </row>
    <row r="24" spans="1:23" s="50" customFormat="1" x14ac:dyDescent="0.3">
      <c r="A24" s="50">
        <v>109</v>
      </c>
      <c r="B24" s="38">
        <v>45712</v>
      </c>
      <c r="C24" s="66" t="s">
        <v>514</v>
      </c>
      <c r="D24" s="59"/>
      <c r="E24" s="6" t="s">
        <v>516</v>
      </c>
      <c r="F24" s="56"/>
      <c r="G24" s="6" t="s">
        <v>520</v>
      </c>
      <c r="H24" s="56">
        <v>1</v>
      </c>
      <c r="I24" s="38">
        <v>45782</v>
      </c>
      <c r="J24" s="56" t="s">
        <v>523</v>
      </c>
      <c r="K24" s="38"/>
      <c r="L24" s="60"/>
      <c r="M24" s="63">
        <v>2611000</v>
      </c>
      <c r="N24" s="6" t="s">
        <v>524</v>
      </c>
      <c r="O24" s="6" t="s">
        <v>529</v>
      </c>
      <c r="P24" s="6" t="s">
        <v>530</v>
      </c>
      <c r="Q24" s="6" t="s">
        <v>368</v>
      </c>
      <c r="R24" s="8" t="s">
        <v>339</v>
      </c>
      <c r="S24" s="6" t="s">
        <v>586</v>
      </c>
      <c r="T24" s="6" t="s">
        <v>582</v>
      </c>
      <c r="U24" s="11" t="str">
        <f t="shared" si="4"/>
        <v>1.지불 완료</v>
      </c>
      <c r="V24" s="8" t="s">
        <v>271</v>
      </c>
      <c r="W24" s="6" t="s">
        <v>526</v>
      </c>
    </row>
    <row r="25" spans="1:23" s="50" customFormat="1" x14ac:dyDescent="0.3">
      <c r="A25" s="50">
        <v>108</v>
      </c>
      <c r="B25" s="38">
        <v>45712</v>
      </c>
      <c r="C25" s="62" t="s">
        <v>56</v>
      </c>
      <c r="D25" s="59"/>
      <c r="E25" s="6" t="s">
        <v>515</v>
      </c>
      <c r="F25" s="56"/>
      <c r="G25" s="6" t="s">
        <v>519</v>
      </c>
      <c r="H25" s="56">
        <v>1</v>
      </c>
      <c r="I25" s="38">
        <v>45740</v>
      </c>
      <c r="J25" s="56" t="s">
        <v>387</v>
      </c>
      <c r="K25" s="38">
        <v>45727</v>
      </c>
      <c r="L25" s="60"/>
      <c r="M25" s="63">
        <v>216000</v>
      </c>
      <c r="N25" s="6" t="s">
        <v>511</v>
      </c>
      <c r="O25" s="6" t="s">
        <v>268</v>
      </c>
      <c r="P25" s="6" t="s">
        <v>187</v>
      </c>
      <c r="Q25" s="6" t="s">
        <v>368</v>
      </c>
      <c r="R25" s="6" t="s">
        <v>365</v>
      </c>
      <c r="S25" s="6" t="s">
        <v>581</v>
      </c>
      <c r="T25" s="6" t="s">
        <v>582</v>
      </c>
      <c r="U25" s="11" t="str">
        <f t="shared" si="4"/>
        <v>1.지불 완료</v>
      </c>
      <c r="V25" s="8" t="s">
        <v>271</v>
      </c>
      <c r="W25" s="6" t="s">
        <v>527</v>
      </c>
    </row>
    <row r="26" spans="1:23" s="50" customFormat="1" x14ac:dyDescent="0.3">
      <c r="A26" s="50">
        <v>107</v>
      </c>
      <c r="B26" s="38">
        <v>45708</v>
      </c>
      <c r="C26" s="62" t="s">
        <v>502</v>
      </c>
      <c r="D26" s="59"/>
      <c r="E26" s="6" t="s">
        <v>547</v>
      </c>
      <c r="F26" s="56"/>
      <c r="G26" s="6" t="s">
        <v>548</v>
      </c>
      <c r="H26" s="56">
        <v>1</v>
      </c>
      <c r="I26" s="38">
        <v>45747</v>
      </c>
      <c r="J26" s="56"/>
      <c r="K26" s="38">
        <v>45747</v>
      </c>
      <c r="L26" s="60"/>
      <c r="M26" s="53">
        <v>5000000</v>
      </c>
      <c r="N26" s="6" t="s">
        <v>552</v>
      </c>
      <c r="O26" s="6" t="s">
        <v>268</v>
      </c>
      <c r="P26" s="6" t="s">
        <v>269</v>
      </c>
      <c r="Q26" s="6" t="s">
        <v>368</v>
      </c>
      <c r="R26" s="6" t="s">
        <v>580</v>
      </c>
      <c r="S26" s="8" t="s">
        <v>327</v>
      </c>
      <c r="T26" s="6" t="s">
        <v>582</v>
      </c>
      <c r="U26" s="11" t="str">
        <f t="shared" si="4"/>
        <v>1.지불 완료</v>
      </c>
      <c r="V26" s="8" t="s">
        <v>271</v>
      </c>
      <c r="W26" s="6" t="s">
        <v>549</v>
      </c>
    </row>
    <row r="27" spans="1:23" s="50" customFormat="1" x14ac:dyDescent="0.3">
      <c r="A27" s="50">
        <v>106</v>
      </c>
      <c r="B27" s="38">
        <v>45707</v>
      </c>
      <c r="C27" s="6" t="s">
        <v>248</v>
      </c>
      <c r="D27" s="59"/>
      <c r="E27" s="6" t="s">
        <v>508</v>
      </c>
      <c r="F27" s="56"/>
      <c r="G27" s="6" t="s">
        <v>509</v>
      </c>
      <c r="H27" s="56">
        <v>15</v>
      </c>
      <c r="I27" s="38">
        <v>45763</v>
      </c>
      <c r="J27" s="56" t="s">
        <v>510</v>
      </c>
      <c r="K27" s="38">
        <v>45712</v>
      </c>
      <c r="L27" s="60"/>
      <c r="M27" s="63">
        <v>99000</v>
      </c>
      <c r="N27" s="6" t="s">
        <v>511</v>
      </c>
      <c r="O27" s="6" t="s">
        <v>268</v>
      </c>
      <c r="P27" s="6" t="s">
        <v>269</v>
      </c>
      <c r="Q27" s="6" t="s">
        <v>368</v>
      </c>
      <c r="R27" s="6" t="s">
        <v>365</v>
      </c>
      <c r="S27" s="6" t="s">
        <v>531</v>
      </c>
      <c r="T27" s="6" t="s">
        <v>545</v>
      </c>
      <c r="U27" s="11" t="str">
        <f t="shared" ref="U27:U28" si="5">IF(ISBLANK(T27)=FALSE, "1.지불 완료", IF(ISBLANK(R27)=FALSE, "2.공급 완료", "3.진행 중"))</f>
        <v>1.지불 완료</v>
      </c>
      <c r="V27" s="8" t="s">
        <v>271</v>
      </c>
      <c r="W27" s="6" t="s">
        <v>513</v>
      </c>
    </row>
    <row r="28" spans="1:23" s="50" customFormat="1" x14ac:dyDescent="0.3">
      <c r="A28" s="50">
        <v>105</v>
      </c>
      <c r="B28" s="38">
        <v>45699</v>
      </c>
      <c r="C28" s="6" t="s">
        <v>248</v>
      </c>
      <c r="D28" s="59"/>
      <c r="E28" s="6" t="s">
        <v>426</v>
      </c>
      <c r="F28" s="56"/>
      <c r="G28" s="6" t="s">
        <v>427</v>
      </c>
      <c r="H28" s="56">
        <v>1</v>
      </c>
      <c r="I28" s="38">
        <v>45755</v>
      </c>
      <c r="J28" s="56" t="s">
        <v>420</v>
      </c>
      <c r="K28" s="38">
        <v>45712</v>
      </c>
      <c r="L28" s="60"/>
      <c r="M28" s="58">
        <v>2910000</v>
      </c>
      <c r="N28" s="6" t="s">
        <v>52</v>
      </c>
      <c r="O28" s="6" t="s">
        <v>268</v>
      </c>
      <c r="P28" s="6" t="s">
        <v>269</v>
      </c>
      <c r="Q28" s="6" t="s">
        <v>368</v>
      </c>
      <c r="R28" s="6" t="s">
        <v>365</v>
      </c>
      <c r="S28" s="6" t="s">
        <v>531</v>
      </c>
      <c r="T28" s="6" t="s">
        <v>544</v>
      </c>
      <c r="U28" s="11" t="str">
        <f t="shared" si="5"/>
        <v>1.지불 완료</v>
      </c>
      <c r="V28" s="8" t="s">
        <v>271</v>
      </c>
      <c r="W28" s="6" t="s">
        <v>428</v>
      </c>
    </row>
    <row r="29" spans="1:23" s="50" customFormat="1" x14ac:dyDescent="0.3">
      <c r="A29" s="50">
        <v>104</v>
      </c>
      <c r="B29" s="38">
        <v>45699</v>
      </c>
      <c r="C29" s="6" t="s">
        <v>56</v>
      </c>
      <c r="D29" s="59"/>
      <c r="E29" s="6" t="s">
        <v>423</v>
      </c>
      <c r="F29" s="56"/>
      <c r="G29" s="6" t="s">
        <v>424</v>
      </c>
      <c r="H29" s="56">
        <v>1</v>
      </c>
      <c r="I29" s="38">
        <f>B29+28</f>
        <v>45727</v>
      </c>
      <c r="J29" s="56" t="s">
        <v>387</v>
      </c>
      <c r="K29" s="38">
        <v>45700</v>
      </c>
      <c r="L29" s="60"/>
      <c r="M29" s="58">
        <v>735000</v>
      </c>
      <c r="N29" s="6" t="s">
        <v>52</v>
      </c>
      <c r="O29" s="6" t="s">
        <v>268</v>
      </c>
      <c r="P29" s="6" t="s">
        <v>187</v>
      </c>
      <c r="Q29" s="6" t="s">
        <v>368</v>
      </c>
      <c r="R29" s="6" t="s">
        <v>77</v>
      </c>
      <c r="S29" s="6" t="s">
        <v>532</v>
      </c>
      <c r="T29" s="6" t="s">
        <v>545</v>
      </c>
      <c r="U29" s="11" t="str">
        <f t="shared" ref="U29" si="6">IF(ISBLANK(T29)=FALSE, "1.지불 완료", IF(ISBLANK(R29)=FALSE, "2.공급 완료", "3.진행 중"))</f>
        <v>1.지불 완료</v>
      </c>
      <c r="V29" s="8" t="s">
        <v>271</v>
      </c>
      <c r="W29" s="6" t="s">
        <v>425</v>
      </c>
    </row>
    <row r="30" spans="1:23" s="50" customFormat="1" x14ac:dyDescent="0.3">
      <c r="A30" s="50">
        <v>103</v>
      </c>
      <c r="B30" s="38">
        <v>45698</v>
      </c>
      <c r="C30" s="6" t="s">
        <v>417</v>
      </c>
      <c r="D30" s="59"/>
      <c r="E30" s="6" t="s">
        <v>418</v>
      </c>
      <c r="F30" s="56"/>
      <c r="G30" s="6" t="s">
        <v>419</v>
      </c>
      <c r="H30" s="56">
        <v>1</v>
      </c>
      <c r="I30" s="38">
        <f>B30+56</f>
        <v>45754</v>
      </c>
      <c r="J30" s="56" t="s">
        <v>420</v>
      </c>
      <c r="K30" s="38">
        <v>45714</v>
      </c>
      <c r="L30" s="60"/>
      <c r="M30" s="63">
        <v>710000</v>
      </c>
      <c r="N30" s="6" t="s">
        <v>52</v>
      </c>
      <c r="O30" s="6" t="s">
        <v>268</v>
      </c>
      <c r="P30" s="6" t="s">
        <v>180</v>
      </c>
      <c r="Q30" s="6" t="s">
        <v>368</v>
      </c>
      <c r="R30" s="6" t="s">
        <v>77</v>
      </c>
      <c r="S30" s="6" t="s">
        <v>535</v>
      </c>
      <c r="T30" s="6" t="s">
        <v>545</v>
      </c>
      <c r="U30" s="11" t="str">
        <f t="shared" ref="U30" si="7">IF(ISBLANK(T30)=FALSE, "1.지불 완료", IF(ISBLANK(R30)=FALSE, "2.공급 완료", "3.진행 중"))</f>
        <v>1.지불 완료</v>
      </c>
      <c r="V30" s="8" t="s">
        <v>271</v>
      </c>
      <c r="W30" s="6" t="s">
        <v>421</v>
      </c>
    </row>
    <row r="31" spans="1:23" s="50" customFormat="1" x14ac:dyDescent="0.3">
      <c r="A31" s="50">
        <v>102</v>
      </c>
      <c r="B31" s="38">
        <v>45694</v>
      </c>
      <c r="C31" s="6" t="s">
        <v>408</v>
      </c>
      <c r="D31" s="59"/>
      <c r="E31" s="6" t="s">
        <v>409</v>
      </c>
      <c r="F31" s="56"/>
      <c r="G31" s="6" t="s">
        <v>410</v>
      </c>
      <c r="H31" s="56">
        <v>1</v>
      </c>
      <c r="I31" s="38">
        <v>45778</v>
      </c>
      <c r="J31" s="56" t="s">
        <v>411</v>
      </c>
      <c r="K31" s="38">
        <v>45729</v>
      </c>
      <c r="L31" s="60"/>
      <c r="M31" s="58">
        <v>9760500</v>
      </c>
      <c r="N31" s="6" t="s">
        <v>416</v>
      </c>
      <c r="O31" s="6" t="s">
        <v>268</v>
      </c>
      <c r="P31" s="6" t="s">
        <v>180</v>
      </c>
      <c r="Q31" s="6" t="s">
        <v>368</v>
      </c>
      <c r="R31" s="8" t="s">
        <v>339</v>
      </c>
      <c r="S31" s="6" t="s">
        <v>528</v>
      </c>
      <c r="T31" s="6" t="s">
        <v>545</v>
      </c>
      <c r="U31" s="11" t="str">
        <f t="shared" ref="U31:U98" si="8">IF(ISBLANK(T31)=FALSE, "1.지불 완료", IF(ISBLANK(R31)=FALSE, "2.공급 완료", "3.진행 중"))</f>
        <v>1.지불 완료</v>
      </c>
      <c r="V31" s="8" t="s">
        <v>271</v>
      </c>
      <c r="W31" s="6" t="s">
        <v>412</v>
      </c>
    </row>
    <row r="32" spans="1:23" s="50" customFormat="1" x14ac:dyDescent="0.3">
      <c r="A32" s="50">
        <v>101</v>
      </c>
      <c r="B32" s="38">
        <v>45691</v>
      </c>
      <c r="C32" s="6" t="s">
        <v>429</v>
      </c>
      <c r="D32" s="59"/>
      <c r="E32" s="6" t="s">
        <v>430</v>
      </c>
      <c r="F32" s="56"/>
      <c r="G32" s="6" t="s">
        <v>431</v>
      </c>
      <c r="H32" s="56">
        <v>1</v>
      </c>
      <c r="I32" s="38">
        <v>45716</v>
      </c>
      <c r="J32" s="38">
        <v>45716</v>
      </c>
      <c r="K32" s="38">
        <v>45716</v>
      </c>
      <c r="L32" s="60"/>
      <c r="M32" s="58">
        <v>2000000</v>
      </c>
      <c r="N32" s="64" t="s">
        <v>432</v>
      </c>
      <c r="O32" s="6" t="s">
        <v>268</v>
      </c>
      <c r="P32" s="6" t="s">
        <v>269</v>
      </c>
      <c r="Q32" s="6" t="s">
        <v>368</v>
      </c>
      <c r="R32" s="6" t="s">
        <v>160</v>
      </c>
      <c r="S32" s="8" t="s">
        <v>327</v>
      </c>
      <c r="T32" s="6" t="s">
        <v>545</v>
      </c>
      <c r="U32" s="11" t="str">
        <f t="shared" si="8"/>
        <v>1.지불 완료</v>
      </c>
      <c r="V32" s="8" t="s">
        <v>217</v>
      </c>
      <c r="W32" s="6" t="s">
        <v>536</v>
      </c>
    </row>
    <row r="33" spans="1:23" s="50" customFormat="1" x14ac:dyDescent="0.3">
      <c r="A33" s="50">
        <v>100</v>
      </c>
      <c r="B33" s="38">
        <v>45691</v>
      </c>
      <c r="C33" s="6" t="s">
        <v>433</v>
      </c>
      <c r="D33" s="59"/>
      <c r="E33" s="6" t="s">
        <v>434</v>
      </c>
      <c r="F33" s="56"/>
      <c r="G33" s="6" t="s">
        <v>431</v>
      </c>
      <c r="H33" s="56">
        <v>1</v>
      </c>
      <c r="I33" s="38">
        <v>45716</v>
      </c>
      <c r="J33" s="38">
        <v>45716</v>
      </c>
      <c r="K33" s="38">
        <v>45716</v>
      </c>
      <c r="L33" s="60"/>
      <c r="M33" s="58">
        <v>2000000</v>
      </c>
      <c r="N33" s="64" t="s">
        <v>432</v>
      </c>
      <c r="O33" s="6" t="s">
        <v>268</v>
      </c>
      <c r="P33" s="6" t="s">
        <v>269</v>
      </c>
      <c r="Q33" s="6" t="s">
        <v>368</v>
      </c>
      <c r="R33" s="6" t="s">
        <v>160</v>
      </c>
      <c r="S33" s="8" t="s">
        <v>327</v>
      </c>
      <c r="T33" s="6" t="s">
        <v>545</v>
      </c>
      <c r="U33" s="11" t="str">
        <f t="shared" si="8"/>
        <v>1.지불 완료</v>
      </c>
      <c r="V33" s="8" t="s">
        <v>217</v>
      </c>
      <c r="W33" s="6" t="s">
        <v>435</v>
      </c>
    </row>
    <row r="34" spans="1:23" s="50" customFormat="1" x14ac:dyDescent="0.3">
      <c r="A34" s="50">
        <v>99</v>
      </c>
      <c r="B34" s="38">
        <v>45681</v>
      </c>
      <c r="C34" s="6" t="s">
        <v>23</v>
      </c>
      <c r="D34" s="59"/>
      <c r="E34" s="6" t="s">
        <v>403</v>
      </c>
      <c r="F34" s="56"/>
      <c r="G34" s="6" t="s">
        <v>405</v>
      </c>
      <c r="H34" s="56">
        <v>1</v>
      </c>
      <c r="I34" s="38">
        <f>B34+28</f>
        <v>45709</v>
      </c>
      <c r="J34" s="56" t="s">
        <v>387</v>
      </c>
      <c r="K34" s="38">
        <v>45681</v>
      </c>
      <c r="L34" s="60"/>
      <c r="M34" s="58">
        <v>1335200</v>
      </c>
      <c r="N34" s="6" t="s">
        <v>277</v>
      </c>
      <c r="O34" s="6" t="s">
        <v>268</v>
      </c>
      <c r="P34" s="6" t="s">
        <v>269</v>
      </c>
      <c r="Q34" s="6" t="s">
        <v>22</v>
      </c>
      <c r="R34" s="6" t="s">
        <v>77</v>
      </c>
      <c r="S34" s="6" t="s">
        <v>393</v>
      </c>
      <c r="T34" s="6" t="s">
        <v>415</v>
      </c>
      <c r="U34" s="11" t="str">
        <f t="shared" si="8"/>
        <v>1.지불 완료</v>
      </c>
      <c r="V34" s="8" t="s">
        <v>271</v>
      </c>
      <c r="W34" s="6" t="s">
        <v>402</v>
      </c>
    </row>
    <row r="35" spans="1:23" s="50" customFormat="1" x14ac:dyDescent="0.3">
      <c r="A35" s="50">
        <v>98</v>
      </c>
      <c r="B35" s="38">
        <v>45681</v>
      </c>
      <c r="C35" s="6" t="s">
        <v>23</v>
      </c>
      <c r="D35" s="59"/>
      <c r="E35" s="6" t="s">
        <v>400</v>
      </c>
      <c r="F35" s="56"/>
      <c r="G35" s="6" t="s">
        <v>404</v>
      </c>
      <c r="H35" s="56">
        <v>1</v>
      </c>
      <c r="I35" s="38">
        <f>B35+28</f>
        <v>45709</v>
      </c>
      <c r="J35" s="56" t="s">
        <v>387</v>
      </c>
      <c r="K35" s="38">
        <v>45677</v>
      </c>
      <c r="L35" s="60"/>
      <c r="M35" s="58">
        <v>1039000</v>
      </c>
      <c r="N35" s="6" t="s">
        <v>277</v>
      </c>
      <c r="O35" s="6" t="s">
        <v>268</v>
      </c>
      <c r="P35" s="6" t="s">
        <v>269</v>
      </c>
      <c r="Q35" s="6" t="s">
        <v>22</v>
      </c>
      <c r="R35" s="6" t="s">
        <v>77</v>
      </c>
      <c r="S35" s="6" t="s">
        <v>407</v>
      </c>
      <c r="T35" s="6" t="s">
        <v>415</v>
      </c>
      <c r="U35" s="11" t="str">
        <f t="shared" si="8"/>
        <v>1.지불 완료</v>
      </c>
      <c r="V35" s="8" t="s">
        <v>271</v>
      </c>
      <c r="W35" s="6" t="s">
        <v>401</v>
      </c>
    </row>
    <row r="36" spans="1:23" s="50" customFormat="1" x14ac:dyDescent="0.3">
      <c r="A36" s="50">
        <v>97</v>
      </c>
      <c r="B36" s="38">
        <v>45680</v>
      </c>
      <c r="C36" s="6" t="s">
        <v>395</v>
      </c>
      <c r="D36" s="59"/>
      <c r="E36" s="6" t="s">
        <v>399</v>
      </c>
      <c r="F36" s="56"/>
      <c r="G36" s="6" t="s">
        <v>398</v>
      </c>
      <c r="H36" s="56">
        <v>1</v>
      </c>
      <c r="I36" s="38">
        <f>B36+42</f>
        <v>45722</v>
      </c>
      <c r="J36" s="56" t="s">
        <v>59</v>
      </c>
      <c r="K36" s="38">
        <v>45740</v>
      </c>
      <c r="L36" s="60"/>
      <c r="M36" s="58">
        <v>29900000</v>
      </c>
      <c r="N36" s="6" t="s">
        <v>397</v>
      </c>
      <c r="O36" s="6" t="s">
        <v>268</v>
      </c>
      <c r="P36" s="6" t="s">
        <v>187</v>
      </c>
      <c r="Q36" s="6" t="s">
        <v>22</v>
      </c>
      <c r="R36" s="6" t="s">
        <v>365</v>
      </c>
      <c r="S36" s="6" t="s">
        <v>587</v>
      </c>
      <c r="T36" s="6" t="s">
        <v>582</v>
      </c>
      <c r="U36" s="11" t="str">
        <f t="shared" si="8"/>
        <v>1.지불 완료</v>
      </c>
      <c r="V36" s="8" t="s">
        <v>271</v>
      </c>
      <c r="W36" s="6" t="s">
        <v>396</v>
      </c>
    </row>
    <row r="37" spans="1:23" s="50" customFormat="1" x14ac:dyDescent="0.3">
      <c r="A37" s="50">
        <v>96</v>
      </c>
      <c r="B37" s="38">
        <v>45680</v>
      </c>
      <c r="C37" s="6" t="s">
        <v>248</v>
      </c>
      <c r="D37" s="59"/>
      <c r="E37" s="6" t="s">
        <v>390</v>
      </c>
      <c r="F37" s="56"/>
      <c r="G37" s="6" t="s">
        <v>391</v>
      </c>
      <c r="H37" s="56">
        <v>1</v>
      </c>
      <c r="I37" s="38">
        <f>B37+28</f>
        <v>45708</v>
      </c>
      <c r="J37" s="56" t="s">
        <v>387</v>
      </c>
      <c r="K37" s="38">
        <v>45693</v>
      </c>
      <c r="L37" s="60"/>
      <c r="M37" s="58">
        <v>34280</v>
      </c>
      <c r="N37" s="6" t="s">
        <v>26</v>
      </c>
      <c r="O37" s="6" t="s">
        <v>268</v>
      </c>
      <c r="P37" s="6" t="s">
        <v>269</v>
      </c>
      <c r="Q37" s="6" t="s">
        <v>22</v>
      </c>
      <c r="R37" s="6" t="s">
        <v>77</v>
      </c>
      <c r="S37" s="6" t="s">
        <v>533</v>
      </c>
      <c r="T37" s="6" t="s">
        <v>545</v>
      </c>
      <c r="U37" s="11" t="str">
        <f t="shared" si="8"/>
        <v>1.지불 완료</v>
      </c>
      <c r="V37" s="8" t="s">
        <v>271</v>
      </c>
      <c r="W37" s="6" t="s">
        <v>392</v>
      </c>
    </row>
    <row r="38" spans="1:23" s="50" customFormat="1" x14ac:dyDescent="0.3">
      <c r="A38" s="50">
        <v>95</v>
      </c>
      <c r="B38" s="38">
        <v>45680</v>
      </c>
      <c r="C38" s="6" t="s">
        <v>245</v>
      </c>
      <c r="D38" s="59"/>
      <c r="E38" s="6" t="s">
        <v>385</v>
      </c>
      <c r="F38" s="56"/>
      <c r="G38" s="6" t="s">
        <v>386</v>
      </c>
      <c r="H38" s="56">
        <v>1</v>
      </c>
      <c r="I38" s="38">
        <f>B38+28</f>
        <v>45708</v>
      </c>
      <c r="J38" s="56" t="s">
        <v>387</v>
      </c>
      <c r="K38" s="38">
        <v>45680</v>
      </c>
      <c r="L38" s="60"/>
      <c r="M38" s="58">
        <v>6319200</v>
      </c>
      <c r="N38" s="6" t="s">
        <v>26</v>
      </c>
      <c r="O38" s="6" t="s">
        <v>268</v>
      </c>
      <c r="P38" s="61" t="s">
        <v>78</v>
      </c>
      <c r="Q38" s="6" t="s">
        <v>368</v>
      </c>
      <c r="R38" s="10" t="s">
        <v>77</v>
      </c>
      <c r="S38" s="6" t="s">
        <v>393</v>
      </c>
      <c r="T38" s="6" t="s">
        <v>415</v>
      </c>
      <c r="U38" s="11" t="str">
        <f t="shared" si="8"/>
        <v>1.지불 완료</v>
      </c>
      <c r="V38" s="8" t="s">
        <v>271</v>
      </c>
      <c r="W38" s="6" t="s">
        <v>388</v>
      </c>
    </row>
    <row r="39" spans="1:23" s="50" customFormat="1" x14ac:dyDescent="0.3">
      <c r="A39" s="50">
        <v>94</v>
      </c>
      <c r="B39" s="38">
        <v>45673</v>
      </c>
      <c r="C39" s="6" t="s">
        <v>239</v>
      </c>
      <c r="D39" s="59"/>
      <c r="E39" s="6" t="s">
        <v>384</v>
      </c>
      <c r="F39" s="56"/>
      <c r="G39" s="6" t="s">
        <v>216</v>
      </c>
      <c r="H39" s="56">
        <v>1</v>
      </c>
      <c r="I39" s="38">
        <v>45680</v>
      </c>
      <c r="J39" s="56" t="s">
        <v>387</v>
      </c>
      <c r="K39" s="38">
        <v>45680</v>
      </c>
      <c r="L39" s="60"/>
      <c r="M39" s="58">
        <v>180000</v>
      </c>
      <c r="N39" s="6" t="s">
        <v>26</v>
      </c>
      <c r="O39" s="6" t="s">
        <v>268</v>
      </c>
      <c r="P39" s="61" t="s">
        <v>78</v>
      </c>
      <c r="Q39" s="6" t="s">
        <v>368</v>
      </c>
      <c r="R39" s="10" t="s">
        <v>77</v>
      </c>
      <c r="S39" s="6" t="s">
        <v>394</v>
      </c>
      <c r="T39" s="6" t="s">
        <v>415</v>
      </c>
      <c r="U39" s="11" t="str">
        <f t="shared" si="8"/>
        <v>1.지불 완료</v>
      </c>
      <c r="V39" s="8" t="s">
        <v>271</v>
      </c>
      <c r="W39" s="62" t="s">
        <v>414</v>
      </c>
    </row>
    <row r="40" spans="1:23" s="50" customFormat="1" x14ac:dyDescent="0.3">
      <c r="A40" s="50">
        <v>93</v>
      </c>
      <c r="B40" s="38">
        <v>45673</v>
      </c>
      <c r="C40" s="62" t="s">
        <v>56</v>
      </c>
      <c r="D40" s="59"/>
      <c r="E40" s="6" t="s">
        <v>381</v>
      </c>
      <c r="F40" s="56"/>
      <c r="G40" s="62" t="s">
        <v>382</v>
      </c>
      <c r="H40" s="56">
        <v>1</v>
      </c>
      <c r="I40" s="38">
        <v>45680</v>
      </c>
      <c r="J40" s="56" t="s">
        <v>387</v>
      </c>
      <c r="K40" s="38">
        <v>45666</v>
      </c>
      <c r="L40" s="60"/>
      <c r="M40" s="58">
        <v>582000</v>
      </c>
      <c r="N40" s="6" t="s">
        <v>26</v>
      </c>
      <c r="O40" s="6" t="s">
        <v>268</v>
      </c>
      <c r="P40" s="61" t="s">
        <v>78</v>
      </c>
      <c r="Q40" s="6" t="s">
        <v>368</v>
      </c>
      <c r="R40" s="10" t="s">
        <v>77</v>
      </c>
      <c r="S40" s="6" t="s">
        <v>393</v>
      </c>
      <c r="T40" s="6" t="s">
        <v>415</v>
      </c>
      <c r="U40" s="11" t="str">
        <f t="shared" si="8"/>
        <v>1.지불 완료</v>
      </c>
      <c r="V40" s="8" t="s">
        <v>271</v>
      </c>
      <c r="W40" s="62" t="s">
        <v>383</v>
      </c>
    </row>
    <row r="41" spans="1:23" s="50" customFormat="1" x14ac:dyDescent="0.3">
      <c r="A41" s="50">
        <v>92</v>
      </c>
      <c r="B41" s="38">
        <v>45670</v>
      </c>
      <c r="C41" s="6" t="s">
        <v>248</v>
      </c>
      <c r="D41" s="59"/>
      <c r="E41" s="6" t="s">
        <v>356</v>
      </c>
      <c r="F41" s="56"/>
      <c r="G41" s="6" t="s">
        <v>357</v>
      </c>
      <c r="H41" s="56">
        <v>80</v>
      </c>
      <c r="I41" s="38">
        <v>45684</v>
      </c>
      <c r="J41" s="56" t="s">
        <v>512</v>
      </c>
      <c r="K41" s="38">
        <v>45712</v>
      </c>
      <c r="L41" s="60"/>
      <c r="M41" s="58">
        <v>13088000</v>
      </c>
      <c r="N41" s="6" t="s">
        <v>358</v>
      </c>
      <c r="O41" s="6" t="s">
        <v>268</v>
      </c>
      <c r="P41" s="6" t="s">
        <v>359</v>
      </c>
      <c r="Q41" s="62" t="s">
        <v>22</v>
      </c>
      <c r="R41" s="6" t="s">
        <v>365</v>
      </c>
      <c r="S41" s="6" t="s">
        <v>531</v>
      </c>
      <c r="T41" s="6" t="s">
        <v>545</v>
      </c>
      <c r="U41" s="11" t="str">
        <f t="shared" si="8"/>
        <v>1.지불 완료</v>
      </c>
      <c r="V41" s="8" t="s">
        <v>271</v>
      </c>
      <c r="W41" s="6" t="s">
        <v>363</v>
      </c>
    </row>
    <row r="42" spans="1:23" x14ac:dyDescent="0.3">
      <c r="A42" s="50">
        <v>91</v>
      </c>
      <c r="B42" s="38">
        <v>45666</v>
      </c>
      <c r="C42" s="6" t="s">
        <v>245</v>
      </c>
      <c r="D42" s="24"/>
      <c r="E42" s="6" t="s">
        <v>349</v>
      </c>
      <c r="F42" s="6"/>
      <c r="G42" s="6" t="s">
        <v>350</v>
      </c>
      <c r="H42" s="6">
        <v>1</v>
      </c>
      <c r="I42" s="38">
        <v>45694</v>
      </c>
      <c r="J42" s="56" t="s">
        <v>387</v>
      </c>
      <c r="K42" s="38">
        <v>45680</v>
      </c>
      <c r="L42" s="15"/>
      <c r="M42" s="58">
        <v>1048000</v>
      </c>
      <c r="N42" s="6" t="s">
        <v>352</v>
      </c>
      <c r="O42" s="6" t="s">
        <v>268</v>
      </c>
      <c r="P42" s="6" t="s">
        <v>351</v>
      </c>
      <c r="Q42" s="6" t="s">
        <v>368</v>
      </c>
      <c r="R42" s="10" t="s">
        <v>77</v>
      </c>
      <c r="S42" s="6" t="s">
        <v>393</v>
      </c>
      <c r="T42" s="6" t="s">
        <v>415</v>
      </c>
      <c r="U42" s="11" t="str">
        <f t="shared" si="8"/>
        <v>1.지불 완료</v>
      </c>
      <c r="V42" s="8" t="s">
        <v>271</v>
      </c>
      <c r="W42" s="6" t="s">
        <v>354</v>
      </c>
    </row>
    <row r="43" spans="1:23" x14ac:dyDescent="0.3">
      <c r="A43" s="50">
        <v>90</v>
      </c>
      <c r="B43" s="38">
        <v>45666</v>
      </c>
      <c r="C43" s="6" t="s">
        <v>345</v>
      </c>
      <c r="D43" s="24" t="s">
        <v>346</v>
      </c>
      <c r="E43" s="6" t="s">
        <v>347</v>
      </c>
      <c r="F43" s="6"/>
      <c r="G43" s="6" t="s">
        <v>348</v>
      </c>
      <c r="H43" s="6">
        <v>1</v>
      </c>
      <c r="I43" s="38">
        <v>45680</v>
      </c>
      <c r="J43" s="56" t="s">
        <v>512</v>
      </c>
      <c r="K43" s="38">
        <v>45677</v>
      </c>
      <c r="L43" s="15"/>
      <c r="M43" s="58">
        <v>2356000</v>
      </c>
      <c r="N43" s="6" t="s">
        <v>352</v>
      </c>
      <c r="O43" s="6" t="s">
        <v>268</v>
      </c>
      <c r="P43" s="6" t="s">
        <v>351</v>
      </c>
      <c r="Q43" s="6" t="s">
        <v>368</v>
      </c>
      <c r="R43" s="6" t="s">
        <v>77</v>
      </c>
      <c r="S43" s="6" t="s">
        <v>407</v>
      </c>
      <c r="T43" s="6" t="s">
        <v>415</v>
      </c>
      <c r="U43" s="11" t="str">
        <f t="shared" si="8"/>
        <v>1.지불 완료</v>
      </c>
      <c r="V43" s="8" t="s">
        <v>271</v>
      </c>
      <c r="W43" s="6" t="s">
        <v>353</v>
      </c>
    </row>
    <row r="44" spans="1:23" x14ac:dyDescent="0.3">
      <c r="A44" s="50">
        <v>89</v>
      </c>
      <c r="B44" s="38">
        <v>45659</v>
      </c>
      <c r="C44" s="6" t="s">
        <v>336</v>
      </c>
      <c r="D44" s="24" t="s">
        <v>337</v>
      </c>
      <c r="E44" s="6" t="s">
        <v>338</v>
      </c>
      <c r="F44" s="6"/>
      <c r="G44" s="6" t="s">
        <v>361</v>
      </c>
      <c r="H44" s="6">
        <v>1</v>
      </c>
      <c r="I44" s="38">
        <f>B44+14</f>
        <v>45673</v>
      </c>
      <c r="J44" s="56"/>
      <c r="K44" s="38">
        <v>45677</v>
      </c>
      <c r="L44" s="15"/>
      <c r="M44" s="53">
        <v>3300000</v>
      </c>
      <c r="N44" s="8" t="s">
        <v>339</v>
      </c>
      <c r="O44" s="6" t="s">
        <v>268</v>
      </c>
      <c r="P44" s="6" t="s">
        <v>180</v>
      </c>
      <c r="Q44" s="6" t="s">
        <v>22</v>
      </c>
      <c r="R44" s="10" t="s">
        <v>77</v>
      </c>
      <c r="S44" s="11" t="s">
        <v>344</v>
      </c>
      <c r="T44" s="6" t="s">
        <v>367</v>
      </c>
      <c r="U44" s="11" t="str">
        <f t="shared" si="8"/>
        <v>1.지불 완료</v>
      </c>
      <c r="V44" s="8" t="s">
        <v>271</v>
      </c>
      <c r="W44" s="6" t="s">
        <v>340</v>
      </c>
    </row>
    <row r="45" spans="1:23" x14ac:dyDescent="0.3">
      <c r="A45" s="50">
        <v>88</v>
      </c>
      <c r="B45" s="38">
        <v>45659</v>
      </c>
      <c r="C45" s="6" t="s">
        <v>332</v>
      </c>
      <c r="D45" s="6" t="s">
        <v>335</v>
      </c>
      <c r="E45" s="71" t="s">
        <v>360</v>
      </c>
      <c r="F45" s="6"/>
      <c r="G45" s="6" t="s">
        <v>333</v>
      </c>
      <c r="H45" s="6">
        <v>2</v>
      </c>
      <c r="I45" s="38">
        <f>B45</f>
        <v>45659</v>
      </c>
      <c r="J45" s="56"/>
      <c r="K45" s="38">
        <v>45659</v>
      </c>
      <c r="L45" s="15"/>
      <c r="M45" s="53">
        <v>368000</v>
      </c>
      <c r="N45" s="6" t="s">
        <v>370</v>
      </c>
      <c r="O45" s="6" t="s">
        <v>268</v>
      </c>
      <c r="P45" s="6" t="s">
        <v>362</v>
      </c>
      <c r="Q45" s="6" t="s">
        <v>22</v>
      </c>
      <c r="R45" s="10" t="s">
        <v>77</v>
      </c>
      <c r="S45" s="11" t="s">
        <v>366</v>
      </c>
      <c r="T45" s="6" t="s">
        <v>371</v>
      </c>
      <c r="U45" s="11" t="str">
        <f t="shared" si="8"/>
        <v>1.지불 완료</v>
      </c>
      <c r="V45" s="8" t="s">
        <v>271</v>
      </c>
      <c r="W45" s="6" t="s">
        <v>334</v>
      </c>
    </row>
    <row r="46" spans="1:23" x14ac:dyDescent="0.3">
      <c r="A46" s="50">
        <v>87</v>
      </c>
      <c r="B46" s="42">
        <v>45653</v>
      </c>
      <c r="C46" s="6" t="s">
        <v>245</v>
      </c>
      <c r="D46" s="24"/>
      <c r="E46" s="6" t="s">
        <v>253</v>
      </c>
      <c r="F46" s="6"/>
      <c r="G46" s="6" t="s">
        <v>261</v>
      </c>
      <c r="H46" s="6">
        <v>680</v>
      </c>
      <c r="I46" s="38">
        <f>B46+4</f>
        <v>45657</v>
      </c>
      <c r="J46" s="56"/>
      <c r="K46" s="38">
        <v>45657</v>
      </c>
      <c r="L46" s="9"/>
      <c r="M46" s="53">
        <v>6898800</v>
      </c>
      <c r="N46" s="6" t="s">
        <v>35</v>
      </c>
      <c r="O46" s="6" t="s">
        <v>268</v>
      </c>
      <c r="P46" s="6" t="s">
        <v>180</v>
      </c>
      <c r="Q46" s="6" t="s">
        <v>22</v>
      </c>
      <c r="R46" s="10" t="s">
        <v>77</v>
      </c>
      <c r="S46" s="11" t="s">
        <v>341</v>
      </c>
      <c r="T46" s="6" t="s">
        <v>355</v>
      </c>
      <c r="U46" s="11" t="str">
        <f t="shared" si="8"/>
        <v>1.지불 완료</v>
      </c>
      <c r="V46" s="8" t="s">
        <v>271</v>
      </c>
      <c r="W46" s="6" t="s">
        <v>272</v>
      </c>
    </row>
    <row r="47" spans="1:23" x14ac:dyDescent="0.3">
      <c r="A47" s="50">
        <v>86</v>
      </c>
      <c r="B47" s="42">
        <v>45653</v>
      </c>
      <c r="C47" s="6" t="s">
        <v>246</v>
      </c>
      <c r="D47" s="24" t="s">
        <v>249</v>
      </c>
      <c r="E47" s="6" t="s">
        <v>254</v>
      </c>
      <c r="F47" s="6"/>
      <c r="G47" s="6" t="s">
        <v>262</v>
      </c>
      <c r="H47" s="6">
        <v>70</v>
      </c>
      <c r="I47" s="38">
        <f>B47+4*7</f>
        <v>45681</v>
      </c>
      <c r="J47" s="56"/>
      <c r="K47" s="38">
        <v>45666</v>
      </c>
      <c r="L47" s="9"/>
      <c r="M47" s="53">
        <v>270000</v>
      </c>
      <c r="N47" s="6" t="s">
        <v>14</v>
      </c>
      <c r="O47" s="6" t="s">
        <v>268</v>
      </c>
      <c r="P47" s="6" t="s">
        <v>269</v>
      </c>
      <c r="Q47" s="6" t="s">
        <v>368</v>
      </c>
      <c r="R47" s="6" t="s">
        <v>77</v>
      </c>
      <c r="S47" s="6" t="s">
        <v>393</v>
      </c>
      <c r="T47" s="6" t="s">
        <v>415</v>
      </c>
      <c r="U47" s="11" t="str">
        <f t="shared" si="8"/>
        <v>1.지불 완료</v>
      </c>
      <c r="V47" s="8" t="s">
        <v>271</v>
      </c>
      <c r="W47" s="6" t="s">
        <v>273</v>
      </c>
    </row>
    <row r="48" spans="1:23" x14ac:dyDescent="0.3">
      <c r="A48" s="50">
        <v>85</v>
      </c>
      <c r="B48" s="42">
        <v>45652</v>
      </c>
      <c r="C48" s="6" t="s">
        <v>247</v>
      </c>
      <c r="D48" s="24" t="s">
        <v>251</v>
      </c>
      <c r="E48" s="6" t="s">
        <v>256</v>
      </c>
      <c r="F48" s="6"/>
      <c r="G48" s="6" t="s">
        <v>264</v>
      </c>
      <c r="H48" s="7">
        <v>1</v>
      </c>
      <c r="I48" s="38">
        <f>B48+10</f>
        <v>45662</v>
      </c>
      <c r="J48" s="56"/>
      <c r="K48" s="38">
        <v>45652</v>
      </c>
      <c r="L48" s="9"/>
      <c r="M48" s="53">
        <v>718600</v>
      </c>
      <c r="N48" s="6" t="s">
        <v>352</v>
      </c>
      <c r="O48" s="6" t="s">
        <v>268</v>
      </c>
      <c r="P48" s="6" t="s">
        <v>269</v>
      </c>
      <c r="Q48" s="6" t="s">
        <v>22</v>
      </c>
      <c r="R48" s="10" t="s">
        <v>77</v>
      </c>
      <c r="S48" s="6" t="s">
        <v>281</v>
      </c>
      <c r="T48" s="6" t="s">
        <v>286</v>
      </c>
      <c r="U48" s="11" t="str">
        <f t="shared" si="8"/>
        <v>1.지불 완료</v>
      </c>
      <c r="V48" s="8" t="s">
        <v>271</v>
      </c>
      <c r="W48" s="6" t="s">
        <v>285</v>
      </c>
    </row>
    <row r="49" spans="1:23" x14ac:dyDescent="0.3">
      <c r="A49" s="50">
        <v>84</v>
      </c>
      <c r="B49" s="42">
        <v>45652</v>
      </c>
      <c r="C49" s="6" t="s">
        <v>247</v>
      </c>
      <c r="D49" s="24" t="s">
        <v>252</v>
      </c>
      <c r="E49" s="6" t="s">
        <v>257</v>
      </c>
      <c r="F49" s="6"/>
      <c r="G49" s="6" t="s">
        <v>265</v>
      </c>
      <c r="H49" s="7">
        <v>1</v>
      </c>
      <c r="I49" s="38">
        <f>B49+10</f>
        <v>45662</v>
      </c>
      <c r="J49" s="56"/>
      <c r="K49" s="38">
        <v>45652</v>
      </c>
      <c r="L49" s="9"/>
      <c r="M49" s="53">
        <v>1304260</v>
      </c>
      <c r="N49" s="6" t="s">
        <v>277</v>
      </c>
      <c r="O49" s="6" t="s">
        <v>268</v>
      </c>
      <c r="P49" s="6" t="s">
        <v>269</v>
      </c>
      <c r="Q49" s="6" t="s">
        <v>22</v>
      </c>
      <c r="R49" s="10" t="s">
        <v>77</v>
      </c>
      <c r="S49" s="6" t="s">
        <v>281</v>
      </c>
      <c r="T49" s="6" t="s">
        <v>286</v>
      </c>
      <c r="U49" s="11" t="str">
        <f t="shared" si="8"/>
        <v>1.지불 완료</v>
      </c>
      <c r="V49" s="8" t="s">
        <v>271</v>
      </c>
      <c r="W49" s="6" t="s">
        <v>279</v>
      </c>
    </row>
    <row r="50" spans="1:23" x14ac:dyDescent="0.3">
      <c r="A50" s="50">
        <v>83</v>
      </c>
      <c r="B50" s="42">
        <v>45650</v>
      </c>
      <c r="C50" s="6" t="s">
        <v>248</v>
      </c>
      <c r="D50" s="24"/>
      <c r="E50" s="6" t="s">
        <v>258</v>
      </c>
      <c r="F50" s="6"/>
      <c r="G50" s="6" t="s">
        <v>284</v>
      </c>
      <c r="H50" s="6">
        <v>110</v>
      </c>
      <c r="I50" s="38">
        <f>B50+15</f>
        <v>45665</v>
      </c>
      <c r="J50" s="56"/>
      <c r="K50" s="38">
        <v>45646</v>
      </c>
      <c r="L50" s="9"/>
      <c r="M50" s="53">
        <v>1300000</v>
      </c>
      <c r="N50" s="6" t="s">
        <v>26</v>
      </c>
      <c r="O50" s="6" t="s">
        <v>268</v>
      </c>
      <c r="P50" s="6" t="s">
        <v>269</v>
      </c>
      <c r="Q50" s="6" t="s">
        <v>22</v>
      </c>
      <c r="R50" s="10" t="s">
        <v>77</v>
      </c>
      <c r="S50" s="6" t="s">
        <v>280</v>
      </c>
      <c r="T50" s="6" t="s">
        <v>286</v>
      </c>
      <c r="U50" s="11" t="str">
        <f t="shared" si="8"/>
        <v>1.지불 완료</v>
      </c>
      <c r="V50" s="8" t="s">
        <v>271</v>
      </c>
      <c r="W50" s="6" t="s">
        <v>274</v>
      </c>
    </row>
    <row r="51" spans="1:23" x14ac:dyDescent="0.3">
      <c r="A51" s="50">
        <v>82</v>
      </c>
      <c r="B51" s="42">
        <v>45650</v>
      </c>
      <c r="C51" s="6" t="s">
        <v>248</v>
      </c>
      <c r="D51" s="24"/>
      <c r="E51" s="6" t="s">
        <v>259</v>
      </c>
      <c r="F51" s="6"/>
      <c r="G51" s="6" t="s">
        <v>266</v>
      </c>
      <c r="H51" s="6">
        <v>70</v>
      </c>
      <c r="I51" s="38">
        <f>B51+15</f>
        <v>45665</v>
      </c>
      <c r="J51" s="56"/>
      <c r="K51" s="38">
        <v>45673</v>
      </c>
      <c r="L51" s="9"/>
      <c r="M51" s="53">
        <v>6209000</v>
      </c>
      <c r="N51" s="6" t="s">
        <v>277</v>
      </c>
      <c r="O51" s="6" t="s">
        <v>268</v>
      </c>
      <c r="P51" s="6" t="s">
        <v>269</v>
      </c>
      <c r="Q51" s="6" t="s">
        <v>368</v>
      </c>
      <c r="R51" s="6" t="s">
        <v>364</v>
      </c>
      <c r="S51" s="6" t="s">
        <v>393</v>
      </c>
      <c r="T51" s="6" t="s">
        <v>415</v>
      </c>
      <c r="U51" s="11" t="str">
        <f t="shared" si="8"/>
        <v>1.지불 완료</v>
      </c>
      <c r="V51" s="8" t="s">
        <v>271</v>
      </c>
      <c r="W51" s="6" t="s">
        <v>275</v>
      </c>
    </row>
    <row r="52" spans="1:23" x14ac:dyDescent="0.3">
      <c r="A52" s="50">
        <v>81</v>
      </c>
      <c r="B52" s="42">
        <v>45650</v>
      </c>
      <c r="C52" s="6" t="s">
        <v>248</v>
      </c>
      <c r="D52" s="24"/>
      <c r="E52" s="6" t="s">
        <v>260</v>
      </c>
      <c r="F52" s="6"/>
      <c r="G52" s="6" t="s">
        <v>267</v>
      </c>
      <c r="H52" s="6">
        <v>70</v>
      </c>
      <c r="I52" s="38">
        <f>B52+15</f>
        <v>45665</v>
      </c>
      <c r="J52" s="56"/>
      <c r="K52" s="44">
        <v>45656</v>
      </c>
      <c r="L52" s="9"/>
      <c r="M52" s="53">
        <v>3010000</v>
      </c>
      <c r="N52" s="6" t="s">
        <v>358</v>
      </c>
      <c r="O52" s="6" t="s">
        <v>268</v>
      </c>
      <c r="P52" s="6" t="s">
        <v>269</v>
      </c>
      <c r="Q52" s="6" t="s">
        <v>22</v>
      </c>
      <c r="R52" s="10" t="s">
        <v>77</v>
      </c>
      <c r="S52" s="6" t="s">
        <v>283</v>
      </c>
      <c r="T52" s="6" t="s">
        <v>286</v>
      </c>
      <c r="U52" s="11" t="str">
        <f t="shared" si="8"/>
        <v>1.지불 완료</v>
      </c>
      <c r="V52" s="8" t="s">
        <v>271</v>
      </c>
      <c r="W52" s="6" t="s">
        <v>276</v>
      </c>
    </row>
    <row r="53" spans="1:23" x14ac:dyDescent="0.3">
      <c r="A53" s="50">
        <v>80</v>
      </c>
      <c r="B53" s="42">
        <v>45646</v>
      </c>
      <c r="C53" s="6" t="s">
        <v>502</v>
      </c>
      <c r="D53" s="24"/>
      <c r="E53" s="6" t="s">
        <v>503</v>
      </c>
      <c r="F53" s="6">
        <v>1</v>
      </c>
      <c r="G53" s="6" t="s">
        <v>504</v>
      </c>
      <c r="H53" s="6">
        <v>1</v>
      </c>
      <c r="I53" s="38">
        <v>45716</v>
      </c>
      <c r="J53" s="38">
        <v>45716</v>
      </c>
      <c r="K53" s="38">
        <v>45716</v>
      </c>
      <c r="L53" s="9"/>
      <c r="M53" s="53">
        <v>5000000</v>
      </c>
      <c r="N53" s="6" t="s">
        <v>506</v>
      </c>
      <c r="O53" s="6" t="s">
        <v>268</v>
      </c>
      <c r="P53" s="6" t="s">
        <v>269</v>
      </c>
      <c r="Q53" s="6" t="s">
        <v>22</v>
      </c>
      <c r="R53" s="6" t="s">
        <v>160</v>
      </c>
      <c r="S53" s="8" t="s">
        <v>327</v>
      </c>
      <c r="T53" s="6" t="s">
        <v>545</v>
      </c>
      <c r="U53" s="11" t="str">
        <f t="shared" si="8"/>
        <v>1.지불 완료</v>
      </c>
      <c r="V53" s="8" t="s">
        <v>217</v>
      </c>
      <c r="W53" s="6" t="s">
        <v>505</v>
      </c>
    </row>
    <row r="54" spans="1:23" x14ac:dyDescent="0.3">
      <c r="A54" s="50">
        <v>79</v>
      </c>
      <c r="B54" s="42">
        <v>45645</v>
      </c>
      <c r="C54" s="6" t="s">
        <v>75</v>
      </c>
      <c r="D54" s="23" t="s">
        <v>43</v>
      </c>
      <c r="E54" s="6" t="s">
        <v>211</v>
      </c>
      <c r="F54" s="6">
        <v>1</v>
      </c>
      <c r="G54" s="6" t="s">
        <v>212</v>
      </c>
      <c r="H54" s="6">
        <v>210</v>
      </c>
      <c r="I54" s="39">
        <f>B54+7*4</f>
        <v>45673</v>
      </c>
      <c r="J54" s="56"/>
      <c r="K54" s="38">
        <v>45645</v>
      </c>
      <c r="L54" s="9"/>
      <c r="M54" s="53">
        <v>320000</v>
      </c>
      <c r="N54" s="6" t="s">
        <v>35</v>
      </c>
      <c r="O54" s="6" t="s">
        <v>268</v>
      </c>
      <c r="P54" s="6" t="s">
        <v>78</v>
      </c>
      <c r="Q54" s="6" t="s">
        <v>22</v>
      </c>
      <c r="R54" s="10" t="s">
        <v>77</v>
      </c>
      <c r="S54" s="6" t="s">
        <v>280</v>
      </c>
      <c r="T54" s="6" t="s">
        <v>286</v>
      </c>
      <c r="U54" s="11" t="str">
        <f t="shared" si="8"/>
        <v>1.지불 완료</v>
      </c>
      <c r="V54" s="8" t="s">
        <v>271</v>
      </c>
      <c r="W54" s="6" t="s">
        <v>243</v>
      </c>
    </row>
    <row r="55" spans="1:23" x14ac:dyDescent="0.3">
      <c r="A55" s="50">
        <v>78</v>
      </c>
      <c r="B55" s="42">
        <v>45645</v>
      </c>
      <c r="C55" s="6" t="s">
        <v>239</v>
      </c>
      <c r="D55" s="24" t="s">
        <v>215</v>
      </c>
      <c r="E55" s="6" t="s">
        <v>369</v>
      </c>
      <c r="F55" s="6">
        <v>1</v>
      </c>
      <c r="G55" s="6" t="s">
        <v>216</v>
      </c>
      <c r="H55" s="6">
        <v>100</v>
      </c>
      <c r="I55" s="39">
        <f>B55+7*4</f>
        <v>45673</v>
      </c>
      <c r="J55" s="56"/>
      <c r="K55" s="39">
        <v>45659</v>
      </c>
      <c r="L55" s="9"/>
      <c r="M55" s="53">
        <v>180000</v>
      </c>
      <c r="N55" s="6" t="s">
        <v>52</v>
      </c>
      <c r="O55" s="6" t="s">
        <v>268</v>
      </c>
      <c r="P55" s="6" t="s">
        <v>78</v>
      </c>
      <c r="Q55" s="6" t="s">
        <v>22</v>
      </c>
      <c r="R55" s="6" t="s">
        <v>365</v>
      </c>
      <c r="S55" s="11" t="s">
        <v>366</v>
      </c>
      <c r="T55" s="6" t="s">
        <v>371</v>
      </c>
      <c r="U55" s="11" t="str">
        <f t="shared" si="8"/>
        <v>1.지불 완료</v>
      </c>
      <c r="V55" s="13" t="s">
        <v>271</v>
      </c>
      <c r="W55" s="6" t="s">
        <v>240</v>
      </c>
    </row>
    <row r="56" spans="1:23" x14ac:dyDescent="0.3">
      <c r="A56" s="50">
        <v>77</v>
      </c>
      <c r="B56" s="42">
        <v>45644</v>
      </c>
      <c r="C56" s="6" t="s">
        <v>238</v>
      </c>
      <c r="D56" s="24" t="s">
        <v>242</v>
      </c>
      <c r="E56" s="6" t="s">
        <v>213</v>
      </c>
      <c r="F56" s="6">
        <v>1</v>
      </c>
      <c r="G56" s="15" t="s">
        <v>214</v>
      </c>
      <c r="H56" s="6">
        <v>300</v>
      </c>
      <c r="I56" s="39">
        <f>B56+7*4</f>
        <v>45672</v>
      </c>
      <c r="J56" s="56"/>
      <c r="K56" s="38">
        <v>45644</v>
      </c>
      <c r="L56" s="9"/>
      <c r="M56" s="53">
        <v>270000</v>
      </c>
      <c r="N56" s="6" t="s">
        <v>52</v>
      </c>
      <c r="O56" s="6" t="s">
        <v>268</v>
      </c>
      <c r="P56" s="6" t="s">
        <v>78</v>
      </c>
      <c r="Q56" s="6" t="s">
        <v>22</v>
      </c>
      <c r="R56" s="10" t="s">
        <v>77</v>
      </c>
      <c r="S56" s="11" t="s">
        <v>341</v>
      </c>
      <c r="T56" s="6" t="s">
        <v>371</v>
      </c>
      <c r="U56" s="11" t="str">
        <f t="shared" si="8"/>
        <v>1.지불 완료</v>
      </c>
      <c r="V56" s="13" t="s">
        <v>271</v>
      </c>
      <c r="W56" s="6" t="s">
        <v>241</v>
      </c>
    </row>
    <row r="57" spans="1:23" x14ac:dyDescent="0.3">
      <c r="A57" s="50">
        <v>76</v>
      </c>
      <c r="B57" s="42">
        <v>45642</v>
      </c>
      <c r="C57" s="6" t="s">
        <v>56</v>
      </c>
      <c r="D57" s="24" t="s">
        <v>184</v>
      </c>
      <c r="E57" s="6" t="s">
        <v>185</v>
      </c>
      <c r="F57" s="6">
        <v>1</v>
      </c>
      <c r="G57" s="6" t="s">
        <v>186</v>
      </c>
      <c r="H57" s="6">
        <v>400</v>
      </c>
      <c r="I57" s="39">
        <f>B57+7*4</f>
        <v>45670</v>
      </c>
      <c r="J57" s="56" t="s">
        <v>59</v>
      </c>
      <c r="K57" s="38">
        <v>45639</v>
      </c>
      <c r="L57" s="9"/>
      <c r="M57" s="53">
        <v>1080000</v>
      </c>
      <c r="N57" s="6" t="s">
        <v>52</v>
      </c>
      <c r="O57" s="6" t="s">
        <v>63</v>
      </c>
      <c r="P57" s="6" t="s">
        <v>187</v>
      </c>
      <c r="Q57" s="6" t="s">
        <v>22</v>
      </c>
      <c r="R57" s="10" t="s">
        <v>77</v>
      </c>
      <c r="S57" s="11" t="s">
        <v>341</v>
      </c>
      <c r="T57" s="6" t="s">
        <v>355</v>
      </c>
      <c r="U57" s="11" t="str">
        <f t="shared" si="8"/>
        <v>1.지불 완료</v>
      </c>
      <c r="V57" s="8" t="s">
        <v>49</v>
      </c>
      <c r="W57" s="6" t="s">
        <v>188</v>
      </c>
    </row>
    <row r="58" spans="1:23" x14ac:dyDescent="0.3">
      <c r="A58" s="50">
        <v>75</v>
      </c>
      <c r="B58" s="43">
        <v>45639</v>
      </c>
      <c r="C58" s="6" t="s">
        <v>75</v>
      </c>
      <c r="D58" s="23" t="s">
        <v>43</v>
      </c>
      <c r="E58" s="6" t="s">
        <v>166</v>
      </c>
      <c r="F58" s="6">
        <v>1</v>
      </c>
      <c r="G58" s="6" t="s">
        <v>163</v>
      </c>
      <c r="H58" s="7">
        <v>1</v>
      </c>
      <c r="I58" s="39">
        <f>B58+7*4</f>
        <v>45667</v>
      </c>
      <c r="J58" s="56" t="s">
        <v>13</v>
      </c>
      <c r="K58" s="39">
        <v>45625</v>
      </c>
      <c r="L58" s="9"/>
      <c r="M58" s="53">
        <v>536000</v>
      </c>
      <c r="N58" s="6" t="s">
        <v>35</v>
      </c>
      <c r="O58" s="6" t="s">
        <v>63</v>
      </c>
      <c r="P58" s="6" t="s">
        <v>78</v>
      </c>
      <c r="Q58" s="6" t="s">
        <v>22</v>
      </c>
      <c r="R58" s="10" t="s">
        <v>77</v>
      </c>
      <c r="S58" s="6" t="s">
        <v>164</v>
      </c>
      <c r="T58" s="6" t="s">
        <v>236</v>
      </c>
      <c r="U58" s="11" t="str">
        <f t="shared" si="8"/>
        <v>1.지불 완료</v>
      </c>
      <c r="V58" s="8" t="s">
        <v>49</v>
      </c>
      <c r="W58" s="20" t="s">
        <v>165</v>
      </c>
    </row>
    <row r="59" spans="1:23" x14ac:dyDescent="0.3">
      <c r="A59" s="50">
        <v>74</v>
      </c>
      <c r="B59" s="41">
        <v>45637</v>
      </c>
      <c r="C59" s="17" t="s">
        <v>152</v>
      </c>
      <c r="D59" s="22"/>
      <c r="E59" s="17" t="s">
        <v>153</v>
      </c>
      <c r="F59" s="1">
        <v>1</v>
      </c>
      <c r="G59" s="17" t="s">
        <v>158</v>
      </c>
      <c r="H59" s="31">
        <v>1</v>
      </c>
      <c r="I59" s="40">
        <v>45716</v>
      </c>
      <c r="J59" s="40"/>
      <c r="K59" s="37"/>
      <c r="L59" s="4"/>
      <c r="M59" s="54">
        <f>6000000/2</f>
        <v>3000000</v>
      </c>
      <c r="N59" s="32" t="s">
        <v>322</v>
      </c>
      <c r="O59" s="17" t="s">
        <v>156</v>
      </c>
      <c r="P59" s="17" t="s">
        <v>155</v>
      </c>
      <c r="Q59" s="1" t="s">
        <v>22</v>
      </c>
      <c r="R59" s="17"/>
      <c r="S59" s="1"/>
      <c r="T59" s="32"/>
      <c r="U59" s="35" t="str">
        <f t="shared" si="8"/>
        <v>3.진행 중</v>
      </c>
      <c r="V59" s="5" t="s">
        <v>217</v>
      </c>
      <c r="W59" s="17" t="s">
        <v>154</v>
      </c>
    </row>
    <row r="60" spans="1:23" x14ac:dyDescent="0.3">
      <c r="A60" s="50">
        <v>73</v>
      </c>
      <c r="B60" s="42">
        <v>45637</v>
      </c>
      <c r="C60" s="20" t="s">
        <v>152</v>
      </c>
      <c r="D60" s="24"/>
      <c r="E60" s="20" t="s">
        <v>153</v>
      </c>
      <c r="F60" s="6">
        <v>1</v>
      </c>
      <c r="G60" s="20" t="s">
        <v>158</v>
      </c>
      <c r="H60" s="7">
        <v>1</v>
      </c>
      <c r="I60" s="39">
        <v>45716</v>
      </c>
      <c r="J60" s="39"/>
      <c r="K60" s="38"/>
      <c r="L60" s="9"/>
      <c r="M60" s="53">
        <f>6000000/2</f>
        <v>3000000</v>
      </c>
      <c r="N60" s="33" t="s">
        <v>323</v>
      </c>
      <c r="O60" s="20" t="s">
        <v>156</v>
      </c>
      <c r="P60" s="20" t="s">
        <v>155</v>
      </c>
      <c r="Q60" s="6" t="s">
        <v>22</v>
      </c>
      <c r="R60" s="20" t="s">
        <v>219</v>
      </c>
      <c r="S60" s="8" t="s">
        <v>327</v>
      </c>
      <c r="T60" s="33" t="s">
        <v>324</v>
      </c>
      <c r="U60" s="11" t="str">
        <f t="shared" si="8"/>
        <v>1.지불 완료</v>
      </c>
      <c r="V60" s="8" t="s">
        <v>217</v>
      </c>
      <c r="W60" s="20" t="s">
        <v>154</v>
      </c>
    </row>
    <row r="61" spans="1:23" x14ac:dyDescent="0.3">
      <c r="A61" s="50">
        <v>72</v>
      </c>
      <c r="B61" s="42">
        <v>45629</v>
      </c>
      <c r="C61" s="6" t="s">
        <v>247</v>
      </c>
      <c r="D61" s="24" t="s">
        <v>250</v>
      </c>
      <c r="E61" s="6" t="s">
        <v>255</v>
      </c>
      <c r="F61" s="6"/>
      <c r="G61" s="6" t="s">
        <v>263</v>
      </c>
      <c r="H61" s="6">
        <v>110</v>
      </c>
      <c r="I61" s="38">
        <f>B61+10</f>
        <v>45639</v>
      </c>
      <c r="J61" s="56"/>
      <c r="K61" s="44">
        <v>45641</v>
      </c>
      <c r="L61" s="9"/>
      <c r="M61" s="53">
        <v>1575350</v>
      </c>
      <c r="N61" s="6" t="s">
        <v>277</v>
      </c>
      <c r="O61" s="6" t="s">
        <v>268</v>
      </c>
      <c r="P61" s="6" t="s">
        <v>269</v>
      </c>
      <c r="Q61" s="6" t="s">
        <v>270</v>
      </c>
      <c r="R61" s="10" t="s">
        <v>77</v>
      </c>
      <c r="S61" s="6" t="s">
        <v>282</v>
      </c>
      <c r="T61" s="6" t="s">
        <v>286</v>
      </c>
      <c r="U61" s="11" t="str">
        <f t="shared" si="8"/>
        <v>1.지불 완료</v>
      </c>
      <c r="V61" s="8" t="s">
        <v>271</v>
      </c>
      <c r="W61" s="6" t="s">
        <v>278</v>
      </c>
    </row>
    <row r="62" spans="1:23" x14ac:dyDescent="0.3">
      <c r="A62" s="50">
        <v>71</v>
      </c>
      <c r="B62" s="39">
        <v>45621</v>
      </c>
      <c r="C62" s="6" t="s">
        <v>23</v>
      </c>
      <c r="D62" s="24" t="s">
        <v>133</v>
      </c>
      <c r="E62" s="6" t="s">
        <v>134</v>
      </c>
      <c r="F62" s="6">
        <v>1</v>
      </c>
      <c r="G62" s="6" t="s">
        <v>135</v>
      </c>
      <c r="H62" s="7">
        <v>1</v>
      </c>
      <c r="I62" s="39"/>
      <c r="J62" s="56"/>
      <c r="K62" s="39">
        <v>45623</v>
      </c>
      <c r="L62" s="12"/>
      <c r="M62" s="55">
        <v>1898190</v>
      </c>
      <c r="N62" s="6" t="s">
        <v>26</v>
      </c>
      <c r="O62" s="6" t="s">
        <v>63</v>
      </c>
      <c r="P62" s="6" t="s">
        <v>125</v>
      </c>
      <c r="Q62" s="6" t="s">
        <v>22</v>
      </c>
      <c r="R62" s="6" t="s">
        <v>117</v>
      </c>
      <c r="S62" s="6" t="s">
        <v>146</v>
      </c>
      <c r="T62" s="6" t="s">
        <v>171</v>
      </c>
      <c r="U62" s="11" t="str">
        <f t="shared" si="8"/>
        <v>1.지불 완료</v>
      </c>
      <c r="V62" s="8" t="s">
        <v>49</v>
      </c>
      <c r="W62" s="6" t="s">
        <v>136</v>
      </c>
    </row>
    <row r="63" spans="1:23" x14ac:dyDescent="0.3">
      <c r="A63" s="50">
        <v>70</v>
      </c>
      <c r="B63" s="39">
        <v>45608</v>
      </c>
      <c r="C63" s="6" t="s">
        <v>23</v>
      </c>
      <c r="D63" s="24" t="s">
        <v>141</v>
      </c>
      <c r="E63" s="6" t="s">
        <v>142</v>
      </c>
      <c r="F63" s="6">
        <v>1</v>
      </c>
      <c r="G63" s="6" t="s">
        <v>143</v>
      </c>
      <c r="H63" s="7">
        <v>1</v>
      </c>
      <c r="I63" s="39"/>
      <c r="J63" s="56"/>
      <c r="K63" s="39">
        <v>45616</v>
      </c>
      <c r="L63" s="12"/>
      <c r="M63" s="55">
        <v>480500</v>
      </c>
      <c r="N63" s="6" t="s">
        <v>26</v>
      </c>
      <c r="O63" s="6" t="s">
        <v>63</v>
      </c>
      <c r="P63" s="6" t="s">
        <v>62</v>
      </c>
      <c r="Q63" s="6" t="s">
        <v>22</v>
      </c>
      <c r="R63" s="6" t="s">
        <v>117</v>
      </c>
      <c r="S63" s="6" t="s">
        <v>146</v>
      </c>
      <c r="T63" s="6" t="s">
        <v>171</v>
      </c>
      <c r="U63" s="11" t="str">
        <f t="shared" si="8"/>
        <v>1.지불 완료</v>
      </c>
      <c r="V63" s="8" t="s">
        <v>49</v>
      </c>
      <c r="W63" s="6" t="s">
        <v>144</v>
      </c>
    </row>
    <row r="64" spans="1:23" x14ac:dyDescent="0.3">
      <c r="A64" s="50">
        <v>69</v>
      </c>
      <c r="B64" s="39">
        <v>45608</v>
      </c>
      <c r="C64" s="6" t="s">
        <v>23</v>
      </c>
      <c r="D64" s="24" t="s">
        <v>137</v>
      </c>
      <c r="E64" s="6" t="s">
        <v>138</v>
      </c>
      <c r="F64" s="6">
        <v>1</v>
      </c>
      <c r="G64" s="6" t="s">
        <v>139</v>
      </c>
      <c r="H64" s="7">
        <v>1</v>
      </c>
      <c r="I64" s="39"/>
      <c r="J64" s="56"/>
      <c r="K64" s="39">
        <v>45616</v>
      </c>
      <c r="L64" s="9"/>
      <c r="M64" s="53">
        <v>788260</v>
      </c>
      <c r="N64" s="6" t="s">
        <v>26</v>
      </c>
      <c r="O64" s="6" t="s">
        <v>63</v>
      </c>
      <c r="P64" s="6" t="s">
        <v>62</v>
      </c>
      <c r="Q64" s="6" t="s">
        <v>22</v>
      </c>
      <c r="R64" s="6" t="s">
        <v>117</v>
      </c>
      <c r="S64" s="6" t="s">
        <v>146</v>
      </c>
      <c r="T64" s="6" t="s">
        <v>171</v>
      </c>
      <c r="U64" s="11" t="str">
        <f t="shared" si="8"/>
        <v>1.지불 완료</v>
      </c>
      <c r="V64" s="8" t="s">
        <v>49</v>
      </c>
      <c r="W64" s="6" t="s">
        <v>140</v>
      </c>
    </row>
    <row r="65" spans="1:24" x14ac:dyDescent="0.3">
      <c r="A65" s="50">
        <v>68</v>
      </c>
      <c r="B65" s="39">
        <v>45601</v>
      </c>
      <c r="C65" s="6" t="s">
        <v>23</v>
      </c>
      <c r="D65" s="24" t="s">
        <v>129</v>
      </c>
      <c r="E65" s="6" t="s">
        <v>24</v>
      </c>
      <c r="F65" s="6">
        <v>1</v>
      </c>
      <c r="G65" s="6" t="s">
        <v>145</v>
      </c>
      <c r="H65" s="7">
        <v>1</v>
      </c>
      <c r="I65" s="39"/>
      <c r="J65" s="56"/>
      <c r="K65" s="39">
        <v>45611</v>
      </c>
      <c r="L65" s="9"/>
      <c r="M65" s="53">
        <v>2922850</v>
      </c>
      <c r="N65" s="6" t="s">
        <v>26</v>
      </c>
      <c r="O65" s="6" t="s">
        <v>63</v>
      </c>
      <c r="P65" s="6" t="s">
        <v>62</v>
      </c>
      <c r="Q65" s="6" t="s">
        <v>22</v>
      </c>
      <c r="R65" s="6" t="s">
        <v>117</v>
      </c>
      <c r="S65" s="6" t="s">
        <v>146</v>
      </c>
      <c r="T65" s="6" t="s">
        <v>171</v>
      </c>
      <c r="U65" s="11" t="str">
        <f t="shared" si="8"/>
        <v>1.지불 완료</v>
      </c>
      <c r="V65" s="8" t="s">
        <v>49</v>
      </c>
      <c r="W65" s="6" t="s">
        <v>118</v>
      </c>
    </row>
    <row r="66" spans="1:24" x14ac:dyDescent="0.3">
      <c r="A66" s="50">
        <v>67</v>
      </c>
      <c r="B66" s="39">
        <v>45598</v>
      </c>
      <c r="C66" s="6" t="s">
        <v>23</v>
      </c>
      <c r="D66" s="23" t="s">
        <v>43</v>
      </c>
      <c r="E66" s="6" t="s">
        <v>127</v>
      </c>
      <c r="F66" s="6">
        <v>1</v>
      </c>
      <c r="G66" s="6" t="s">
        <v>128</v>
      </c>
      <c r="H66" s="7">
        <v>1</v>
      </c>
      <c r="I66" s="39"/>
      <c r="J66" s="56"/>
      <c r="K66" s="39">
        <v>45601</v>
      </c>
      <c r="L66" s="9"/>
      <c r="M66" s="53">
        <v>4065500</v>
      </c>
      <c r="N66" s="6" t="s">
        <v>26</v>
      </c>
      <c r="O66" s="6" t="s">
        <v>63</v>
      </c>
      <c r="P66" s="6" t="s">
        <v>125</v>
      </c>
      <c r="Q66" s="6" t="s">
        <v>22</v>
      </c>
      <c r="R66" s="6" t="s">
        <v>117</v>
      </c>
      <c r="S66" s="6" t="s">
        <v>146</v>
      </c>
      <c r="T66" s="6" t="s">
        <v>171</v>
      </c>
      <c r="U66" s="11" t="str">
        <f t="shared" si="8"/>
        <v>1.지불 완료</v>
      </c>
      <c r="V66" s="8" t="s">
        <v>49</v>
      </c>
      <c r="W66" s="6" t="s">
        <v>126</v>
      </c>
    </row>
    <row r="67" spans="1:24" x14ac:dyDescent="0.3">
      <c r="A67" s="50">
        <v>66</v>
      </c>
      <c r="B67" s="39">
        <v>45598</v>
      </c>
      <c r="C67" s="6" t="s">
        <v>23</v>
      </c>
      <c r="D67" s="24" t="s">
        <v>129</v>
      </c>
      <c r="E67" s="6" t="s">
        <v>130</v>
      </c>
      <c r="F67" s="6">
        <v>1</v>
      </c>
      <c r="G67" s="6" t="s">
        <v>131</v>
      </c>
      <c r="H67" s="7">
        <v>1</v>
      </c>
      <c r="I67" s="39"/>
      <c r="J67" s="56"/>
      <c r="K67" s="39">
        <v>45601</v>
      </c>
      <c r="L67" s="9"/>
      <c r="M67" s="53">
        <v>1873650</v>
      </c>
      <c r="N67" s="6" t="s">
        <v>26</v>
      </c>
      <c r="O67" s="6" t="s">
        <v>63</v>
      </c>
      <c r="P67" s="6" t="s">
        <v>125</v>
      </c>
      <c r="Q67" s="6" t="s">
        <v>22</v>
      </c>
      <c r="R67" s="6" t="s">
        <v>117</v>
      </c>
      <c r="S67" s="6" t="s">
        <v>146</v>
      </c>
      <c r="T67" s="6" t="s">
        <v>171</v>
      </c>
      <c r="U67" s="11" t="str">
        <f t="shared" si="8"/>
        <v>1.지불 완료</v>
      </c>
      <c r="V67" s="8" t="s">
        <v>49</v>
      </c>
      <c r="W67" s="6" t="s">
        <v>132</v>
      </c>
    </row>
    <row r="68" spans="1:24" x14ac:dyDescent="0.3">
      <c r="A68" s="50">
        <v>65</v>
      </c>
      <c r="B68" s="39">
        <v>45602</v>
      </c>
      <c r="C68" s="6" t="s">
        <v>113</v>
      </c>
      <c r="D68" s="24" t="s">
        <v>114</v>
      </c>
      <c r="E68" s="6" t="s">
        <v>115</v>
      </c>
      <c r="F68" s="6">
        <v>1</v>
      </c>
      <c r="G68" s="6" t="s">
        <v>54</v>
      </c>
      <c r="H68" s="6">
        <v>55</v>
      </c>
      <c r="I68" s="39">
        <f>B68+14</f>
        <v>45616</v>
      </c>
      <c r="J68" s="56" t="s">
        <v>55</v>
      </c>
      <c r="K68" s="39">
        <v>45609</v>
      </c>
      <c r="L68" s="9"/>
      <c r="M68" s="53">
        <v>330000</v>
      </c>
      <c r="N68" s="6" t="s">
        <v>35</v>
      </c>
      <c r="O68" s="6" t="s">
        <v>63</v>
      </c>
      <c r="P68" s="6" t="s">
        <v>78</v>
      </c>
      <c r="Q68" s="6" t="s">
        <v>22</v>
      </c>
      <c r="R68" s="10" t="s">
        <v>77</v>
      </c>
      <c r="S68" s="11" t="s">
        <v>189</v>
      </c>
      <c r="T68" s="6" t="s">
        <v>122</v>
      </c>
      <c r="U68" s="11" t="str">
        <f t="shared" si="8"/>
        <v>1.지불 완료</v>
      </c>
      <c r="V68" s="8" t="s">
        <v>49</v>
      </c>
      <c r="W68" s="6" t="s">
        <v>192</v>
      </c>
    </row>
    <row r="69" spans="1:24" x14ac:dyDescent="0.3">
      <c r="A69" s="50">
        <v>64</v>
      </c>
      <c r="B69" s="39">
        <v>45597</v>
      </c>
      <c r="C69" s="6" t="s">
        <v>23</v>
      </c>
      <c r="D69" s="23" t="s">
        <v>43</v>
      </c>
      <c r="E69" s="6" t="s">
        <v>27</v>
      </c>
      <c r="F69" s="6">
        <v>1</v>
      </c>
      <c r="G69" s="6" t="s">
        <v>28</v>
      </c>
      <c r="H69" s="7">
        <v>1</v>
      </c>
      <c r="I69" s="39">
        <f>B69+10</f>
        <v>45607</v>
      </c>
      <c r="J69" s="56" t="s">
        <v>25</v>
      </c>
      <c r="K69" s="39">
        <v>45596</v>
      </c>
      <c r="L69" s="9"/>
      <c r="M69" s="53">
        <v>761100</v>
      </c>
      <c r="N69" s="6" t="s">
        <v>26</v>
      </c>
      <c r="O69" s="6" t="s">
        <v>63</v>
      </c>
      <c r="P69" s="6" t="s">
        <v>76</v>
      </c>
      <c r="Q69" s="6" t="s">
        <v>22</v>
      </c>
      <c r="R69" s="10" t="s">
        <v>77</v>
      </c>
      <c r="S69" s="11" t="s">
        <v>190</v>
      </c>
      <c r="T69" s="11" t="s">
        <v>64</v>
      </c>
      <c r="U69" s="11" t="str">
        <f t="shared" si="8"/>
        <v>1.지불 완료</v>
      </c>
      <c r="V69" s="8" t="s">
        <v>49</v>
      </c>
      <c r="W69" s="6" t="s">
        <v>191</v>
      </c>
    </row>
    <row r="70" spans="1:24" x14ac:dyDescent="0.3">
      <c r="A70" s="50">
        <v>63</v>
      </c>
      <c r="B70" s="39">
        <v>45597</v>
      </c>
      <c r="C70" s="6" t="s">
        <v>248</v>
      </c>
      <c r="D70" s="23" t="s">
        <v>43</v>
      </c>
      <c r="E70" s="6" t="s">
        <v>29</v>
      </c>
      <c r="F70" s="6">
        <v>1</v>
      </c>
      <c r="G70" s="6" t="s">
        <v>30</v>
      </c>
      <c r="H70" s="7">
        <v>1</v>
      </c>
      <c r="I70" s="39">
        <f>B70+15</f>
        <v>45612</v>
      </c>
      <c r="J70" s="56" t="s">
        <v>31</v>
      </c>
      <c r="K70" s="39">
        <v>45600</v>
      </c>
      <c r="L70" s="9"/>
      <c r="M70" s="53">
        <v>6675000</v>
      </c>
      <c r="N70" s="6" t="s">
        <v>26</v>
      </c>
      <c r="O70" s="6" t="s">
        <v>63</v>
      </c>
      <c r="P70" s="6" t="s">
        <v>62</v>
      </c>
      <c r="Q70" s="6" t="s">
        <v>22</v>
      </c>
      <c r="R70" s="10" t="s">
        <v>77</v>
      </c>
      <c r="S70" s="11" t="s">
        <v>173</v>
      </c>
      <c r="T70" s="11" t="s">
        <v>174</v>
      </c>
      <c r="U70" s="11" t="str">
        <f t="shared" si="8"/>
        <v>1.지불 완료</v>
      </c>
      <c r="V70" s="8" t="s">
        <v>49</v>
      </c>
      <c r="W70" s="6" t="s">
        <v>205</v>
      </c>
    </row>
    <row r="71" spans="1:24" x14ac:dyDescent="0.3">
      <c r="A71" s="50">
        <v>62</v>
      </c>
      <c r="B71" s="43">
        <v>45595</v>
      </c>
      <c r="C71" s="6" t="s">
        <v>75</v>
      </c>
      <c r="D71" s="23" t="s">
        <v>43</v>
      </c>
      <c r="E71" s="6" t="s">
        <v>33</v>
      </c>
      <c r="F71" s="6">
        <v>1</v>
      </c>
      <c r="G71" s="6" t="s">
        <v>34</v>
      </c>
      <c r="H71" s="6">
        <v>200</v>
      </c>
      <c r="I71" s="39">
        <f>B71+28</f>
        <v>45623</v>
      </c>
      <c r="J71" s="56" t="s">
        <v>13</v>
      </c>
      <c r="K71" s="43" t="s">
        <v>43</v>
      </c>
      <c r="L71" s="9"/>
      <c r="M71" s="53">
        <v>800000</v>
      </c>
      <c r="N71" s="6" t="s">
        <v>35</v>
      </c>
      <c r="O71" s="6" t="s">
        <v>63</v>
      </c>
      <c r="P71" s="6" t="s">
        <v>80</v>
      </c>
      <c r="Q71" s="6" t="s">
        <v>22</v>
      </c>
      <c r="R71" s="10" t="s">
        <v>77</v>
      </c>
      <c r="S71" s="11" t="s">
        <v>193</v>
      </c>
      <c r="T71" s="11" t="s">
        <v>174</v>
      </c>
      <c r="U71" s="11" t="str">
        <f t="shared" si="8"/>
        <v>1.지불 완료</v>
      </c>
      <c r="V71" s="8" t="s">
        <v>49</v>
      </c>
      <c r="W71" s="6" t="s">
        <v>177</v>
      </c>
    </row>
    <row r="72" spans="1:24" x14ac:dyDescent="0.3">
      <c r="A72" s="50">
        <v>61</v>
      </c>
      <c r="B72" s="39">
        <v>45594</v>
      </c>
      <c r="C72" s="6" t="s">
        <v>11</v>
      </c>
      <c r="D72" s="24" t="s">
        <v>123</v>
      </c>
      <c r="E72" s="6" t="s">
        <v>36</v>
      </c>
      <c r="F72" s="6">
        <v>1</v>
      </c>
      <c r="G72" s="6" t="s">
        <v>37</v>
      </c>
      <c r="H72" s="6">
        <v>110</v>
      </c>
      <c r="I72" s="39">
        <f>B72+28</f>
        <v>45622</v>
      </c>
      <c r="J72" s="56" t="s">
        <v>13</v>
      </c>
      <c r="K72" s="39">
        <v>45608</v>
      </c>
      <c r="L72" s="9"/>
      <c r="M72" s="53">
        <v>1463000</v>
      </c>
      <c r="N72" s="6" t="s">
        <v>14</v>
      </c>
      <c r="O72" s="6" t="s">
        <v>63</v>
      </c>
      <c r="P72" s="6" t="s">
        <v>62</v>
      </c>
      <c r="Q72" s="6" t="s">
        <v>22</v>
      </c>
      <c r="R72" s="10" t="s">
        <v>77</v>
      </c>
      <c r="S72" s="11" t="s">
        <v>244</v>
      </c>
      <c r="T72" s="11" t="s">
        <v>236</v>
      </c>
      <c r="U72" s="11" t="str">
        <f t="shared" si="8"/>
        <v>1.지불 완료</v>
      </c>
      <c r="V72" s="8" t="s">
        <v>49</v>
      </c>
      <c r="W72" s="6" t="s">
        <v>124</v>
      </c>
    </row>
    <row r="73" spans="1:24" x14ac:dyDescent="0.3">
      <c r="A73" s="50">
        <v>60</v>
      </c>
      <c r="B73" s="39">
        <v>45589</v>
      </c>
      <c r="C73" s="6" t="s">
        <v>40</v>
      </c>
      <c r="D73" s="24" t="s">
        <v>208</v>
      </c>
      <c r="E73" s="6" t="s">
        <v>41</v>
      </c>
      <c r="F73" s="6">
        <v>1</v>
      </c>
      <c r="G73" s="6" t="s">
        <v>42</v>
      </c>
      <c r="H73" s="7">
        <v>1</v>
      </c>
      <c r="I73" s="39">
        <f>B73+28</f>
        <v>45617</v>
      </c>
      <c r="J73" s="56" t="s">
        <v>13</v>
      </c>
      <c r="K73" s="39">
        <v>45597</v>
      </c>
      <c r="L73" s="9"/>
      <c r="M73" s="53">
        <v>4090000</v>
      </c>
      <c r="N73" s="6" t="s">
        <v>14</v>
      </c>
      <c r="O73" s="6" t="s">
        <v>63</v>
      </c>
      <c r="P73" s="6" t="s">
        <v>78</v>
      </c>
      <c r="Q73" s="6" t="s">
        <v>22</v>
      </c>
      <c r="R73" s="10" t="s">
        <v>77</v>
      </c>
      <c r="S73" s="11" t="s">
        <v>207</v>
      </c>
      <c r="T73" s="11" t="s">
        <v>174</v>
      </c>
      <c r="U73" s="11" t="str">
        <f t="shared" si="8"/>
        <v>1.지불 완료</v>
      </c>
      <c r="V73" s="8" t="s">
        <v>49</v>
      </c>
      <c r="W73" s="6" t="s">
        <v>206</v>
      </c>
    </row>
    <row r="74" spans="1:24" x14ac:dyDescent="0.3">
      <c r="A74" s="50">
        <v>59</v>
      </c>
      <c r="B74" s="39">
        <v>45586</v>
      </c>
      <c r="C74" s="6" t="s">
        <v>44</v>
      </c>
      <c r="D74" s="24" t="s">
        <v>159</v>
      </c>
      <c r="E74" s="6" t="s">
        <v>45</v>
      </c>
      <c r="F74" s="6">
        <v>1</v>
      </c>
      <c r="G74" s="6" t="s">
        <v>46</v>
      </c>
      <c r="H74" s="7">
        <v>1</v>
      </c>
      <c r="I74" s="39">
        <f>B74+140</f>
        <v>45726</v>
      </c>
      <c r="J74" s="56" t="s">
        <v>47</v>
      </c>
      <c r="K74" s="39">
        <v>45638</v>
      </c>
      <c r="L74" s="9"/>
      <c r="M74" s="53">
        <v>15006000</v>
      </c>
      <c r="N74" s="6" t="s">
        <v>48</v>
      </c>
      <c r="O74" s="6" t="s">
        <v>63</v>
      </c>
      <c r="P74" s="20" t="s">
        <v>161</v>
      </c>
      <c r="Q74" s="6" t="s">
        <v>22</v>
      </c>
      <c r="R74" s="10" t="s">
        <v>77</v>
      </c>
      <c r="S74" s="11" t="s">
        <v>237</v>
      </c>
      <c r="T74" s="11" t="s">
        <v>236</v>
      </c>
      <c r="U74" s="11" t="str">
        <f t="shared" si="8"/>
        <v>1.지불 완료</v>
      </c>
      <c r="V74" s="8" t="s">
        <v>49</v>
      </c>
      <c r="W74" s="20" t="s">
        <v>162</v>
      </c>
      <c r="X74" s="57" t="s">
        <v>413</v>
      </c>
    </row>
    <row r="75" spans="1:24" x14ac:dyDescent="0.3">
      <c r="A75" s="50">
        <v>58</v>
      </c>
      <c r="B75" s="39">
        <v>45583</v>
      </c>
      <c r="C75" s="6" t="s">
        <v>116</v>
      </c>
      <c r="D75" s="24"/>
      <c r="E75" s="6" t="s">
        <v>50</v>
      </c>
      <c r="F75" s="6">
        <v>1</v>
      </c>
      <c r="G75" s="6" t="s">
        <v>51</v>
      </c>
      <c r="H75" s="6">
        <v>1</v>
      </c>
      <c r="I75" s="39">
        <f>B75+28</f>
        <v>45611</v>
      </c>
      <c r="J75" s="56" t="s">
        <v>13</v>
      </c>
      <c r="K75" s="39">
        <v>45587</v>
      </c>
      <c r="L75" s="9"/>
      <c r="M75" s="53">
        <v>1900000</v>
      </c>
      <c r="N75" s="6" t="s">
        <v>52</v>
      </c>
      <c r="O75" s="6" t="s">
        <v>63</v>
      </c>
      <c r="P75" s="6" t="s">
        <v>76</v>
      </c>
      <c r="Q75" s="6" t="s">
        <v>22</v>
      </c>
      <c r="R75" s="10" t="s">
        <v>77</v>
      </c>
      <c r="S75" s="11" t="s">
        <v>198</v>
      </c>
      <c r="T75" s="11" t="s">
        <v>199</v>
      </c>
      <c r="U75" s="11" t="str">
        <f t="shared" si="8"/>
        <v>1.지불 완료</v>
      </c>
      <c r="V75" s="8" t="s">
        <v>49</v>
      </c>
      <c r="W75" s="6" t="s">
        <v>197</v>
      </c>
    </row>
    <row r="76" spans="1:24" x14ac:dyDescent="0.3">
      <c r="A76" s="50">
        <v>57</v>
      </c>
      <c r="B76" s="39">
        <v>45583</v>
      </c>
      <c r="C76" s="6" t="s">
        <v>75</v>
      </c>
      <c r="D76" s="23" t="s">
        <v>43</v>
      </c>
      <c r="E76" s="6" t="s">
        <v>53</v>
      </c>
      <c r="F76" s="6">
        <v>1</v>
      </c>
      <c r="G76" s="6" t="s">
        <v>54</v>
      </c>
      <c r="H76" s="6">
        <v>50</v>
      </c>
      <c r="I76" s="39">
        <f>B76+14</f>
        <v>45597</v>
      </c>
      <c r="J76" s="56" t="s">
        <v>55</v>
      </c>
      <c r="K76" s="43" t="s">
        <v>43</v>
      </c>
      <c r="L76" s="9"/>
      <c r="M76" s="53">
        <v>2500000</v>
      </c>
      <c r="N76" s="6" t="s">
        <v>35</v>
      </c>
      <c r="O76" s="6" t="s">
        <v>63</v>
      </c>
      <c r="P76" s="6" t="s">
        <v>81</v>
      </c>
      <c r="Q76" s="6" t="s">
        <v>22</v>
      </c>
      <c r="R76" s="10" t="s">
        <v>77</v>
      </c>
      <c r="S76" s="11" t="s">
        <v>193</v>
      </c>
      <c r="T76" s="11" t="s">
        <v>174</v>
      </c>
      <c r="U76" s="11" t="str">
        <f t="shared" si="8"/>
        <v>1.지불 완료</v>
      </c>
      <c r="V76" s="8" t="s">
        <v>49</v>
      </c>
      <c r="W76" s="6" t="s">
        <v>175</v>
      </c>
    </row>
    <row r="77" spans="1:24" x14ac:dyDescent="0.3">
      <c r="A77" s="50">
        <v>56</v>
      </c>
      <c r="B77" s="43">
        <v>45582</v>
      </c>
      <c r="C77" s="6" t="s">
        <v>56</v>
      </c>
      <c r="D77" s="24" t="s">
        <v>179</v>
      </c>
      <c r="E77" s="6" t="s">
        <v>57</v>
      </c>
      <c r="F77" s="6">
        <v>1</v>
      </c>
      <c r="G77" s="6" t="s">
        <v>58</v>
      </c>
      <c r="H77" s="6">
        <v>300</v>
      </c>
      <c r="I77" s="39">
        <f>B77+42</f>
        <v>45624</v>
      </c>
      <c r="J77" s="56" t="s">
        <v>59</v>
      </c>
      <c r="K77" s="39">
        <v>45610</v>
      </c>
      <c r="L77" s="9"/>
      <c r="M77" s="53">
        <v>7277250</v>
      </c>
      <c r="N77" s="6" t="s">
        <v>52</v>
      </c>
      <c r="O77" s="6" t="s">
        <v>63</v>
      </c>
      <c r="P77" s="6" t="s">
        <v>180</v>
      </c>
      <c r="Q77" s="6" t="s">
        <v>22</v>
      </c>
      <c r="R77" s="10" t="s">
        <v>77</v>
      </c>
      <c r="S77" s="11" t="s">
        <v>182</v>
      </c>
      <c r="T77" s="11" t="s">
        <v>236</v>
      </c>
      <c r="U77" s="11" t="str">
        <f t="shared" si="8"/>
        <v>1.지불 완료</v>
      </c>
      <c r="V77" s="8" t="s">
        <v>49</v>
      </c>
      <c r="W77" s="6" t="s">
        <v>181</v>
      </c>
    </row>
    <row r="78" spans="1:24" x14ac:dyDescent="0.3">
      <c r="A78" s="50">
        <v>55</v>
      </c>
      <c r="B78" s="39">
        <v>45580</v>
      </c>
      <c r="C78" s="6" t="s">
        <v>11</v>
      </c>
      <c r="D78" s="24" t="s">
        <v>15</v>
      </c>
      <c r="E78" s="6" t="s">
        <v>12</v>
      </c>
      <c r="F78" s="6">
        <v>1</v>
      </c>
      <c r="G78" s="6" t="s">
        <v>16</v>
      </c>
      <c r="H78" s="6">
        <v>110</v>
      </c>
      <c r="I78" s="39">
        <f>B78+28</f>
        <v>45608</v>
      </c>
      <c r="J78" s="56" t="s">
        <v>13</v>
      </c>
      <c r="K78" s="43" t="s">
        <v>43</v>
      </c>
      <c r="L78" s="9"/>
      <c r="M78" s="53">
        <v>1925000</v>
      </c>
      <c r="N78" s="6" t="s">
        <v>14</v>
      </c>
      <c r="O78" s="6" t="s">
        <v>63</v>
      </c>
      <c r="P78" s="6" t="s">
        <v>62</v>
      </c>
      <c r="Q78" s="6" t="s">
        <v>22</v>
      </c>
      <c r="R78" s="10" t="s">
        <v>77</v>
      </c>
      <c r="S78" s="11" t="s">
        <v>196</v>
      </c>
      <c r="T78" s="11" t="s">
        <v>64</v>
      </c>
      <c r="U78" s="11" t="str">
        <f t="shared" si="8"/>
        <v>1.지불 완료</v>
      </c>
      <c r="V78" s="8" t="s">
        <v>49</v>
      </c>
      <c r="W78" s="6" t="s">
        <v>195</v>
      </c>
    </row>
    <row r="79" spans="1:24" x14ac:dyDescent="0.3">
      <c r="A79" s="50">
        <v>54</v>
      </c>
      <c r="B79" s="39">
        <v>45580</v>
      </c>
      <c r="C79" s="6" t="s">
        <v>11</v>
      </c>
      <c r="D79" s="24" t="s">
        <v>15</v>
      </c>
      <c r="E79" s="6" t="s">
        <v>12</v>
      </c>
      <c r="F79" s="6">
        <v>2</v>
      </c>
      <c r="G79" s="6" t="s">
        <v>17</v>
      </c>
      <c r="H79" s="6">
        <v>65</v>
      </c>
      <c r="I79" s="39">
        <f t="shared" ref="I79:I89" si="9">B79+28</f>
        <v>45608</v>
      </c>
      <c r="J79" s="56" t="s">
        <v>13</v>
      </c>
      <c r="K79" s="43" t="s">
        <v>43</v>
      </c>
      <c r="L79" s="9"/>
      <c r="M79" s="53">
        <v>1137500</v>
      </c>
      <c r="N79" s="6" t="s">
        <v>14</v>
      </c>
      <c r="O79" s="6" t="s">
        <v>63</v>
      </c>
      <c r="P79" s="6" t="s">
        <v>62</v>
      </c>
      <c r="Q79" s="6" t="s">
        <v>22</v>
      </c>
      <c r="R79" s="10" t="s">
        <v>77</v>
      </c>
      <c r="S79" s="11" t="s">
        <v>196</v>
      </c>
      <c r="T79" s="11" t="s">
        <v>64</v>
      </c>
      <c r="U79" s="11" t="str">
        <f t="shared" si="8"/>
        <v>1.지불 완료</v>
      </c>
      <c r="V79" s="13" t="s">
        <v>49</v>
      </c>
      <c r="W79" s="6" t="s">
        <v>195</v>
      </c>
    </row>
    <row r="80" spans="1:24" x14ac:dyDescent="0.3">
      <c r="A80" s="50">
        <v>53</v>
      </c>
      <c r="B80" s="39">
        <v>45580</v>
      </c>
      <c r="C80" s="6" t="s">
        <v>11</v>
      </c>
      <c r="D80" s="24" t="s">
        <v>15</v>
      </c>
      <c r="E80" s="6" t="s">
        <v>12</v>
      </c>
      <c r="F80" s="6">
        <v>3</v>
      </c>
      <c r="G80" s="6" t="s">
        <v>18</v>
      </c>
      <c r="H80" s="6">
        <v>75</v>
      </c>
      <c r="I80" s="39">
        <f t="shared" si="9"/>
        <v>45608</v>
      </c>
      <c r="J80" s="56" t="s">
        <v>13</v>
      </c>
      <c r="K80" s="43" t="s">
        <v>43</v>
      </c>
      <c r="L80" s="9"/>
      <c r="M80" s="53">
        <v>1035000</v>
      </c>
      <c r="N80" s="6" t="s">
        <v>14</v>
      </c>
      <c r="O80" s="6" t="s">
        <v>63</v>
      </c>
      <c r="P80" s="6" t="s">
        <v>62</v>
      </c>
      <c r="Q80" s="6" t="s">
        <v>22</v>
      </c>
      <c r="R80" s="10" t="s">
        <v>77</v>
      </c>
      <c r="S80" s="11" t="s">
        <v>196</v>
      </c>
      <c r="T80" s="11" t="s">
        <v>64</v>
      </c>
      <c r="U80" s="11" t="str">
        <f t="shared" si="8"/>
        <v>1.지불 완료</v>
      </c>
      <c r="V80" s="13" t="s">
        <v>49</v>
      </c>
      <c r="W80" s="6" t="s">
        <v>195</v>
      </c>
    </row>
    <row r="81" spans="1:23" x14ac:dyDescent="0.3">
      <c r="A81" s="50">
        <v>52</v>
      </c>
      <c r="B81" s="39">
        <v>45580</v>
      </c>
      <c r="C81" s="6" t="s">
        <v>11</v>
      </c>
      <c r="D81" s="24" t="s">
        <v>15</v>
      </c>
      <c r="E81" s="6" t="s">
        <v>12</v>
      </c>
      <c r="F81" s="6">
        <v>4</v>
      </c>
      <c r="G81" s="6" t="s">
        <v>19</v>
      </c>
      <c r="H81" s="6">
        <v>50</v>
      </c>
      <c r="I81" s="39">
        <f t="shared" si="9"/>
        <v>45608</v>
      </c>
      <c r="J81" s="56" t="s">
        <v>13</v>
      </c>
      <c r="K81" s="43" t="s">
        <v>43</v>
      </c>
      <c r="L81" s="9"/>
      <c r="M81" s="53">
        <v>312500</v>
      </c>
      <c r="N81" s="6" t="s">
        <v>14</v>
      </c>
      <c r="O81" s="6" t="s">
        <v>63</v>
      </c>
      <c r="P81" s="6" t="s">
        <v>62</v>
      </c>
      <c r="Q81" s="6" t="s">
        <v>22</v>
      </c>
      <c r="R81" s="10" t="s">
        <v>77</v>
      </c>
      <c r="S81" s="11" t="s">
        <v>196</v>
      </c>
      <c r="T81" s="11" t="s">
        <v>64</v>
      </c>
      <c r="U81" s="11" t="str">
        <f t="shared" si="8"/>
        <v>1.지불 완료</v>
      </c>
      <c r="V81" s="13" t="s">
        <v>49</v>
      </c>
      <c r="W81" s="6" t="s">
        <v>195</v>
      </c>
    </row>
    <row r="82" spans="1:23" x14ac:dyDescent="0.3">
      <c r="A82" s="50">
        <v>51</v>
      </c>
      <c r="B82" s="39">
        <v>45580</v>
      </c>
      <c r="C82" s="6" t="s">
        <v>11</v>
      </c>
      <c r="D82" s="24" t="s">
        <v>15</v>
      </c>
      <c r="E82" s="6" t="s">
        <v>12</v>
      </c>
      <c r="F82" s="6">
        <v>5</v>
      </c>
      <c r="G82" s="6" t="s">
        <v>20</v>
      </c>
      <c r="H82" s="6">
        <v>50</v>
      </c>
      <c r="I82" s="39">
        <f t="shared" si="9"/>
        <v>45608</v>
      </c>
      <c r="J82" s="56" t="s">
        <v>13</v>
      </c>
      <c r="K82" s="43" t="s">
        <v>43</v>
      </c>
      <c r="L82" s="9"/>
      <c r="M82" s="53">
        <v>250000</v>
      </c>
      <c r="N82" s="6" t="s">
        <v>14</v>
      </c>
      <c r="O82" s="6" t="s">
        <v>63</v>
      </c>
      <c r="P82" s="6" t="s">
        <v>62</v>
      </c>
      <c r="Q82" s="6" t="s">
        <v>22</v>
      </c>
      <c r="R82" s="10" t="s">
        <v>77</v>
      </c>
      <c r="S82" s="11" t="s">
        <v>196</v>
      </c>
      <c r="T82" s="11" t="s">
        <v>64</v>
      </c>
      <c r="U82" s="11" t="str">
        <f t="shared" si="8"/>
        <v>1.지불 완료</v>
      </c>
      <c r="V82" s="13" t="s">
        <v>49</v>
      </c>
      <c r="W82" s="6" t="s">
        <v>195</v>
      </c>
    </row>
    <row r="83" spans="1:23" x14ac:dyDescent="0.3">
      <c r="A83" s="50">
        <v>50</v>
      </c>
      <c r="B83" s="39">
        <v>45580</v>
      </c>
      <c r="C83" s="6" t="s">
        <v>11</v>
      </c>
      <c r="D83" s="24" t="s">
        <v>15</v>
      </c>
      <c r="E83" s="6" t="s">
        <v>12</v>
      </c>
      <c r="F83" s="6">
        <v>6</v>
      </c>
      <c r="G83" s="6" t="s">
        <v>21</v>
      </c>
      <c r="H83" s="6">
        <v>50</v>
      </c>
      <c r="I83" s="39">
        <f t="shared" si="9"/>
        <v>45608</v>
      </c>
      <c r="J83" s="56" t="s">
        <v>13</v>
      </c>
      <c r="K83" s="43" t="s">
        <v>43</v>
      </c>
      <c r="L83" s="9"/>
      <c r="M83" s="53">
        <v>450000</v>
      </c>
      <c r="N83" s="6" t="s">
        <v>14</v>
      </c>
      <c r="O83" s="6" t="s">
        <v>63</v>
      </c>
      <c r="P83" s="6" t="s">
        <v>62</v>
      </c>
      <c r="Q83" s="6" t="s">
        <v>22</v>
      </c>
      <c r="R83" s="10" t="s">
        <v>77</v>
      </c>
      <c r="S83" s="11" t="s">
        <v>196</v>
      </c>
      <c r="T83" s="11" t="s">
        <v>64</v>
      </c>
      <c r="U83" s="11" t="str">
        <f t="shared" si="8"/>
        <v>1.지불 완료</v>
      </c>
      <c r="V83" s="13" t="s">
        <v>49</v>
      </c>
      <c r="W83" s="6" t="s">
        <v>195</v>
      </c>
    </row>
    <row r="84" spans="1:23" x14ac:dyDescent="0.3">
      <c r="A84" s="50">
        <v>49</v>
      </c>
      <c r="B84" s="39">
        <v>45573</v>
      </c>
      <c r="C84" s="6" t="s">
        <v>23</v>
      </c>
      <c r="D84" s="23" t="s">
        <v>43</v>
      </c>
      <c r="E84" s="6" t="s">
        <v>38</v>
      </c>
      <c r="F84" s="6">
        <v>1</v>
      </c>
      <c r="G84" s="6" t="s">
        <v>39</v>
      </c>
      <c r="H84" s="7">
        <v>1</v>
      </c>
      <c r="I84" s="39">
        <f t="shared" ref="I84:I100" si="10">B84+10</f>
        <v>45583</v>
      </c>
      <c r="J84" s="56" t="s">
        <v>25</v>
      </c>
      <c r="K84" s="39"/>
      <c r="L84" s="9"/>
      <c r="M84" s="53">
        <v>16832480</v>
      </c>
      <c r="N84" s="6" t="s">
        <v>26</v>
      </c>
      <c r="O84" s="6" t="s">
        <v>63</v>
      </c>
      <c r="P84" s="6" t="s">
        <v>62</v>
      </c>
      <c r="Q84" s="6" t="s">
        <v>22</v>
      </c>
      <c r="R84" s="10" t="s">
        <v>77</v>
      </c>
      <c r="S84" s="11" t="s">
        <v>190</v>
      </c>
      <c r="T84" s="11" t="s">
        <v>64</v>
      </c>
      <c r="U84" s="11" t="str">
        <f t="shared" si="8"/>
        <v>1.지불 완료</v>
      </c>
      <c r="V84" s="13" t="s">
        <v>49</v>
      </c>
      <c r="W84" s="6" t="s">
        <v>194</v>
      </c>
    </row>
    <row r="85" spans="1:23" x14ac:dyDescent="0.3">
      <c r="A85" s="50">
        <v>48</v>
      </c>
      <c r="B85" s="43">
        <v>45573</v>
      </c>
      <c r="C85" s="6" t="s">
        <v>82</v>
      </c>
      <c r="D85" s="25" t="s">
        <v>183</v>
      </c>
      <c r="E85" s="6" t="s">
        <v>83</v>
      </c>
      <c r="F85" s="6">
        <v>1</v>
      </c>
      <c r="G85" s="6" t="s">
        <v>84</v>
      </c>
      <c r="H85" s="6">
        <v>1</v>
      </c>
      <c r="I85" s="39">
        <f t="shared" si="9"/>
        <v>45601</v>
      </c>
      <c r="J85" s="56" t="s">
        <v>13</v>
      </c>
      <c r="K85" s="39">
        <v>45586</v>
      </c>
      <c r="L85" s="9"/>
      <c r="M85" s="53">
        <v>1970000</v>
      </c>
      <c r="N85" s="6" t="s">
        <v>52</v>
      </c>
      <c r="O85" s="6" t="s">
        <v>63</v>
      </c>
      <c r="P85" s="6" t="s">
        <v>76</v>
      </c>
      <c r="Q85" s="6" t="s">
        <v>22</v>
      </c>
      <c r="R85" s="10" t="s">
        <v>77</v>
      </c>
      <c r="S85" s="11" t="s">
        <v>201</v>
      </c>
      <c r="T85" s="11" t="s">
        <v>199</v>
      </c>
      <c r="U85" s="11" t="str">
        <f t="shared" si="8"/>
        <v>1.지불 완료</v>
      </c>
      <c r="V85" s="13" t="s">
        <v>49</v>
      </c>
      <c r="W85" s="6" t="s">
        <v>200</v>
      </c>
    </row>
    <row r="86" spans="1:23" x14ac:dyDescent="0.3">
      <c r="A86" s="50">
        <v>47</v>
      </c>
      <c r="B86" s="39">
        <v>45573</v>
      </c>
      <c r="C86" s="6" t="s">
        <v>91</v>
      </c>
      <c r="D86" s="24" t="s">
        <v>92</v>
      </c>
      <c r="E86" s="6" t="s">
        <v>167</v>
      </c>
      <c r="F86" s="6">
        <v>3</v>
      </c>
      <c r="G86" s="6" t="s">
        <v>168</v>
      </c>
      <c r="H86" s="6">
        <v>45</v>
      </c>
      <c r="I86" s="39">
        <f>B86+70</f>
        <v>45643</v>
      </c>
      <c r="J86" s="56"/>
      <c r="K86" s="39">
        <v>45638</v>
      </c>
      <c r="L86" s="9"/>
      <c r="M86" s="53">
        <v>5475000</v>
      </c>
      <c r="N86" s="6" t="s">
        <v>52</v>
      </c>
      <c r="O86" s="6" t="s">
        <v>63</v>
      </c>
      <c r="P86" s="6" t="s">
        <v>169</v>
      </c>
      <c r="Q86" s="6" t="s">
        <v>22</v>
      </c>
      <c r="R86" s="10" t="s">
        <v>77</v>
      </c>
      <c r="S86" s="6" t="s">
        <v>164</v>
      </c>
      <c r="T86" s="11" t="s">
        <v>236</v>
      </c>
      <c r="U86" s="11" t="str">
        <f t="shared" si="8"/>
        <v>1.지불 완료</v>
      </c>
      <c r="V86" s="13" t="s">
        <v>49</v>
      </c>
      <c r="W86" s="6" t="s">
        <v>170</v>
      </c>
    </row>
    <row r="87" spans="1:23" x14ac:dyDescent="0.3">
      <c r="A87" s="50">
        <v>46</v>
      </c>
      <c r="B87" s="43">
        <v>45573</v>
      </c>
      <c r="C87" s="6" t="s">
        <v>75</v>
      </c>
      <c r="D87" s="23" t="s">
        <v>43</v>
      </c>
      <c r="E87" s="6" t="s">
        <v>79</v>
      </c>
      <c r="F87" s="6">
        <v>1</v>
      </c>
      <c r="G87" s="6" t="s">
        <v>34</v>
      </c>
      <c r="H87" s="6">
        <v>103</v>
      </c>
      <c r="I87" s="39">
        <f t="shared" si="9"/>
        <v>45601</v>
      </c>
      <c r="J87" s="56" t="s">
        <v>13</v>
      </c>
      <c r="K87" s="43" t="s">
        <v>43</v>
      </c>
      <c r="L87" s="9"/>
      <c r="M87" s="53">
        <v>400000</v>
      </c>
      <c r="N87" s="6" t="s">
        <v>35</v>
      </c>
      <c r="O87" s="6" t="s">
        <v>63</v>
      </c>
      <c r="P87" s="6" t="s">
        <v>80</v>
      </c>
      <c r="Q87" s="6" t="s">
        <v>22</v>
      </c>
      <c r="R87" s="10" t="s">
        <v>77</v>
      </c>
      <c r="S87" s="11" t="s">
        <v>193</v>
      </c>
      <c r="T87" s="11" t="s">
        <v>174</v>
      </c>
      <c r="U87" s="11" t="str">
        <f t="shared" si="8"/>
        <v>1.지불 완료</v>
      </c>
      <c r="V87" s="8" t="s">
        <v>49</v>
      </c>
      <c r="W87" s="6" t="s">
        <v>176</v>
      </c>
    </row>
    <row r="88" spans="1:23" x14ac:dyDescent="0.3">
      <c r="A88" s="50">
        <v>45</v>
      </c>
      <c r="B88" s="39">
        <v>45562</v>
      </c>
      <c r="C88" s="6" t="s">
        <v>65</v>
      </c>
      <c r="D88" s="23" t="s">
        <v>43</v>
      </c>
      <c r="E88" s="6" t="s">
        <v>66</v>
      </c>
      <c r="F88" s="6">
        <v>1</v>
      </c>
      <c r="G88" s="6" t="s">
        <v>67</v>
      </c>
      <c r="H88" s="7">
        <v>1</v>
      </c>
      <c r="I88" s="39">
        <f>B88+15</f>
        <v>45577</v>
      </c>
      <c r="J88" s="56" t="s">
        <v>31</v>
      </c>
      <c r="K88" s="39">
        <v>45579</v>
      </c>
      <c r="L88" s="9"/>
      <c r="M88" s="53">
        <v>66782940</v>
      </c>
      <c r="N88" s="6" t="s">
        <v>26</v>
      </c>
      <c r="O88" s="6" t="s">
        <v>63</v>
      </c>
      <c r="P88" s="6" t="s">
        <v>62</v>
      </c>
      <c r="Q88" s="6" t="s">
        <v>22</v>
      </c>
      <c r="R88" s="10" t="s">
        <v>77</v>
      </c>
      <c r="S88" s="11" t="s">
        <v>203</v>
      </c>
      <c r="T88" s="11" t="s">
        <v>68</v>
      </c>
      <c r="U88" s="11" t="str">
        <f t="shared" si="8"/>
        <v>1.지불 완료</v>
      </c>
      <c r="V88" s="13" t="s">
        <v>49</v>
      </c>
      <c r="W88" s="6" t="s">
        <v>202</v>
      </c>
    </row>
    <row r="89" spans="1:23" x14ac:dyDescent="0.3">
      <c r="A89" s="50">
        <v>44</v>
      </c>
      <c r="B89" s="39">
        <v>45559</v>
      </c>
      <c r="C89" s="6" t="s">
        <v>75</v>
      </c>
      <c r="D89" s="23" t="s">
        <v>43</v>
      </c>
      <c r="E89" s="6" t="s">
        <v>73</v>
      </c>
      <c r="F89" s="6">
        <v>1</v>
      </c>
      <c r="G89" s="6" t="s">
        <v>74</v>
      </c>
      <c r="H89" s="6">
        <v>14</v>
      </c>
      <c r="I89" s="39">
        <f t="shared" si="9"/>
        <v>45587</v>
      </c>
      <c r="J89" s="56" t="s">
        <v>13</v>
      </c>
      <c r="K89" s="39">
        <v>45565</v>
      </c>
      <c r="L89" s="9"/>
      <c r="M89" s="53">
        <v>210000</v>
      </c>
      <c r="N89" s="6" t="s">
        <v>35</v>
      </c>
      <c r="O89" s="6" t="s">
        <v>63</v>
      </c>
      <c r="P89" s="6" t="s">
        <v>76</v>
      </c>
      <c r="Q89" s="6" t="s">
        <v>22</v>
      </c>
      <c r="R89" s="10" t="s">
        <v>77</v>
      </c>
      <c r="S89" s="11" t="s">
        <v>221</v>
      </c>
      <c r="T89" s="11" t="s">
        <v>71</v>
      </c>
      <c r="U89" s="11" t="str">
        <f t="shared" si="8"/>
        <v>1.지불 완료</v>
      </c>
      <c r="V89" s="13" t="s">
        <v>49</v>
      </c>
      <c r="W89" s="6" t="s">
        <v>380</v>
      </c>
    </row>
    <row r="90" spans="1:23" x14ac:dyDescent="0.3">
      <c r="A90" s="50">
        <v>43</v>
      </c>
      <c r="B90" s="39">
        <v>45558</v>
      </c>
      <c r="C90" s="6" t="s">
        <v>23</v>
      </c>
      <c r="D90" s="23" t="s">
        <v>43</v>
      </c>
      <c r="E90" s="6" t="s">
        <v>69</v>
      </c>
      <c r="F90" s="6">
        <v>1</v>
      </c>
      <c r="G90" s="6" t="s">
        <v>70</v>
      </c>
      <c r="H90" s="7">
        <v>1</v>
      </c>
      <c r="I90" s="39">
        <f t="shared" si="10"/>
        <v>45568</v>
      </c>
      <c r="J90" s="56" t="s">
        <v>25</v>
      </c>
      <c r="K90" s="39">
        <v>45560</v>
      </c>
      <c r="L90" s="9"/>
      <c r="M90" s="53">
        <v>1304100</v>
      </c>
      <c r="N90" s="6" t="s">
        <v>26</v>
      </c>
      <c r="O90" s="6" t="s">
        <v>63</v>
      </c>
      <c r="P90" s="6" t="s">
        <v>76</v>
      </c>
      <c r="Q90" s="6" t="s">
        <v>22</v>
      </c>
      <c r="R90" s="10" t="s">
        <v>77</v>
      </c>
      <c r="S90" s="11" t="s">
        <v>221</v>
      </c>
      <c r="T90" s="11" t="s">
        <v>71</v>
      </c>
      <c r="U90" s="11" t="str">
        <f t="shared" si="8"/>
        <v>1.지불 완료</v>
      </c>
      <c r="V90" s="13" t="s">
        <v>49</v>
      </c>
      <c r="W90" s="6" t="s">
        <v>222</v>
      </c>
    </row>
    <row r="91" spans="1:23" x14ac:dyDescent="0.3">
      <c r="A91" s="50">
        <v>42</v>
      </c>
      <c r="B91" s="39">
        <v>45558</v>
      </c>
      <c r="C91" s="6" t="s">
        <v>23</v>
      </c>
      <c r="D91" s="23" t="s">
        <v>43</v>
      </c>
      <c r="E91" s="6" t="s">
        <v>72</v>
      </c>
      <c r="F91" s="6">
        <v>1</v>
      </c>
      <c r="G91" s="6" t="s">
        <v>67</v>
      </c>
      <c r="H91" s="7">
        <v>1</v>
      </c>
      <c r="I91" s="39">
        <f t="shared" si="10"/>
        <v>45568</v>
      </c>
      <c r="J91" s="56" t="s">
        <v>25</v>
      </c>
      <c r="K91" s="39">
        <v>45560</v>
      </c>
      <c r="L91" s="9"/>
      <c r="M91" s="53">
        <v>15905345</v>
      </c>
      <c r="N91" s="6" t="s">
        <v>26</v>
      </c>
      <c r="O91" s="6" t="s">
        <v>63</v>
      </c>
      <c r="P91" s="6" t="s">
        <v>62</v>
      </c>
      <c r="Q91" s="6" t="s">
        <v>22</v>
      </c>
      <c r="R91" s="10" t="s">
        <v>77</v>
      </c>
      <c r="S91" s="11" t="s">
        <v>221</v>
      </c>
      <c r="T91" s="11" t="s">
        <v>71</v>
      </c>
      <c r="U91" s="11" t="str">
        <f t="shared" si="8"/>
        <v>1.지불 완료</v>
      </c>
      <c r="V91" s="13" t="s">
        <v>49</v>
      </c>
      <c r="W91" s="6" t="s">
        <v>223</v>
      </c>
    </row>
    <row r="92" spans="1:23" x14ac:dyDescent="0.3">
      <c r="A92" s="50">
        <v>41</v>
      </c>
      <c r="B92" s="39">
        <v>45549</v>
      </c>
      <c r="C92" s="6" t="s">
        <v>93</v>
      </c>
      <c r="D92" s="23" t="s">
        <v>43</v>
      </c>
      <c r="E92" s="6" t="s">
        <v>94</v>
      </c>
      <c r="F92" s="6">
        <v>1</v>
      </c>
      <c r="G92" s="6" t="s">
        <v>95</v>
      </c>
      <c r="H92" s="14">
        <v>1</v>
      </c>
      <c r="I92" s="39">
        <f t="shared" ref="I92" si="11">B92+28</f>
        <v>45577</v>
      </c>
      <c r="J92" s="56" t="s">
        <v>13</v>
      </c>
      <c r="K92" s="39" t="s">
        <v>210</v>
      </c>
      <c r="L92" s="9"/>
      <c r="M92" s="53">
        <f>5544000/2</f>
        <v>2772000</v>
      </c>
      <c r="N92" s="15" t="s">
        <v>300</v>
      </c>
      <c r="O92" s="6"/>
      <c r="P92" s="6"/>
      <c r="Q92" s="6" t="s">
        <v>22</v>
      </c>
      <c r="R92" s="10" t="s">
        <v>77</v>
      </c>
      <c r="S92" s="16" t="s">
        <v>301</v>
      </c>
      <c r="T92" s="16" t="s">
        <v>303</v>
      </c>
      <c r="U92" s="11" t="str">
        <f t="shared" si="8"/>
        <v>1.지불 완료</v>
      </c>
      <c r="V92" s="13" t="s">
        <v>49</v>
      </c>
      <c r="W92" s="6" t="s">
        <v>209</v>
      </c>
    </row>
    <row r="93" spans="1:23" x14ac:dyDescent="0.3">
      <c r="A93" s="50">
        <v>40</v>
      </c>
      <c r="B93" s="39">
        <v>45549</v>
      </c>
      <c r="C93" s="6" t="s">
        <v>93</v>
      </c>
      <c r="D93" s="23" t="s">
        <v>43</v>
      </c>
      <c r="E93" s="6" t="s">
        <v>94</v>
      </c>
      <c r="F93" s="6">
        <v>1</v>
      </c>
      <c r="G93" s="6" t="s">
        <v>95</v>
      </c>
      <c r="H93" s="14">
        <v>1</v>
      </c>
      <c r="I93" s="39">
        <f t="shared" ref="I93:I95" si="12">B93+28</f>
        <v>45577</v>
      </c>
      <c r="J93" s="56" t="s">
        <v>13</v>
      </c>
      <c r="K93" s="39" t="s">
        <v>210</v>
      </c>
      <c r="L93" s="9"/>
      <c r="M93" s="53">
        <f>5544000/2</f>
        <v>2772000</v>
      </c>
      <c r="N93" s="15" t="s">
        <v>299</v>
      </c>
      <c r="O93" s="6"/>
      <c r="P93" s="6"/>
      <c r="Q93" s="6" t="s">
        <v>22</v>
      </c>
      <c r="R93" s="10" t="s">
        <v>77</v>
      </c>
      <c r="S93" s="16" t="s">
        <v>302</v>
      </c>
      <c r="T93" s="16" t="s">
        <v>304</v>
      </c>
      <c r="U93" s="11" t="str">
        <f t="shared" si="8"/>
        <v>1.지불 완료</v>
      </c>
      <c r="V93" s="13" t="s">
        <v>49</v>
      </c>
      <c r="W93" s="6" t="s">
        <v>209</v>
      </c>
    </row>
    <row r="94" spans="1:23" x14ac:dyDescent="0.3">
      <c r="A94" s="50">
        <v>39</v>
      </c>
      <c r="B94" s="39">
        <v>45548</v>
      </c>
      <c r="C94" s="6" t="s">
        <v>56</v>
      </c>
      <c r="D94" s="24" t="s">
        <v>87</v>
      </c>
      <c r="E94" s="6" t="s">
        <v>85</v>
      </c>
      <c r="F94" s="6">
        <v>1</v>
      </c>
      <c r="G94" s="6" t="s">
        <v>86</v>
      </c>
      <c r="H94" s="6">
        <v>2</v>
      </c>
      <c r="I94" s="39">
        <f t="shared" si="12"/>
        <v>45576</v>
      </c>
      <c r="J94" s="56" t="s">
        <v>13</v>
      </c>
      <c r="K94" s="39">
        <v>45559</v>
      </c>
      <c r="L94" s="9"/>
      <c r="M94" s="53">
        <v>1446000</v>
      </c>
      <c r="N94" s="6" t="s">
        <v>52</v>
      </c>
      <c r="O94" s="20" t="s">
        <v>156</v>
      </c>
      <c r="P94" s="6" t="s">
        <v>88</v>
      </c>
      <c r="Q94" s="6" t="s">
        <v>22</v>
      </c>
      <c r="R94" s="10" t="s">
        <v>77</v>
      </c>
      <c r="S94" s="11" t="s">
        <v>224</v>
      </c>
      <c r="T94" s="11" t="s">
        <v>68</v>
      </c>
      <c r="U94" s="11" t="str">
        <f t="shared" si="8"/>
        <v>1.지불 완료</v>
      </c>
      <c r="V94" s="13" t="s">
        <v>49</v>
      </c>
      <c r="W94" s="6" t="s">
        <v>225</v>
      </c>
    </row>
    <row r="95" spans="1:23" x14ac:dyDescent="0.3">
      <c r="A95" s="50">
        <v>38</v>
      </c>
      <c r="B95" s="39">
        <v>45544</v>
      </c>
      <c r="C95" s="6" t="s">
        <v>91</v>
      </c>
      <c r="D95" s="24" t="s">
        <v>92</v>
      </c>
      <c r="E95" s="6" t="s">
        <v>89</v>
      </c>
      <c r="F95" s="6">
        <v>1</v>
      </c>
      <c r="G95" s="6" t="s">
        <v>90</v>
      </c>
      <c r="H95" s="6">
        <v>320</v>
      </c>
      <c r="I95" s="39">
        <f t="shared" si="12"/>
        <v>45572</v>
      </c>
      <c r="J95" s="56" t="s">
        <v>13</v>
      </c>
      <c r="K95" s="39">
        <v>45558</v>
      </c>
      <c r="L95" s="9"/>
      <c r="M95" s="53">
        <v>4680000</v>
      </c>
      <c r="N95" s="6" t="s">
        <v>52</v>
      </c>
      <c r="O95" s="6" t="s">
        <v>63</v>
      </c>
      <c r="P95" s="6" t="s">
        <v>80</v>
      </c>
      <c r="Q95" s="6" t="s">
        <v>22</v>
      </c>
      <c r="R95" s="10" t="s">
        <v>77</v>
      </c>
      <c r="S95" s="11" t="s">
        <v>226</v>
      </c>
      <c r="T95" s="11" t="s">
        <v>71</v>
      </c>
      <c r="U95" s="11" t="str">
        <f t="shared" si="8"/>
        <v>1.지불 완료</v>
      </c>
      <c r="V95" s="13" t="s">
        <v>49</v>
      </c>
      <c r="W95" s="6" t="s">
        <v>227</v>
      </c>
    </row>
    <row r="96" spans="1:23" x14ac:dyDescent="0.3">
      <c r="A96" s="50">
        <v>37</v>
      </c>
      <c r="B96" s="43">
        <v>45544</v>
      </c>
      <c r="C96" s="6" t="s">
        <v>44</v>
      </c>
      <c r="D96" s="24" t="s">
        <v>104</v>
      </c>
      <c r="E96" s="6" t="s">
        <v>60</v>
      </c>
      <c r="F96" s="6">
        <v>1</v>
      </c>
      <c r="G96" s="6" t="s">
        <v>61</v>
      </c>
      <c r="H96" s="7">
        <v>1</v>
      </c>
      <c r="I96" s="39">
        <f>B96+140</f>
        <v>45684</v>
      </c>
      <c r="J96" s="56" t="s">
        <v>47</v>
      </c>
      <c r="K96" s="45" t="s">
        <v>293</v>
      </c>
      <c r="L96" s="9"/>
      <c r="M96" s="53">
        <f>30052000*0.3</f>
        <v>9015600</v>
      </c>
      <c r="N96" s="15" t="s">
        <v>289</v>
      </c>
      <c r="O96" s="6" t="s">
        <v>63</v>
      </c>
      <c r="P96" s="6" t="s">
        <v>80</v>
      </c>
      <c r="Q96" s="6" t="s">
        <v>22</v>
      </c>
      <c r="R96" s="10" t="s">
        <v>77</v>
      </c>
      <c r="S96" s="15" t="s">
        <v>295</v>
      </c>
      <c r="T96" s="15" t="s">
        <v>298</v>
      </c>
      <c r="U96" s="11" t="str">
        <f t="shared" si="8"/>
        <v>1.지불 완료</v>
      </c>
      <c r="V96" s="13" t="s">
        <v>49</v>
      </c>
      <c r="W96" s="6" t="s">
        <v>178</v>
      </c>
    </row>
    <row r="97" spans="1:23" x14ac:dyDescent="0.3">
      <c r="A97" s="50">
        <v>36</v>
      </c>
      <c r="B97" s="43">
        <v>45544</v>
      </c>
      <c r="C97" s="6" t="s">
        <v>44</v>
      </c>
      <c r="D97" s="24" t="s">
        <v>104</v>
      </c>
      <c r="E97" s="6" t="s">
        <v>60</v>
      </c>
      <c r="F97" s="6">
        <v>1</v>
      </c>
      <c r="G97" s="6" t="s">
        <v>61</v>
      </c>
      <c r="H97" s="7">
        <v>1</v>
      </c>
      <c r="I97" s="39">
        <f>B97+140</f>
        <v>45684</v>
      </c>
      <c r="J97" s="56" t="s">
        <v>47</v>
      </c>
      <c r="K97" s="38" t="s">
        <v>292</v>
      </c>
      <c r="L97" s="9"/>
      <c r="M97" s="53">
        <f>30052000*0.4</f>
        <v>12020800</v>
      </c>
      <c r="N97" s="15" t="s">
        <v>290</v>
      </c>
      <c r="O97" s="6" t="s">
        <v>63</v>
      </c>
      <c r="P97" s="6" t="s">
        <v>80</v>
      </c>
      <c r="Q97" s="6" t="s">
        <v>22</v>
      </c>
      <c r="R97" s="10" t="s">
        <v>77</v>
      </c>
      <c r="S97" s="15" t="s">
        <v>294</v>
      </c>
      <c r="T97" s="15" t="s">
        <v>297</v>
      </c>
      <c r="U97" s="11" t="str">
        <f t="shared" si="8"/>
        <v>1.지불 완료</v>
      </c>
      <c r="V97" s="13" t="s">
        <v>49</v>
      </c>
      <c r="W97" s="6" t="s">
        <v>178</v>
      </c>
    </row>
    <row r="98" spans="1:23" x14ac:dyDescent="0.3">
      <c r="A98" s="50">
        <v>35</v>
      </c>
      <c r="B98" s="43">
        <v>45544</v>
      </c>
      <c r="C98" s="6" t="s">
        <v>44</v>
      </c>
      <c r="D98" s="24" t="s">
        <v>104</v>
      </c>
      <c r="E98" s="6" t="s">
        <v>60</v>
      </c>
      <c r="F98" s="6">
        <v>1</v>
      </c>
      <c r="G98" s="6" t="s">
        <v>61</v>
      </c>
      <c r="H98" s="7">
        <v>1</v>
      </c>
      <c r="I98" s="39">
        <f>B98+140</f>
        <v>45684</v>
      </c>
      <c r="J98" s="56" t="s">
        <v>47</v>
      </c>
      <c r="K98" s="38"/>
      <c r="L98" s="9"/>
      <c r="M98" s="53">
        <f>30052000*0.3</f>
        <v>9015600</v>
      </c>
      <c r="N98" s="27" t="s">
        <v>291</v>
      </c>
      <c r="O98" s="6" t="s">
        <v>63</v>
      </c>
      <c r="P98" s="6" t="s">
        <v>80</v>
      </c>
      <c r="Q98" s="6" t="s">
        <v>22</v>
      </c>
      <c r="R98" s="10" t="s">
        <v>77</v>
      </c>
      <c r="S98" s="28" t="s">
        <v>373</v>
      </c>
      <c r="T98" s="28" t="s">
        <v>296</v>
      </c>
      <c r="U98" s="11" t="str">
        <f t="shared" si="8"/>
        <v>1.지불 완료</v>
      </c>
      <c r="V98" s="13" t="s">
        <v>49</v>
      </c>
      <c r="W98" s="6" t="s">
        <v>178</v>
      </c>
    </row>
    <row r="99" spans="1:23" x14ac:dyDescent="0.3">
      <c r="A99" s="50">
        <v>34</v>
      </c>
      <c r="B99" s="43">
        <v>45541</v>
      </c>
      <c r="C99" s="6" t="s">
        <v>75</v>
      </c>
      <c r="D99" s="23" t="s">
        <v>43</v>
      </c>
      <c r="E99" s="6" t="s">
        <v>103</v>
      </c>
      <c r="F99" s="6">
        <v>1</v>
      </c>
      <c r="G99" s="6" t="s">
        <v>34</v>
      </c>
      <c r="H99" s="7">
        <v>1</v>
      </c>
      <c r="I99" s="39">
        <f>B99+140</f>
        <v>45681</v>
      </c>
      <c r="J99" s="56" t="s">
        <v>47</v>
      </c>
      <c r="K99" s="43" t="s">
        <v>43</v>
      </c>
      <c r="L99" s="9"/>
      <c r="M99" s="53">
        <v>8274400</v>
      </c>
      <c r="N99" s="6" t="s">
        <v>35</v>
      </c>
      <c r="O99" s="6" t="s">
        <v>63</v>
      </c>
      <c r="P99" s="6" t="s">
        <v>80</v>
      </c>
      <c r="Q99" s="6" t="s">
        <v>22</v>
      </c>
      <c r="R99" s="10" t="s">
        <v>77</v>
      </c>
      <c r="S99" s="11" t="s">
        <v>232</v>
      </c>
      <c r="T99" s="11" t="s">
        <v>99</v>
      </c>
      <c r="U99" s="11" t="str">
        <f t="shared" ref="U99:U132" si="13">IF(ISBLANK(T99)=FALSE, "1.지불 완료", IF(ISBLANK(R99)=FALSE, "2.공급 완료", "3.진행 중"))</f>
        <v>1.지불 완료</v>
      </c>
      <c r="V99" s="13" t="s">
        <v>49</v>
      </c>
      <c r="W99" s="6" t="s">
        <v>233</v>
      </c>
    </row>
    <row r="100" spans="1:23" x14ac:dyDescent="0.3">
      <c r="A100" s="50">
        <v>33</v>
      </c>
      <c r="B100" s="39">
        <v>45532</v>
      </c>
      <c r="C100" s="6" t="s">
        <v>23</v>
      </c>
      <c r="D100" s="23" t="s">
        <v>43</v>
      </c>
      <c r="E100" s="6" t="s">
        <v>105</v>
      </c>
      <c r="F100" s="6">
        <v>1</v>
      </c>
      <c r="G100" s="6" t="s">
        <v>106</v>
      </c>
      <c r="H100" s="7">
        <v>1</v>
      </c>
      <c r="I100" s="39">
        <f t="shared" si="10"/>
        <v>45542</v>
      </c>
      <c r="J100" s="56" t="s">
        <v>25</v>
      </c>
      <c r="K100" s="39">
        <v>45532</v>
      </c>
      <c r="L100" s="9"/>
      <c r="M100" s="53">
        <v>982500</v>
      </c>
      <c r="N100" s="6" t="s">
        <v>26</v>
      </c>
      <c r="O100" s="6" t="s">
        <v>63</v>
      </c>
      <c r="P100" s="6" t="s">
        <v>80</v>
      </c>
      <c r="Q100" s="6" t="s">
        <v>22</v>
      </c>
      <c r="R100" s="10" t="s">
        <v>77</v>
      </c>
      <c r="S100" s="11" t="s">
        <v>234</v>
      </c>
      <c r="T100" s="11" t="s">
        <v>99</v>
      </c>
      <c r="U100" s="11" t="str">
        <f t="shared" si="13"/>
        <v>1.지불 완료</v>
      </c>
      <c r="V100" s="13" t="s">
        <v>49</v>
      </c>
      <c r="W100" s="6" t="s">
        <v>235</v>
      </c>
    </row>
    <row r="101" spans="1:23" x14ac:dyDescent="0.3">
      <c r="A101" s="50">
        <v>32</v>
      </c>
      <c r="B101" s="39">
        <v>45525</v>
      </c>
      <c r="C101" s="6" t="s">
        <v>56</v>
      </c>
      <c r="D101" s="24" t="s">
        <v>100</v>
      </c>
      <c r="E101" s="6" t="s">
        <v>101</v>
      </c>
      <c r="F101" s="6">
        <v>1</v>
      </c>
      <c r="G101" s="6" t="s">
        <v>102</v>
      </c>
      <c r="H101" s="6">
        <v>1</v>
      </c>
      <c r="I101" s="39">
        <f t="shared" ref="I101" si="14">B101+28</f>
        <v>45553</v>
      </c>
      <c r="J101" s="56" t="s">
        <v>13</v>
      </c>
      <c r="K101" s="39">
        <v>45539</v>
      </c>
      <c r="L101" s="9"/>
      <c r="M101" s="53">
        <v>788000</v>
      </c>
      <c r="N101" s="6" t="s">
        <v>52</v>
      </c>
      <c r="O101" s="6" t="s">
        <v>63</v>
      </c>
      <c r="P101" s="6" t="s">
        <v>80</v>
      </c>
      <c r="Q101" s="6" t="s">
        <v>22</v>
      </c>
      <c r="R101" s="10" t="s">
        <v>77</v>
      </c>
      <c r="S101" s="11" t="s">
        <v>228</v>
      </c>
      <c r="T101" s="11" t="s">
        <v>71</v>
      </c>
      <c r="U101" s="11" t="str">
        <f t="shared" si="13"/>
        <v>1.지불 완료</v>
      </c>
      <c r="V101" s="13" t="s">
        <v>49</v>
      </c>
      <c r="W101" s="6" t="s">
        <v>231</v>
      </c>
    </row>
    <row r="102" spans="1:23" x14ac:dyDescent="0.3">
      <c r="A102" s="50">
        <v>31</v>
      </c>
      <c r="B102" s="39">
        <v>45496</v>
      </c>
      <c r="C102" s="6" t="s">
        <v>239</v>
      </c>
      <c r="D102" s="24" t="s">
        <v>210</v>
      </c>
      <c r="E102" s="6" t="s">
        <v>443</v>
      </c>
      <c r="F102" s="6">
        <v>1</v>
      </c>
      <c r="G102" s="6" t="s">
        <v>495</v>
      </c>
      <c r="H102" s="6">
        <v>100</v>
      </c>
      <c r="I102" s="39"/>
      <c r="J102" s="56"/>
      <c r="K102" s="39"/>
      <c r="L102" s="9"/>
      <c r="M102" s="53">
        <v>180000</v>
      </c>
      <c r="N102" s="6" t="s">
        <v>480</v>
      </c>
      <c r="O102" s="6" t="s">
        <v>268</v>
      </c>
      <c r="P102" s="6" t="s">
        <v>187</v>
      </c>
      <c r="Q102" s="8" t="s">
        <v>210</v>
      </c>
      <c r="R102" s="10" t="s">
        <v>365</v>
      </c>
      <c r="S102" s="11" t="s">
        <v>445</v>
      </c>
      <c r="T102" s="13" t="s">
        <v>454</v>
      </c>
      <c r="U102" s="11" t="str">
        <f t="shared" si="13"/>
        <v>1.지불 완료</v>
      </c>
      <c r="V102" s="13" t="s">
        <v>271</v>
      </c>
      <c r="W102" s="6" t="s">
        <v>483</v>
      </c>
    </row>
    <row r="103" spans="1:23" x14ac:dyDescent="0.3">
      <c r="A103" s="50">
        <v>30</v>
      </c>
      <c r="B103" s="39">
        <v>45496</v>
      </c>
      <c r="C103" s="6" t="s">
        <v>239</v>
      </c>
      <c r="D103" s="24" t="s">
        <v>210</v>
      </c>
      <c r="E103" s="6" t="s">
        <v>443</v>
      </c>
      <c r="F103" s="6">
        <v>1</v>
      </c>
      <c r="G103" s="6" t="s">
        <v>494</v>
      </c>
      <c r="H103" s="6">
        <v>1</v>
      </c>
      <c r="I103" s="39"/>
      <c r="J103" s="56"/>
      <c r="K103" s="39"/>
      <c r="L103" s="9"/>
      <c r="M103" s="53">
        <v>1500000</v>
      </c>
      <c r="N103" s="6" t="s">
        <v>480</v>
      </c>
      <c r="O103" s="6" t="s">
        <v>268</v>
      </c>
      <c r="P103" s="6" t="s">
        <v>187</v>
      </c>
      <c r="Q103" s="8" t="s">
        <v>210</v>
      </c>
      <c r="R103" s="10" t="s">
        <v>365</v>
      </c>
      <c r="S103" s="11" t="s">
        <v>445</v>
      </c>
      <c r="T103" s="8" t="s">
        <v>454</v>
      </c>
      <c r="U103" s="11" t="str">
        <f t="shared" si="13"/>
        <v>1.지불 완료</v>
      </c>
      <c r="V103" s="13" t="s">
        <v>271</v>
      </c>
      <c r="W103" s="6" t="s">
        <v>483</v>
      </c>
    </row>
    <row r="104" spans="1:23" x14ac:dyDescent="0.3">
      <c r="A104" s="50">
        <v>29</v>
      </c>
      <c r="B104" s="39">
        <v>45488</v>
      </c>
      <c r="C104" s="6" t="s">
        <v>238</v>
      </c>
      <c r="D104" s="23" t="s">
        <v>210</v>
      </c>
      <c r="E104" s="72" t="s">
        <v>210</v>
      </c>
      <c r="F104" s="6"/>
      <c r="G104" s="6" t="s">
        <v>500</v>
      </c>
      <c r="H104" s="6">
        <v>1</v>
      </c>
      <c r="I104" s="39"/>
      <c r="J104" s="56"/>
      <c r="K104" s="43"/>
      <c r="L104" s="18"/>
      <c r="M104" s="53">
        <v>800000</v>
      </c>
      <c r="N104" s="15"/>
      <c r="O104" s="6"/>
      <c r="P104" s="6"/>
      <c r="Q104" s="8" t="s">
        <v>210</v>
      </c>
      <c r="R104" s="10" t="s">
        <v>365</v>
      </c>
      <c r="S104" s="13" t="s">
        <v>445</v>
      </c>
      <c r="T104" s="13" t="s">
        <v>454</v>
      </c>
      <c r="U104" s="11" t="str">
        <f t="shared" si="13"/>
        <v>1.지불 완료</v>
      </c>
      <c r="V104" s="13" t="s">
        <v>271</v>
      </c>
      <c r="W104" s="6" t="s">
        <v>483</v>
      </c>
    </row>
    <row r="105" spans="1:23" x14ac:dyDescent="0.3">
      <c r="A105" s="50">
        <v>28</v>
      </c>
      <c r="B105" s="39">
        <v>45488</v>
      </c>
      <c r="C105" s="6" t="s">
        <v>238</v>
      </c>
      <c r="D105" s="23" t="s">
        <v>210</v>
      </c>
      <c r="E105" s="72" t="s">
        <v>210</v>
      </c>
      <c r="F105" s="6"/>
      <c r="G105" s="6" t="s">
        <v>499</v>
      </c>
      <c r="H105" s="6">
        <v>100</v>
      </c>
      <c r="I105" s="39"/>
      <c r="J105" s="56"/>
      <c r="K105" s="43"/>
      <c r="L105" s="18"/>
      <c r="M105" s="53">
        <v>75000</v>
      </c>
      <c r="N105" s="15"/>
      <c r="O105" s="6"/>
      <c r="P105" s="6"/>
      <c r="Q105" s="8" t="s">
        <v>210</v>
      </c>
      <c r="R105" s="10" t="s">
        <v>365</v>
      </c>
      <c r="S105" s="13" t="s">
        <v>445</v>
      </c>
      <c r="T105" s="13" t="s">
        <v>454</v>
      </c>
      <c r="U105" s="11" t="str">
        <f t="shared" si="13"/>
        <v>1.지불 완료</v>
      </c>
      <c r="V105" s="13" t="s">
        <v>271</v>
      </c>
      <c r="W105" s="6" t="s">
        <v>483</v>
      </c>
    </row>
    <row r="106" spans="1:23" x14ac:dyDescent="0.3">
      <c r="A106" s="50">
        <v>27</v>
      </c>
      <c r="B106" s="39">
        <v>45488</v>
      </c>
      <c r="C106" s="6" t="s">
        <v>238</v>
      </c>
      <c r="D106" s="23" t="s">
        <v>210</v>
      </c>
      <c r="E106" s="72" t="s">
        <v>210</v>
      </c>
      <c r="F106" s="6"/>
      <c r="G106" s="6" t="s">
        <v>498</v>
      </c>
      <c r="H106" s="6">
        <v>100</v>
      </c>
      <c r="I106" s="39"/>
      <c r="J106" s="56"/>
      <c r="K106" s="43"/>
      <c r="L106" s="18"/>
      <c r="M106" s="53">
        <v>55000</v>
      </c>
      <c r="N106" s="15"/>
      <c r="O106" s="6"/>
      <c r="P106" s="6"/>
      <c r="Q106" s="8" t="s">
        <v>210</v>
      </c>
      <c r="R106" s="10" t="s">
        <v>365</v>
      </c>
      <c r="S106" s="13" t="s">
        <v>445</v>
      </c>
      <c r="T106" s="13" t="s">
        <v>454</v>
      </c>
      <c r="U106" s="11" t="str">
        <f t="shared" si="13"/>
        <v>1.지불 완료</v>
      </c>
      <c r="V106" s="13" t="s">
        <v>271</v>
      </c>
      <c r="W106" s="6" t="s">
        <v>483</v>
      </c>
    </row>
    <row r="107" spans="1:23" x14ac:dyDescent="0.3">
      <c r="A107" s="50">
        <v>26</v>
      </c>
      <c r="B107" s="39">
        <v>45488</v>
      </c>
      <c r="C107" s="6" t="s">
        <v>238</v>
      </c>
      <c r="D107" s="23" t="s">
        <v>210</v>
      </c>
      <c r="E107" s="72" t="s">
        <v>210</v>
      </c>
      <c r="F107" s="6"/>
      <c r="G107" s="6" t="s">
        <v>497</v>
      </c>
      <c r="H107" s="6">
        <v>50</v>
      </c>
      <c r="I107" s="39"/>
      <c r="J107" s="56"/>
      <c r="K107" s="43"/>
      <c r="L107" s="18"/>
      <c r="M107" s="53">
        <v>95000</v>
      </c>
      <c r="N107" s="15"/>
      <c r="O107" s="6"/>
      <c r="P107" s="6"/>
      <c r="Q107" s="8" t="s">
        <v>210</v>
      </c>
      <c r="R107" s="10" t="s">
        <v>365</v>
      </c>
      <c r="S107" s="13" t="s">
        <v>445</v>
      </c>
      <c r="T107" s="13" t="s">
        <v>454</v>
      </c>
      <c r="U107" s="11" t="str">
        <f t="shared" si="13"/>
        <v>1.지불 완료</v>
      </c>
      <c r="V107" s="13" t="s">
        <v>271</v>
      </c>
      <c r="W107" s="6" t="s">
        <v>483</v>
      </c>
    </row>
    <row r="108" spans="1:23" x14ac:dyDescent="0.3">
      <c r="A108" s="50">
        <v>25</v>
      </c>
      <c r="B108" s="39">
        <v>45488</v>
      </c>
      <c r="C108" s="6" t="s">
        <v>238</v>
      </c>
      <c r="D108" s="23" t="s">
        <v>210</v>
      </c>
      <c r="E108" s="72" t="s">
        <v>210</v>
      </c>
      <c r="F108" s="6"/>
      <c r="G108" s="6" t="s">
        <v>496</v>
      </c>
      <c r="H108" s="6">
        <v>1</v>
      </c>
      <c r="I108" s="39"/>
      <c r="J108" s="56"/>
      <c r="K108" s="43"/>
      <c r="L108" s="18"/>
      <c r="M108" s="53">
        <v>800000</v>
      </c>
      <c r="N108" s="15"/>
      <c r="O108" s="6"/>
      <c r="P108" s="6"/>
      <c r="Q108" s="8" t="s">
        <v>210</v>
      </c>
      <c r="R108" s="10" t="s">
        <v>365</v>
      </c>
      <c r="S108" s="13" t="s">
        <v>445</v>
      </c>
      <c r="T108" s="13" t="s">
        <v>454</v>
      </c>
      <c r="U108" s="11" t="str">
        <f t="shared" si="13"/>
        <v>1.지불 완료</v>
      </c>
      <c r="V108" s="13" t="s">
        <v>271</v>
      </c>
      <c r="W108" s="6" t="s">
        <v>483</v>
      </c>
    </row>
    <row r="109" spans="1:23" ht="33" x14ac:dyDescent="0.3">
      <c r="A109" s="50">
        <v>24</v>
      </c>
      <c r="B109" s="39">
        <v>45495</v>
      </c>
      <c r="C109" s="6" t="s">
        <v>96</v>
      </c>
      <c r="D109" s="23" t="s">
        <v>43</v>
      </c>
      <c r="E109" s="6" t="s">
        <v>97</v>
      </c>
      <c r="F109" s="6">
        <v>1</v>
      </c>
      <c r="G109" s="6" t="s">
        <v>98</v>
      </c>
      <c r="H109" s="6">
        <v>180</v>
      </c>
      <c r="I109" s="39">
        <f>B109+140</f>
        <v>45635</v>
      </c>
      <c r="J109" s="56" t="s">
        <v>47</v>
      </c>
      <c r="K109" s="43" t="s">
        <v>43</v>
      </c>
      <c r="L109" s="18">
        <v>4950</v>
      </c>
      <c r="M109" s="53">
        <v>6637950</v>
      </c>
      <c r="N109" s="15" t="s">
        <v>230</v>
      </c>
      <c r="O109" s="6" t="s">
        <v>63</v>
      </c>
      <c r="P109" s="6" t="s">
        <v>78</v>
      </c>
      <c r="Q109" s="6" t="s">
        <v>22</v>
      </c>
      <c r="R109" s="10" t="s">
        <v>77</v>
      </c>
      <c r="S109" s="11" t="s">
        <v>228</v>
      </c>
      <c r="T109" s="11" t="s">
        <v>99</v>
      </c>
      <c r="U109" s="11" t="str">
        <f t="shared" si="13"/>
        <v>1.지불 완료</v>
      </c>
      <c r="V109" s="13" t="s">
        <v>49</v>
      </c>
      <c r="W109" s="19" t="s">
        <v>229</v>
      </c>
    </row>
    <row r="110" spans="1:23" x14ac:dyDescent="0.3">
      <c r="A110" s="50">
        <v>23</v>
      </c>
      <c r="B110" s="39">
        <v>45477</v>
      </c>
      <c r="C110" s="6" t="s">
        <v>408</v>
      </c>
      <c r="D110" s="23" t="s">
        <v>210</v>
      </c>
      <c r="E110" s="6" t="s">
        <v>443</v>
      </c>
      <c r="F110" s="6">
        <v>1</v>
      </c>
      <c r="G110" s="6" t="s">
        <v>493</v>
      </c>
      <c r="H110" s="6">
        <v>1</v>
      </c>
      <c r="I110" s="39"/>
      <c r="J110" s="56"/>
      <c r="K110" s="43"/>
      <c r="L110" s="18"/>
      <c r="M110" s="53">
        <v>1626700</v>
      </c>
      <c r="N110" s="15"/>
      <c r="O110" s="6" t="s">
        <v>268</v>
      </c>
      <c r="P110" s="6" t="s">
        <v>180</v>
      </c>
      <c r="Q110" s="8" t="s">
        <v>210</v>
      </c>
      <c r="R110" s="10" t="s">
        <v>365</v>
      </c>
      <c r="S110" s="8" t="s">
        <v>445</v>
      </c>
      <c r="T110" s="8" t="s">
        <v>482</v>
      </c>
      <c r="U110" s="11" t="str">
        <f t="shared" si="13"/>
        <v>1.지불 완료</v>
      </c>
      <c r="V110" s="13" t="s">
        <v>271</v>
      </c>
      <c r="W110" s="19" t="s">
        <v>459</v>
      </c>
    </row>
    <row r="111" spans="1:23" x14ac:dyDescent="0.3">
      <c r="A111" s="50">
        <v>22</v>
      </c>
      <c r="B111" s="39">
        <v>45476</v>
      </c>
      <c r="C111" s="6" t="s">
        <v>491</v>
      </c>
      <c r="D111" s="23" t="s">
        <v>210</v>
      </c>
      <c r="E111" s="6" t="s">
        <v>479</v>
      </c>
      <c r="F111" s="6">
        <v>1</v>
      </c>
      <c r="G111" s="6" t="s">
        <v>492</v>
      </c>
      <c r="H111" s="6">
        <v>1</v>
      </c>
      <c r="I111" s="39"/>
      <c r="J111" s="56"/>
      <c r="K111" s="43"/>
      <c r="L111" s="18"/>
      <c r="M111" s="53">
        <v>1680000</v>
      </c>
      <c r="N111" s="15"/>
      <c r="O111" s="6" t="s">
        <v>268</v>
      </c>
      <c r="P111" s="6" t="s">
        <v>180</v>
      </c>
      <c r="Q111" s="8" t="s">
        <v>210</v>
      </c>
      <c r="R111" s="10" t="s">
        <v>365</v>
      </c>
      <c r="S111" s="13" t="s">
        <v>445</v>
      </c>
      <c r="T111" s="13" t="s">
        <v>454</v>
      </c>
      <c r="U111" s="11" t="str">
        <f t="shared" si="13"/>
        <v>1.지불 완료</v>
      </c>
      <c r="V111" s="13" t="s">
        <v>271</v>
      </c>
      <c r="W111" s="19" t="s">
        <v>459</v>
      </c>
    </row>
    <row r="112" spans="1:23" x14ac:dyDescent="0.3">
      <c r="A112" s="50">
        <v>21</v>
      </c>
      <c r="B112" s="39">
        <v>45475</v>
      </c>
      <c r="C112" s="6" t="s">
        <v>487</v>
      </c>
      <c r="D112" s="23" t="s">
        <v>210</v>
      </c>
      <c r="E112" s="6" t="s">
        <v>443</v>
      </c>
      <c r="F112" s="6">
        <v>1</v>
      </c>
      <c r="G112" s="6" t="s">
        <v>490</v>
      </c>
      <c r="H112" s="6">
        <v>1</v>
      </c>
      <c r="I112" s="39"/>
      <c r="J112" s="56"/>
      <c r="K112" s="43"/>
      <c r="L112" s="18"/>
      <c r="M112" s="53">
        <v>124980</v>
      </c>
      <c r="N112" s="15"/>
      <c r="O112" s="6" t="s">
        <v>268</v>
      </c>
      <c r="P112" s="6" t="s">
        <v>269</v>
      </c>
      <c r="Q112" s="8" t="s">
        <v>210</v>
      </c>
      <c r="R112" s="10" t="s">
        <v>365</v>
      </c>
      <c r="S112" s="13" t="s">
        <v>445</v>
      </c>
      <c r="T112" s="13" t="s">
        <v>454</v>
      </c>
      <c r="U112" s="11" t="str">
        <f t="shared" si="13"/>
        <v>1.지불 완료</v>
      </c>
      <c r="V112" s="13" t="s">
        <v>271</v>
      </c>
      <c r="W112" s="19" t="s">
        <v>459</v>
      </c>
    </row>
    <row r="113" spans="1:23" x14ac:dyDescent="0.3">
      <c r="A113" s="50">
        <v>20</v>
      </c>
      <c r="B113" s="39">
        <v>45475</v>
      </c>
      <c r="C113" s="6" t="s">
        <v>487</v>
      </c>
      <c r="D113" s="23" t="s">
        <v>210</v>
      </c>
      <c r="E113" s="6" t="s">
        <v>443</v>
      </c>
      <c r="F113" s="6">
        <v>1</v>
      </c>
      <c r="G113" s="6" t="s">
        <v>489</v>
      </c>
      <c r="H113" s="6">
        <v>1</v>
      </c>
      <c r="I113" s="39"/>
      <c r="J113" s="56"/>
      <c r="K113" s="43"/>
      <c r="L113" s="18">
        <v>150</v>
      </c>
      <c r="M113" s="53">
        <v>205815</v>
      </c>
      <c r="N113" s="15"/>
      <c r="O113" s="6" t="s">
        <v>268</v>
      </c>
      <c r="P113" s="6" t="s">
        <v>269</v>
      </c>
      <c r="Q113" s="8" t="s">
        <v>210</v>
      </c>
      <c r="R113" s="10" t="s">
        <v>365</v>
      </c>
      <c r="S113" s="13" t="s">
        <v>445</v>
      </c>
      <c r="T113" s="13" t="s">
        <v>454</v>
      </c>
      <c r="U113" s="11" t="str">
        <f t="shared" si="13"/>
        <v>1.지불 완료</v>
      </c>
      <c r="V113" s="13" t="s">
        <v>271</v>
      </c>
      <c r="W113" s="19" t="s">
        <v>459</v>
      </c>
    </row>
    <row r="114" spans="1:23" x14ac:dyDescent="0.3">
      <c r="A114" s="50">
        <v>19</v>
      </c>
      <c r="B114" s="39">
        <v>45475</v>
      </c>
      <c r="C114" s="6" t="s">
        <v>487</v>
      </c>
      <c r="D114" s="23" t="s">
        <v>210</v>
      </c>
      <c r="E114" s="6" t="s">
        <v>478</v>
      </c>
      <c r="F114" s="6">
        <v>1</v>
      </c>
      <c r="G114" s="6" t="s">
        <v>488</v>
      </c>
      <c r="H114" s="6">
        <v>140</v>
      </c>
      <c r="I114" s="39"/>
      <c r="J114" s="56"/>
      <c r="K114" s="43"/>
      <c r="L114" s="18">
        <v>686</v>
      </c>
      <c r="M114" s="53">
        <v>941260.6</v>
      </c>
      <c r="N114" s="15"/>
      <c r="O114" s="6" t="s">
        <v>268</v>
      </c>
      <c r="P114" s="6" t="s">
        <v>269</v>
      </c>
      <c r="Q114" s="8" t="s">
        <v>210</v>
      </c>
      <c r="R114" s="10" t="s">
        <v>365</v>
      </c>
      <c r="S114" s="13" t="s">
        <v>445</v>
      </c>
      <c r="T114" s="13" t="s">
        <v>454</v>
      </c>
      <c r="U114" s="11" t="str">
        <f t="shared" si="13"/>
        <v>1.지불 완료</v>
      </c>
      <c r="V114" s="13" t="s">
        <v>271</v>
      </c>
      <c r="W114" s="19" t="s">
        <v>459</v>
      </c>
    </row>
    <row r="115" spans="1:23" x14ac:dyDescent="0.3">
      <c r="A115" s="50">
        <v>18</v>
      </c>
      <c r="B115" s="39">
        <v>45474</v>
      </c>
      <c r="C115" s="6" t="s">
        <v>484</v>
      </c>
      <c r="D115" s="23" t="s">
        <v>210</v>
      </c>
      <c r="E115" s="6" t="s">
        <v>485</v>
      </c>
      <c r="F115" s="6">
        <v>1</v>
      </c>
      <c r="G115" s="6" t="s">
        <v>486</v>
      </c>
      <c r="H115" s="6">
        <v>70</v>
      </c>
      <c r="I115" s="39"/>
      <c r="J115" s="56"/>
      <c r="K115" s="43"/>
      <c r="L115" s="18"/>
      <c r="M115" s="53">
        <v>420000</v>
      </c>
      <c r="N115" s="15"/>
      <c r="O115" s="6" t="s">
        <v>268</v>
      </c>
      <c r="P115" s="6" t="s">
        <v>180</v>
      </c>
      <c r="Q115" s="8" t="s">
        <v>210</v>
      </c>
      <c r="R115" s="10" t="s">
        <v>365</v>
      </c>
      <c r="S115" s="13" t="s">
        <v>445</v>
      </c>
      <c r="T115" s="13" t="s">
        <v>481</v>
      </c>
      <c r="U115" s="11" t="str">
        <f t="shared" si="13"/>
        <v>1.지불 완료</v>
      </c>
      <c r="V115" s="13" t="s">
        <v>271</v>
      </c>
      <c r="W115" s="19" t="s">
        <v>459</v>
      </c>
    </row>
    <row r="116" spans="1:23" x14ac:dyDescent="0.3">
      <c r="A116" s="50">
        <v>17</v>
      </c>
      <c r="B116" s="39">
        <v>45458</v>
      </c>
      <c r="C116" s="6" t="s">
        <v>305</v>
      </c>
      <c r="D116" s="23" t="s">
        <v>210</v>
      </c>
      <c r="E116" s="6" t="s">
        <v>376</v>
      </c>
      <c r="F116" s="6">
        <v>1</v>
      </c>
      <c r="G116" s="6" t="s">
        <v>377</v>
      </c>
      <c r="H116" s="6">
        <v>1</v>
      </c>
      <c r="I116" s="39"/>
      <c r="J116" s="56"/>
      <c r="K116" s="38">
        <v>45681</v>
      </c>
      <c r="L116" s="18"/>
      <c r="M116" s="53">
        <v>24000000</v>
      </c>
      <c r="N116" s="15" t="s">
        <v>378</v>
      </c>
      <c r="O116" s="6" t="s">
        <v>268</v>
      </c>
      <c r="P116" s="6" t="s">
        <v>187</v>
      </c>
      <c r="Q116" s="6" t="s">
        <v>368</v>
      </c>
      <c r="R116" s="10" t="s">
        <v>365</v>
      </c>
      <c r="S116" s="6" t="s">
        <v>393</v>
      </c>
      <c r="T116" s="6" t="s">
        <v>415</v>
      </c>
      <c r="U116" s="11" t="str">
        <f t="shared" si="13"/>
        <v>1.지불 완료</v>
      </c>
      <c r="V116" s="13" t="s">
        <v>271</v>
      </c>
      <c r="W116" s="19" t="s">
        <v>375</v>
      </c>
    </row>
    <row r="117" spans="1:23" x14ac:dyDescent="0.3">
      <c r="A117" s="50">
        <v>16</v>
      </c>
      <c r="B117" s="39">
        <v>45458</v>
      </c>
      <c r="C117" s="6" t="s">
        <v>121</v>
      </c>
      <c r="D117" s="23" t="s">
        <v>43</v>
      </c>
      <c r="E117" s="6" t="s">
        <v>119</v>
      </c>
      <c r="F117" s="6">
        <v>1</v>
      </c>
      <c r="G117" s="6" t="s">
        <v>120</v>
      </c>
      <c r="H117" s="6">
        <v>1</v>
      </c>
      <c r="I117" s="39"/>
      <c r="J117" s="56"/>
      <c r="K117" s="39">
        <v>45622</v>
      </c>
      <c r="L117" s="9"/>
      <c r="M117" s="53">
        <v>24000000</v>
      </c>
      <c r="N117" s="6" t="s">
        <v>379</v>
      </c>
      <c r="O117" s="6" t="s">
        <v>63</v>
      </c>
      <c r="P117" s="6" t="s">
        <v>78</v>
      </c>
      <c r="Q117" s="6" t="s">
        <v>22</v>
      </c>
      <c r="R117" s="10" t="s">
        <v>77</v>
      </c>
      <c r="S117" s="6" t="s">
        <v>172</v>
      </c>
      <c r="T117" s="6" t="s">
        <v>122</v>
      </c>
      <c r="U117" s="11" t="str">
        <f t="shared" si="13"/>
        <v>1.지불 완료</v>
      </c>
      <c r="V117" s="8" t="s">
        <v>49</v>
      </c>
      <c r="W117" s="6" t="s">
        <v>204</v>
      </c>
    </row>
    <row r="118" spans="1:23" x14ac:dyDescent="0.3">
      <c r="A118" s="50">
        <v>15</v>
      </c>
      <c r="B118" s="39">
        <v>45458</v>
      </c>
      <c r="C118" s="6" t="s">
        <v>121</v>
      </c>
      <c r="D118" s="23" t="s">
        <v>43</v>
      </c>
      <c r="E118" s="6" t="s">
        <v>119</v>
      </c>
      <c r="F118" s="6">
        <v>1</v>
      </c>
      <c r="G118" s="6" t="s">
        <v>120</v>
      </c>
      <c r="H118" s="6">
        <v>1</v>
      </c>
      <c r="I118" s="39"/>
      <c r="J118" s="56"/>
      <c r="K118" s="39">
        <v>45458</v>
      </c>
      <c r="L118" s="9"/>
      <c r="M118" s="53">
        <v>32000000</v>
      </c>
      <c r="N118" s="27" t="s">
        <v>372</v>
      </c>
      <c r="O118" s="6" t="s">
        <v>63</v>
      </c>
      <c r="P118" s="6" t="s">
        <v>78</v>
      </c>
      <c r="Q118" s="6" t="s">
        <v>22</v>
      </c>
      <c r="R118" s="10" t="s">
        <v>77</v>
      </c>
      <c r="S118" s="28" t="s">
        <v>373</v>
      </c>
      <c r="T118" s="28" t="s">
        <v>374</v>
      </c>
      <c r="U118" s="11" t="str">
        <f t="shared" si="13"/>
        <v>1.지불 완료</v>
      </c>
      <c r="V118" s="8" t="s">
        <v>49</v>
      </c>
      <c r="W118" s="6" t="s">
        <v>204</v>
      </c>
    </row>
    <row r="119" spans="1:23" x14ac:dyDescent="0.3">
      <c r="A119" s="50">
        <v>14</v>
      </c>
      <c r="B119" s="39">
        <v>45453</v>
      </c>
      <c r="C119" s="6" t="s">
        <v>408</v>
      </c>
      <c r="D119" s="23" t="s">
        <v>210</v>
      </c>
      <c r="E119" s="6" t="s">
        <v>443</v>
      </c>
      <c r="F119" s="6">
        <v>1</v>
      </c>
      <c r="G119" s="6" t="s">
        <v>477</v>
      </c>
      <c r="H119" s="6">
        <v>1</v>
      </c>
      <c r="I119" s="39"/>
      <c r="J119" s="56"/>
      <c r="K119" s="39">
        <v>45462</v>
      </c>
      <c r="L119" s="9"/>
      <c r="M119" s="53">
        <v>2409000</v>
      </c>
      <c r="N119" s="27"/>
      <c r="O119" s="6" t="s">
        <v>268</v>
      </c>
      <c r="P119" s="6" t="s">
        <v>180</v>
      </c>
      <c r="Q119" s="8" t="s">
        <v>210</v>
      </c>
      <c r="R119" s="10" t="s">
        <v>365</v>
      </c>
      <c r="S119" s="28" t="s">
        <v>445</v>
      </c>
      <c r="T119" s="28" t="s">
        <v>453</v>
      </c>
      <c r="U119" s="11" t="str">
        <f t="shared" si="13"/>
        <v>1.지불 완료</v>
      </c>
      <c r="V119" s="8" t="s">
        <v>271</v>
      </c>
      <c r="W119" s="6" t="s">
        <v>459</v>
      </c>
    </row>
    <row r="120" spans="1:23" x14ac:dyDescent="0.3">
      <c r="A120" s="50">
        <v>13</v>
      </c>
      <c r="B120" s="39">
        <v>45453</v>
      </c>
      <c r="C120" s="6" t="s">
        <v>472</v>
      </c>
      <c r="D120" s="23" t="s">
        <v>210</v>
      </c>
      <c r="E120" s="6" t="s">
        <v>473</v>
      </c>
      <c r="F120" s="6">
        <v>1</v>
      </c>
      <c r="G120" s="6" t="s">
        <v>474</v>
      </c>
      <c r="H120" s="6">
        <v>1</v>
      </c>
      <c r="I120" s="39"/>
      <c r="J120" s="56" t="s">
        <v>475</v>
      </c>
      <c r="K120" s="39"/>
      <c r="L120" s="18">
        <v>24200</v>
      </c>
      <c r="M120" s="53">
        <v>30474085.465999998</v>
      </c>
      <c r="N120" s="27" t="s">
        <v>476</v>
      </c>
      <c r="O120" s="6" t="s">
        <v>268</v>
      </c>
      <c r="P120" s="6" t="s">
        <v>169</v>
      </c>
      <c r="Q120" s="8" t="s">
        <v>210</v>
      </c>
      <c r="R120" s="10" t="s">
        <v>365</v>
      </c>
      <c r="S120" s="28" t="s">
        <v>445</v>
      </c>
      <c r="T120" s="28" t="s">
        <v>454</v>
      </c>
      <c r="U120" s="11" t="str">
        <f t="shared" si="13"/>
        <v>1.지불 완료</v>
      </c>
      <c r="V120" s="8" t="s">
        <v>271</v>
      </c>
      <c r="W120" s="6" t="s">
        <v>459</v>
      </c>
    </row>
    <row r="121" spans="1:23" x14ac:dyDescent="0.3">
      <c r="A121" s="50">
        <v>12</v>
      </c>
      <c r="B121" s="39">
        <v>45435</v>
      </c>
      <c r="C121" s="6" t="s">
        <v>11</v>
      </c>
      <c r="D121" s="23" t="s">
        <v>210</v>
      </c>
      <c r="E121" s="6" t="s">
        <v>442</v>
      </c>
      <c r="F121" s="6">
        <v>1</v>
      </c>
      <c r="G121" s="6" t="s">
        <v>471</v>
      </c>
      <c r="H121" s="6">
        <v>1</v>
      </c>
      <c r="I121" s="39"/>
      <c r="J121" s="56"/>
      <c r="K121" s="39">
        <v>45462</v>
      </c>
      <c r="L121" s="9"/>
      <c r="M121" s="53">
        <v>4349310</v>
      </c>
      <c r="N121" s="27" t="s">
        <v>457</v>
      </c>
      <c r="O121" s="6" t="s">
        <v>268</v>
      </c>
      <c r="P121" s="6" t="s">
        <v>187</v>
      </c>
      <c r="Q121" s="8" t="s">
        <v>210</v>
      </c>
      <c r="R121" s="10" t="s">
        <v>365</v>
      </c>
      <c r="S121" s="28" t="s">
        <v>445</v>
      </c>
      <c r="T121" s="28" t="s">
        <v>453</v>
      </c>
      <c r="U121" s="11" t="str">
        <f t="shared" si="13"/>
        <v>1.지불 완료</v>
      </c>
      <c r="V121" s="8" t="s">
        <v>271</v>
      </c>
      <c r="W121" s="6" t="s">
        <v>459</v>
      </c>
    </row>
    <row r="122" spans="1:23" x14ac:dyDescent="0.3">
      <c r="A122" s="50">
        <v>11</v>
      </c>
      <c r="B122" s="39">
        <v>45435</v>
      </c>
      <c r="C122" s="6" t="s">
        <v>11</v>
      </c>
      <c r="D122" s="23" t="s">
        <v>210</v>
      </c>
      <c r="E122" s="6" t="s">
        <v>442</v>
      </c>
      <c r="F122" s="6">
        <v>1</v>
      </c>
      <c r="G122" s="6" t="s">
        <v>470</v>
      </c>
      <c r="H122" s="6">
        <v>1</v>
      </c>
      <c r="I122" s="39"/>
      <c r="J122" s="56"/>
      <c r="K122" s="39">
        <v>45436</v>
      </c>
      <c r="L122" s="9"/>
      <c r="M122" s="53">
        <v>1863990</v>
      </c>
      <c r="N122" s="27" t="s">
        <v>457</v>
      </c>
      <c r="O122" s="6" t="s">
        <v>268</v>
      </c>
      <c r="P122" s="6" t="s">
        <v>187</v>
      </c>
      <c r="Q122" s="8" t="s">
        <v>210</v>
      </c>
      <c r="R122" s="10" t="s">
        <v>365</v>
      </c>
      <c r="S122" s="28" t="s">
        <v>445</v>
      </c>
      <c r="T122" s="28" t="s">
        <v>446</v>
      </c>
      <c r="U122" s="11" t="str">
        <f t="shared" si="13"/>
        <v>1.지불 완료</v>
      </c>
      <c r="V122" s="8" t="s">
        <v>271</v>
      </c>
      <c r="W122" s="6" t="s">
        <v>459</v>
      </c>
    </row>
    <row r="123" spans="1:23" x14ac:dyDescent="0.3">
      <c r="A123" s="50">
        <v>10</v>
      </c>
      <c r="B123" s="39">
        <v>45435</v>
      </c>
      <c r="C123" s="6" t="s">
        <v>247</v>
      </c>
      <c r="D123" s="23" t="s">
        <v>210</v>
      </c>
      <c r="E123" s="6" t="s">
        <v>441</v>
      </c>
      <c r="F123" s="6">
        <v>1</v>
      </c>
      <c r="G123" s="6" t="s">
        <v>469</v>
      </c>
      <c r="H123" s="6">
        <v>1</v>
      </c>
      <c r="I123" s="39"/>
      <c r="J123" s="56"/>
      <c r="K123" s="39">
        <v>45497</v>
      </c>
      <c r="L123" s="9"/>
      <c r="M123" s="53">
        <v>26496461</v>
      </c>
      <c r="N123" s="27" t="s">
        <v>457</v>
      </c>
      <c r="O123" s="6" t="s">
        <v>268</v>
      </c>
      <c r="P123" s="6" t="s">
        <v>187</v>
      </c>
      <c r="Q123" s="8" t="s">
        <v>210</v>
      </c>
      <c r="R123" s="10" t="s">
        <v>365</v>
      </c>
      <c r="S123" s="28" t="s">
        <v>445</v>
      </c>
      <c r="T123" s="28" t="s">
        <v>452</v>
      </c>
      <c r="U123" s="11" t="str">
        <f t="shared" si="13"/>
        <v>1.지불 완료</v>
      </c>
      <c r="V123" s="8" t="s">
        <v>271</v>
      </c>
      <c r="W123" s="6" t="s">
        <v>459</v>
      </c>
    </row>
    <row r="124" spans="1:23" x14ac:dyDescent="0.3">
      <c r="A124" s="50">
        <v>9</v>
      </c>
      <c r="B124" s="39">
        <v>45435</v>
      </c>
      <c r="C124" s="6" t="s">
        <v>247</v>
      </c>
      <c r="D124" s="23" t="s">
        <v>210</v>
      </c>
      <c r="E124" s="6" t="s">
        <v>441</v>
      </c>
      <c r="F124" s="6">
        <v>1</v>
      </c>
      <c r="G124" s="6" t="s">
        <v>468</v>
      </c>
      <c r="H124" s="6">
        <v>1</v>
      </c>
      <c r="I124" s="39"/>
      <c r="J124" s="56"/>
      <c r="K124" s="39">
        <v>45440</v>
      </c>
      <c r="L124" s="9"/>
      <c r="M124" s="53">
        <v>16197119</v>
      </c>
      <c r="N124" s="27" t="s">
        <v>457</v>
      </c>
      <c r="O124" s="6" t="s">
        <v>268</v>
      </c>
      <c r="P124" s="6" t="s">
        <v>187</v>
      </c>
      <c r="Q124" s="8" t="s">
        <v>210</v>
      </c>
      <c r="R124" s="10" t="s">
        <v>365</v>
      </c>
      <c r="S124" s="28" t="s">
        <v>445</v>
      </c>
      <c r="T124" s="28" t="s">
        <v>451</v>
      </c>
      <c r="U124" s="11" t="str">
        <f t="shared" si="13"/>
        <v>1.지불 완료</v>
      </c>
      <c r="V124" s="8" t="s">
        <v>271</v>
      </c>
      <c r="W124" s="6" t="s">
        <v>459</v>
      </c>
    </row>
    <row r="125" spans="1:23" x14ac:dyDescent="0.3">
      <c r="A125" s="50">
        <v>8</v>
      </c>
      <c r="B125" s="39">
        <v>45432</v>
      </c>
      <c r="C125" s="6" t="s">
        <v>466</v>
      </c>
      <c r="D125" s="23" t="s">
        <v>210</v>
      </c>
      <c r="E125" s="6" t="s">
        <v>440</v>
      </c>
      <c r="F125" s="6">
        <v>1</v>
      </c>
      <c r="G125" s="6" t="s">
        <v>467</v>
      </c>
      <c r="H125" s="6">
        <v>50</v>
      </c>
      <c r="I125" s="39"/>
      <c r="J125" s="56"/>
      <c r="K125" s="39"/>
      <c r="L125" s="9"/>
      <c r="M125" s="53">
        <v>2275000</v>
      </c>
      <c r="N125" s="27"/>
      <c r="O125" s="6" t="s">
        <v>268</v>
      </c>
      <c r="P125" s="6" t="s">
        <v>458</v>
      </c>
      <c r="Q125" s="8" t="s">
        <v>210</v>
      </c>
      <c r="R125" s="10" t="s">
        <v>365</v>
      </c>
      <c r="S125" s="28" t="s">
        <v>445</v>
      </c>
      <c r="T125" s="28" t="s">
        <v>451</v>
      </c>
      <c r="U125" s="11" t="str">
        <f t="shared" si="13"/>
        <v>1.지불 완료</v>
      </c>
      <c r="V125" s="8" t="s">
        <v>271</v>
      </c>
      <c r="W125" s="6" t="s">
        <v>459</v>
      </c>
    </row>
    <row r="126" spans="1:23" x14ac:dyDescent="0.3">
      <c r="A126" s="50">
        <v>7</v>
      </c>
      <c r="B126" s="39">
        <v>45415</v>
      </c>
      <c r="C126" s="6" t="s">
        <v>248</v>
      </c>
      <c r="D126" s="23" t="s">
        <v>210</v>
      </c>
      <c r="E126" s="6" t="s">
        <v>439</v>
      </c>
      <c r="F126" s="6">
        <v>1</v>
      </c>
      <c r="G126" s="6" t="s">
        <v>465</v>
      </c>
      <c r="H126" s="6">
        <v>1</v>
      </c>
      <c r="I126" s="39"/>
      <c r="J126" s="56"/>
      <c r="K126" s="39">
        <v>45456</v>
      </c>
      <c r="L126" s="9"/>
      <c r="M126" s="53">
        <v>4928000</v>
      </c>
      <c r="N126" s="27" t="s">
        <v>457</v>
      </c>
      <c r="O126" s="6" t="s">
        <v>268</v>
      </c>
      <c r="P126" s="6" t="s">
        <v>458</v>
      </c>
      <c r="Q126" s="8" t="s">
        <v>210</v>
      </c>
      <c r="R126" s="10" t="s">
        <v>365</v>
      </c>
      <c r="S126" s="28" t="s">
        <v>445</v>
      </c>
      <c r="T126" s="28" t="s">
        <v>450</v>
      </c>
      <c r="U126" s="11" t="str">
        <f t="shared" si="13"/>
        <v>1.지불 완료</v>
      </c>
      <c r="V126" s="8" t="s">
        <v>271</v>
      </c>
      <c r="W126" s="6" t="s">
        <v>459</v>
      </c>
    </row>
    <row r="127" spans="1:23" x14ac:dyDescent="0.3">
      <c r="A127" s="50">
        <v>6</v>
      </c>
      <c r="B127" s="39">
        <v>45415</v>
      </c>
      <c r="C127" s="6" t="s">
        <v>248</v>
      </c>
      <c r="D127" s="23" t="s">
        <v>210</v>
      </c>
      <c r="E127" s="6" t="s">
        <v>439</v>
      </c>
      <c r="F127" s="6">
        <v>1</v>
      </c>
      <c r="G127" s="6" t="s">
        <v>464</v>
      </c>
      <c r="H127" s="6">
        <v>1</v>
      </c>
      <c r="I127" s="39"/>
      <c r="J127" s="56"/>
      <c r="K127" s="39">
        <v>45431</v>
      </c>
      <c r="L127" s="9"/>
      <c r="M127" s="53">
        <v>2112000</v>
      </c>
      <c r="N127" s="27" t="s">
        <v>457</v>
      </c>
      <c r="O127" s="6" t="s">
        <v>268</v>
      </c>
      <c r="P127" s="6" t="s">
        <v>458</v>
      </c>
      <c r="Q127" s="8" t="s">
        <v>210</v>
      </c>
      <c r="R127" s="10" t="s">
        <v>365</v>
      </c>
      <c r="S127" s="28" t="s">
        <v>445</v>
      </c>
      <c r="T127" s="28" t="s">
        <v>449</v>
      </c>
      <c r="U127" s="11" t="str">
        <f t="shared" si="13"/>
        <v>1.지불 완료</v>
      </c>
      <c r="V127" s="8" t="s">
        <v>271</v>
      </c>
      <c r="W127" s="6" t="s">
        <v>459</v>
      </c>
    </row>
    <row r="128" spans="1:23" x14ac:dyDescent="0.3">
      <c r="A128" s="50">
        <v>5</v>
      </c>
      <c r="B128" s="39">
        <v>45414</v>
      </c>
      <c r="C128" s="6" t="s">
        <v>461</v>
      </c>
      <c r="D128" s="23" t="s">
        <v>210</v>
      </c>
      <c r="E128" s="6" t="s">
        <v>438</v>
      </c>
      <c r="F128" s="6">
        <v>1</v>
      </c>
      <c r="G128" s="6" t="s">
        <v>463</v>
      </c>
      <c r="H128" s="6">
        <v>1</v>
      </c>
      <c r="I128" s="39"/>
      <c r="J128" s="56"/>
      <c r="K128" s="39">
        <v>45505</v>
      </c>
      <c r="L128" s="9"/>
      <c r="M128" s="53">
        <v>43820000</v>
      </c>
      <c r="N128" s="27" t="s">
        <v>457</v>
      </c>
      <c r="O128" s="6" t="s">
        <v>268</v>
      </c>
      <c r="P128" s="6" t="s">
        <v>458</v>
      </c>
      <c r="Q128" s="8" t="s">
        <v>210</v>
      </c>
      <c r="R128" s="10" t="s">
        <v>365</v>
      </c>
      <c r="S128" s="28" t="s">
        <v>445</v>
      </c>
      <c r="T128" s="28" t="s">
        <v>448</v>
      </c>
      <c r="U128" s="11" t="str">
        <f t="shared" si="13"/>
        <v>1.지불 완료</v>
      </c>
      <c r="V128" s="8" t="s">
        <v>271</v>
      </c>
      <c r="W128" s="6" t="s">
        <v>459</v>
      </c>
    </row>
    <row r="129" spans="1:23" x14ac:dyDescent="0.3">
      <c r="A129" s="50">
        <v>4</v>
      </c>
      <c r="B129" s="39">
        <v>45414</v>
      </c>
      <c r="C129" s="6" t="s">
        <v>461</v>
      </c>
      <c r="D129" s="23" t="s">
        <v>210</v>
      </c>
      <c r="E129" s="6" t="s">
        <v>438</v>
      </c>
      <c r="F129" s="6">
        <v>1</v>
      </c>
      <c r="G129" s="6" t="s">
        <v>462</v>
      </c>
      <c r="H129" s="6">
        <v>1</v>
      </c>
      <c r="I129" s="39"/>
      <c r="J129" s="56"/>
      <c r="K129" s="39">
        <v>45429</v>
      </c>
      <c r="L129" s="9"/>
      <c r="M129" s="53">
        <v>18780000</v>
      </c>
      <c r="N129" s="27" t="s">
        <v>457</v>
      </c>
      <c r="O129" s="6" t="s">
        <v>268</v>
      </c>
      <c r="P129" s="6" t="s">
        <v>458</v>
      </c>
      <c r="Q129" s="8" t="s">
        <v>210</v>
      </c>
      <c r="R129" s="10" t="s">
        <v>365</v>
      </c>
      <c r="S129" s="28" t="s">
        <v>445</v>
      </c>
      <c r="T129" s="28" t="s">
        <v>447</v>
      </c>
      <c r="U129" s="11" t="str">
        <f t="shared" si="13"/>
        <v>1.지불 완료</v>
      </c>
      <c r="V129" s="8" t="s">
        <v>271</v>
      </c>
      <c r="W129" s="6" t="s">
        <v>459</v>
      </c>
    </row>
    <row r="130" spans="1:23" x14ac:dyDescent="0.3">
      <c r="A130" s="50">
        <v>3</v>
      </c>
      <c r="B130" s="39">
        <v>45413</v>
      </c>
      <c r="C130" s="6" t="s">
        <v>65</v>
      </c>
      <c r="D130" s="23" t="s">
        <v>210</v>
      </c>
      <c r="E130" s="6" t="s">
        <v>455</v>
      </c>
      <c r="F130" s="6">
        <v>1</v>
      </c>
      <c r="G130" s="6" t="s">
        <v>460</v>
      </c>
      <c r="H130" s="6">
        <v>1</v>
      </c>
      <c r="I130" s="39"/>
      <c r="J130" s="56"/>
      <c r="K130" s="39">
        <v>45436</v>
      </c>
      <c r="L130" s="9"/>
      <c r="M130" s="53">
        <v>16039357.272727273</v>
      </c>
      <c r="N130" s="27" t="s">
        <v>457</v>
      </c>
      <c r="O130" s="6" t="s">
        <v>268</v>
      </c>
      <c r="P130" s="6" t="s">
        <v>458</v>
      </c>
      <c r="Q130" s="8" t="s">
        <v>210</v>
      </c>
      <c r="R130" s="10" t="s">
        <v>365</v>
      </c>
      <c r="S130" s="28" t="s">
        <v>445</v>
      </c>
      <c r="T130" s="28" t="s">
        <v>446</v>
      </c>
      <c r="U130" s="11" t="str">
        <f t="shared" si="13"/>
        <v>1.지불 완료</v>
      </c>
      <c r="V130" s="8" t="s">
        <v>271</v>
      </c>
      <c r="W130" s="6" t="s">
        <v>459</v>
      </c>
    </row>
    <row r="131" spans="1:23" x14ac:dyDescent="0.3">
      <c r="A131" s="50">
        <v>2</v>
      </c>
      <c r="B131" s="39">
        <v>45413</v>
      </c>
      <c r="C131" s="6" t="s">
        <v>65</v>
      </c>
      <c r="D131" s="23" t="s">
        <v>210</v>
      </c>
      <c r="E131" s="6" t="s">
        <v>455</v>
      </c>
      <c r="F131" s="6">
        <v>1</v>
      </c>
      <c r="G131" s="6" t="s">
        <v>456</v>
      </c>
      <c r="H131" s="6">
        <v>1</v>
      </c>
      <c r="I131" s="39"/>
      <c r="J131" s="56"/>
      <c r="K131" s="39">
        <v>45428</v>
      </c>
      <c r="L131" s="9"/>
      <c r="M131" s="53">
        <v>6874012.7272727266</v>
      </c>
      <c r="N131" s="27" t="s">
        <v>457</v>
      </c>
      <c r="O131" s="6" t="s">
        <v>268</v>
      </c>
      <c r="P131" s="6" t="s">
        <v>458</v>
      </c>
      <c r="Q131" s="8" t="s">
        <v>210</v>
      </c>
      <c r="R131" s="10" t="s">
        <v>365</v>
      </c>
      <c r="S131" s="28" t="s">
        <v>445</v>
      </c>
      <c r="T131" s="28" t="s">
        <v>444</v>
      </c>
      <c r="U131" s="11" t="str">
        <f t="shared" si="13"/>
        <v>1.지불 완료</v>
      </c>
      <c r="V131" s="8" t="s">
        <v>271</v>
      </c>
      <c r="W131" s="6" t="s">
        <v>459</v>
      </c>
    </row>
    <row r="132" spans="1:23" x14ac:dyDescent="0.3">
      <c r="A132" s="50">
        <v>1</v>
      </c>
      <c r="B132" s="39">
        <v>45392</v>
      </c>
      <c r="C132" s="6" t="s">
        <v>148</v>
      </c>
      <c r="D132" s="24"/>
      <c r="E132" s="6" t="s">
        <v>147</v>
      </c>
      <c r="F132" s="6">
        <v>1</v>
      </c>
      <c r="G132" s="6" t="s">
        <v>157</v>
      </c>
      <c r="H132" s="7">
        <v>1</v>
      </c>
      <c r="I132" s="39">
        <v>45657</v>
      </c>
      <c r="J132" s="56"/>
      <c r="K132" s="39">
        <v>45644</v>
      </c>
      <c r="L132" s="9"/>
      <c r="M132" s="53">
        <v>5000000</v>
      </c>
      <c r="N132" s="6" t="s">
        <v>149</v>
      </c>
      <c r="O132" s="6" t="s">
        <v>63</v>
      </c>
      <c r="P132" s="6" t="s">
        <v>150</v>
      </c>
      <c r="Q132" s="6" t="s">
        <v>22</v>
      </c>
      <c r="R132" s="6" t="s">
        <v>160</v>
      </c>
      <c r="S132" s="8" t="s">
        <v>327</v>
      </c>
      <c r="T132" s="6" t="s">
        <v>286</v>
      </c>
      <c r="U132" s="11" t="str">
        <f t="shared" si="13"/>
        <v>1.지불 완료</v>
      </c>
      <c r="V132" s="8" t="s">
        <v>217</v>
      </c>
      <c r="W132" s="6" t="s">
        <v>151</v>
      </c>
    </row>
  </sheetData>
  <autoFilter ref="A2:Z132" xr:uid="{E8B29AE8-3ABB-4472-8BB0-DFDEC1FBF892}"/>
  <phoneticPr fontId="1" type="noConversion"/>
  <conditionalFormatting sqref="C24">
    <cfRule type="expression" dxfId="4" priority="1">
      <formula>$L24="선금지급"</formula>
    </cfRule>
    <cfRule type="expression" dxfId="3" priority="2">
      <formula>$L24="결제완료"</formula>
    </cfRule>
    <cfRule type="expression" dxfId="2" priority="3">
      <formula>$L24="입고완료"</formula>
    </cfRule>
    <cfRule type="expression" dxfId="1" priority="4">
      <formula>$L24="발주완료"</formula>
    </cfRule>
    <cfRule type="expression" dxfId="0" priority="5">
      <formula>$L24="발주취소"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Sungjoon Hong</cp:lastModifiedBy>
  <dcterms:created xsi:type="dcterms:W3CDTF">2024-11-01T02:22:49Z</dcterms:created>
  <dcterms:modified xsi:type="dcterms:W3CDTF">2025-07-22T01:38:58Z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
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FCEF7B89-8327-4450-B0BD-EE986C365FC7}" xr6:coauthVersionLast="47" xr6:coauthVersionMax="47" xr10:uidLastSave="{00000000-0000-0000-0000-000000000000}"/>
  <bookViews>
    <workbookView xWindow="3350" yWindow="230" windowWidth="36160" windowHeight="20440" tabRatio="304" activeTab="1" xr2:uid="{833331BF-C03C-462C-BC1A-87D91BE817B6}"/>
  </bookViews>
  <sheets>
    <sheet name="요약" sheetId="7" r:id="rId1"/>
    <sheet name="구매 입고 현황" sheetId="1" r:id="rId2"/>
    <sheet name="참고" sheetId="2" r:id="rId3"/>
  </sheets>
  <definedNames>
    <definedName name="_xlnm._FilterDatabase" localSheetId="1" hidden="1">'구매 입고 현황'!$A$3:$AF$189</definedName>
    <definedName name="_xlnm._FilterDatabase" localSheetId="2" hidden="1">참고!$I$3:$J$41</definedName>
    <definedName name="_xlnm.Print_Area" localSheetId="1">'구매 입고 현황'!$A$1:$AF$190</definedName>
    <definedName name="_xlnm.Print_Area" localSheetId="0">요약!$A$1:$AF$57</definedName>
    <definedName name="_xlnm.Print_Titles" localSheetId="1">'구매 입고 현황'!$1:$3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48" i="1" l="1"/>
  <c r="AC148" i="1" s="1"/>
  <c r="AD148" i="1" s="1"/>
  <c r="AB149" i="1"/>
  <c r="AC149" i="1"/>
  <c r="AD149" i="1" s="1"/>
  <c r="AB150" i="1"/>
  <c r="AD150" i="1" s="1"/>
  <c r="AC150" i="1"/>
  <c r="O148" i="1"/>
  <c r="U148" i="1" s="1"/>
  <c r="Q147" i="1"/>
  <c r="Q146" i="1"/>
  <c r="Q145" i="1" l="1"/>
  <c r="Q144" i="1"/>
  <c r="O144" i="1"/>
  <c r="U144" i="1" s="1"/>
  <c r="AB144" i="1" s="1"/>
  <c r="Q137" i="1"/>
  <c r="O137" i="1"/>
  <c r="U137" i="1" s="1"/>
  <c r="AB137" i="1" s="1"/>
  <c r="AC144" i="1" l="1"/>
  <c r="AD144" i="1" s="1"/>
  <c r="AC137" i="1"/>
  <c r="AD137" i="1" s="1"/>
  <c r="Q138" i="1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AA19" i="7"/>
  <c r="AB19" i="7"/>
  <c r="AC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T19" i="7"/>
  <c r="Q140" i="1"/>
  <c r="O140" i="1"/>
  <c r="U140" i="1" s="1"/>
  <c r="AB140" i="1" s="1"/>
  <c r="R49" i="7"/>
  <c r="P49" i="7"/>
  <c r="O135" i="1"/>
  <c r="U135" i="1" s="1"/>
  <c r="Q135" i="1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8" i="7"/>
  <c r="R39" i="7"/>
  <c r="R40" i="7"/>
  <c r="R41" i="7"/>
  <c r="R42" i="7"/>
  <c r="R44" i="7"/>
  <c r="R45" i="7"/>
  <c r="AC140" i="1" l="1"/>
  <c r="AD140" i="1" s="1"/>
  <c r="S46" i="7"/>
  <c r="S52" i="7" s="1"/>
  <c r="S53" i="7" s="1"/>
  <c r="AB135" i="1"/>
  <c r="AC135" i="1" s="1"/>
  <c r="AD135" i="1" s="1"/>
  <c r="Q143" i="1" l="1"/>
  <c r="Y7" i="7"/>
  <c r="AA7" i="7"/>
  <c r="AC7" i="7"/>
  <c r="Y11" i="7"/>
  <c r="AA11" i="7"/>
  <c r="AB11" i="7"/>
  <c r="O147" i="1" l="1"/>
  <c r="U147" i="1" s="1"/>
  <c r="AB147" i="1" s="1"/>
  <c r="AC147" i="1" s="1"/>
  <c r="AD147" i="1" s="1"/>
  <c r="O151" i="1"/>
  <c r="U151" i="1" s="1"/>
  <c r="AB151" i="1" s="1"/>
  <c r="AC151" i="1" s="1"/>
  <c r="O152" i="1"/>
  <c r="U152" i="1" s="1"/>
  <c r="AB152" i="1" s="1"/>
  <c r="O153" i="1"/>
  <c r="U153" i="1" s="1"/>
  <c r="AB153" i="1" s="1"/>
  <c r="AC153" i="1" s="1"/>
  <c r="AD153" i="1" s="1"/>
  <c r="O154" i="1"/>
  <c r="U154" i="1" s="1"/>
  <c r="AB154" i="1" s="1"/>
  <c r="O155" i="1"/>
  <c r="U155" i="1" s="1"/>
  <c r="AB155" i="1" s="1"/>
  <c r="AC155" i="1" s="1"/>
  <c r="O156" i="1"/>
  <c r="U156" i="1" s="1"/>
  <c r="AB156" i="1" s="1"/>
  <c r="AC156" i="1" s="1"/>
  <c r="AD156" i="1" s="1"/>
  <c r="O157" i="1"/>
  <c r="U157" i="1" s="1"/>
  <c r="AB157" i="1" s="1"/>
  <c r="O158" i="1"/>
  <c r="U158" i="1" s="1"/>
  <c r="AB158" i="1" s="1"/>
  <c r="AC158" i="1" s="1"/>
  <c r="AD158" i="1" s="1"/>
  <c r="O159" i="1"/>
  <c r="U159" i="1" s="1"/>
  <c r="AB159" i="1" s="1"/>
  <c r="AC159" i="1" s="1"/>
  <c r="O160" i="1"/>
  <c r="U160" i="1" s="1"/>
  <c r="AB160" i="1" s="1"/>
  <c r="O161" i="1"/>
  <c r="U161" i="1" s="1"/>
  <c r="AB161" i="1" s="1"/>
  <c r="AC161" i="1" s="1"/>
  <c r="AD161" i="1" s="1"/>
  <c r="O162" i="1"/>
  <c r="U162" i="1" s="1"/>
  <c r="AB162" i="1" s="1"/>
  <c r="AC162" i="1" s="1"/>
  <c r="O163" i="1"/>
  <c r="U163" i="1" s="1"/>
  <c r="AB163" i="1" s="1"/>
  <c r="AC163" i="1" s="1"/>
  <c r="O164" i="1"/>
  <c r="U164" i="1" s="1"/>
  <c r="AB164" i="1" s="1"/>
  <c r="AC164" i="1" s="1"/>
  <c r="AD164" i="1" s="1"/>
  <c r="O165" i="1"/>
  <c r="U165" i="1" s="1"/>
  <c r="AB165" i="1" s="1"/>
  <c r="O166" i="1"/>
  <c r="U166" i="1" s="1"/>
  <c r="AB166" i="1" s="1"/>
  <c r="AC166" i="1" s="1"/>
  <c r="AD166" i="1" s="1"/>
  <c r="O167" i="1"/>
  <c r="U167" i="1" s="1"/>
  <c r="AB167" i="1" s="1"/>
  <c r="AC167" i="1" s="1"/>
  <c r="O171" i="1"/>
  <c r="U171" i="1" s="1"/>
  <c r="AB171" i="1" s="1"/>
  <c r="AC171" i="1" s="1"/>
  <c r="O170" i="1"/>
  <c r="U170" i="1" s="1"/>
  <c r="AB170" i="1" s="1"/>
  <c r="O169" i="1"/>
  <c r="U169" i="1" s="1"/>
  <c r="AB169" i="1" s="1"/>
  <c r="AC169" i="1" s="1"/>
  <c r="AD169" i="1" s="1"/>
  <c r="O168" i="1"/>
  <c r="U168" i="1" s="1"/>
  <c r="AB168" i="1" s="1"/>
  <c r="Q136" i="1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T11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T7" i="7"/>
  <c r="Q3" i="7"/>
  <c r="Q4" i="7"/>
  <c r="Q5" i="7"/>
  <c r="Q6" i="7"/>
  <c r="Q8" i="7"/>
  <c r="Q9" i="7"/>
  <c r="Q10" i="7"/>
  <c r="Q12" i="7"/>
  <c r="Q13" i="7"/>
  <c r="Q14" i="7"/>
  <c r="Q15" i="7"/>
  <c r="Q16" i="7"/>
  <c r="Q17" i="7"/>
  <c r="Q18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4" i="7"/>
  <c r="Q45" i="7"/>
  <c r="O138" i="1"/>
  <c r="U138" i="1" s="1"/>
  <c r="AD11" i="7" s="1"/>
  <c r="O136" i="1"/>
  <c r="U136" i="1" s="1"/>
  <c r="Q142" i="1"/>
  <c r="Q141" i="1"/>
  <c r="O142" i="1"/>
  <c r="U142" i="1" s="1"/>
  <c r="C24" i="7"/>
  <c r="D24" i="7"/>
  <c r="F24" i="7"/>
  <c r="G24" i="7"/>
  <c r="H24" i="7"/>
  <c r="I24" i="7"/>
  <c r="J24" i="7"/>
  <c r="K24" i="7"/>
  <c r="L24" i="7"/>
  <c r="M24" i="7"/>
  <c r="N24" i="7"/>
  <c r="O24" i="7"/>
  <c r="P24" i="7"/>
  <c r="T24" i="7"/>
  <c r="C6" i="7"/>
  <c r="D6" i="7"/>
  <c r="E6" i="7"/>
  <c r="F6" i="7"/>
  <c r="G6" i="7"/>
  <c r="H6" i="7"/>
  <c r="I6" i="7"/>
  <c r="J6" i="7"/>
  <c r="K6" i="7"/>
  <c r="L6" i="7"/>
  <c r="M6" i="7"/>
  <c r="N6" i="7"/>
  <c r="O6" i="7"/>
  <c r="T6" i="7"/>
  <c r="Y6" i="7"/>
  <c r="Z6" i="7"/>
  <c r="AA6" i="7"/>
  <c r="AB6" i="7"/>
  <c r="Q139" i="1"/>
  <c r="Q134" i="1"/>
  <c r="Q133" i="1"/>
  <c r="Z26" i="7"/>
  <c r="AA26" i="7"/>
  <c r="A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T26" i="7"/>
  <c r="Q132" i="1"/>
  <c r="Q131" i="1"/>
  <c r="Z11" i="7" l="1"/>
  <c r="AC11" i="7"/>
  <c r="AB7" i="7"/>
  <c r="AD7" i="7"/>
  <c r="AB142" i="1"/>
  <c r="AC142" i="1" s="1"/>
  <c r="AD142" i="1" s="1"/>
  <c r="R18" i="7"/>
  <c r="AC170" i="1"/>
  <c r="AD170" i="1" s="1"/>
  <c r="AC168" i="1"/>
  <c r="AD168" i="1" s="1"/>
  <c r="Q7" i="7"/>
  <c r="U7" i="7" s="1"/>
  <c r="Z7" i="7"/>
  <c r="AC157" i="1"/>
  <c r="AD157" i="1" s="1"/>
  <c r="AC154" i="1"/>
  <c r="AD154" i="1" s="1"/>
  <c r="AC160" i="1"/>
  <c r="AD160" i="1" s="1"/>
  <c r="AC152" i="1"/>
  <c r="AD152" i="1" s="1"/>
  <c r="AC165" i="1"/>
  <c r="AD165" i="1" s="1"/>
  <c r="AD162" i="1"/>
  <c r="AD167" i="1"/>
  <c r="AD159" i="1"/>
  <c r="AD151" i="1"/>
  <c r="AD155" i="1"/>
  <c r="AD171" i="1"/>
  <c r="AD163" i="1"/>
  <c r="Q11" i="7"/>
  <c r="U11" i="7" s="1"/>
  <c r="AB138" i="1"/>
  <c r="AB136" i="1"/>
  <c r="O126" i="1"/>
  <c r="U126" i="1" s="1"/>
  <c r="AB126" i="1" s="1"/>
  <c r="O146" i="1"/>
  <c r="O172" i="1"/>
  <c r="U172" i="1" s="1"/>
  <c r="AB172" i="1" s="1"/>
  <c r="O173" i="1"/>
  <c r="U173" i="1" s="1"/>
  <c r="AB173" i="1" s="1"/>
  <c r="AC173" i="1" s="1"/>
  <c r="O174" i="1"/>
  <c r="U174" i="1" s="1"/>
  <c r="AB174" i="1" s="1"/>
  <c r="O175" i="1"/>
  <c r="U175" i="1" s="1"/>
  <c r="AB175" i="1" s="1"/>
  <c r="O176" i="1"/>
  <c r="U176" i="1" s="1"/>
  <c r="AB176" i="1" s="1"/>
  <c r="AC176" i="1" s="1"/>
  <c r="AD176" i="1" s="1"/>
  <c r="O177" i="1"/>
  <c r="U177" i="1" s="1"/>
  <c r="O178" i="1"/>
  <c r="O179" i="1"/>
  <c r="O180" i="1"/>
  <c r="Y24" i="7"/>
  <c r="Z24" i="7"/>
  <c r="AA24" i="7"/>
  <c r="AC24" i="7"/>
  <c r="Q130" i="1"/>
  <c r="O130" i="1"/>
  <c r="U130" i="1" s="1"/>
  <c r="AB130" i="1" s="1"/>
  <c r="Q129" i="1"/>
  <c r="AE11" i="7" l="1"/>
  <c r="AE7" i="7"/>
  <c r="U146" i="1"/>
  <c r="AC138" i="1"/>
  <c r="AD138" i="1" s="1"/>
  <c r="AC136" i="1"/>
  <c r="AD136" i="1" s="1"/>
  <c r="AC126" i="1"/>
  <c r="AD126" i="1" s="1"/>
  <c r="AC174" i="1"/>
  <c r="AD174" i="1" s="1"/>
  <c r="AC175" i="1"/>
  <c r="AD175" i="1" s="1"/>
  <c r="AC172" i="1"/>
  <c r="AD172" i="1" s="1"/>
  <c r="AD173" i="1"/>
  <c r="AC130" i="1"/>
  <c r="AD130" i="1" s="1"/>
  <c r="U178" i="1"/>
  <c r="AB178" i="1" s="1"/>
  <c r="AB177" i="1"/>
  <c r="O145" i="1"/>
  <c r="O143" i="1"/>
  <c r="O141" i="1"/>
  <c r="U141" i="1" s="1"/>
  <c r="O139" i="1"/>
  <c r="U139" i="1" s="1"/>
  <c r="O134" i="1"/>
  <c r="U134" i="1" s="1"/>
  <c r="AB134" i="1" s="1"/>
  <c r="O129" i="1"/>
  <c r="U129" i="1" s="1"/>
  <c r="E24" i="7" s="1"/>
  <c r="U24" i="7" s="1"/>
  <c r="Q128" i="1"/>
  <c r="P3" i="7"/>
  <c r="P4" i="7"/>
  <c r="P5" i="7"/>
  <c r="P8" i="7"/>
  <c r="P9" i="7"/>
  <c r="P10" i="7"/>
  <c r="P12" i="7"/>
  <c r="P13" i="7"/>
  <c r="P14" i="7"/>
  <c r="P15" i="7"/>
  <c r="P16" i="7"/>
  <c r="P17" i="7"/>
  <c r="P18" i="7"/>
  <c r="P20" i="7"/>
  <c r="P21" i="7"/>
  <c r="P22" i="7"/>
  <c r="P23" i="7"/>
  <c r="P25" i="7"/>
  <c r="P27" i="7"/>
  <c r="P28" i="7"/>
  <c r="P29" i="7"/>
  <c r="P30" i="7"/>
  <c r="P31" i="7"/>
  <c r="P32" i="7"/>
  <c r="P33" i="7"/>
  <c r="P34" i="7"/>
  <c r="P35" i="7"/>
  <c r="P36" i="7"/>
  <c r="P38" i="7"/>
  <c r="P39" i="7"/>
  <c r="P40" i="7"/>
  <c r="P41" i="7"/>
  <c r="P42" i="7"/>
  <c r="P44" i="7"/>
  <c r="P45" i="7"/>
  <c r="Q127" i="1"/>
  <c r="Q123" i="1"/>
  <c r="Q124" i="1"/>
  <c r="Y13" i="7"/>
  <c r="Z13" i="7"/>
  <c r="AA13" i="7"/>
  <c r="AB13" i="7"/>
  <c r="C13" i="7"/>
  <c r="D13" i="7"/>
  <c r="E13" i="7"/>
  <c r="F13" i="7"/>
  <c r="G13" i="7"/>
  <c r="H13" i="7"/>
  <c r="I13" i="7"/>
  <c r="J13" i="7"/>
  <c r="K13" i="7"/>
  <c r="L13" i="7"/>
  <c r="M13" i="7"/>
  <c r="N13" i="7"/>
  <c r="T13" i="7"/>
  <c r="AB146" i="1" l="1"/>
  <c r="AC146" i="1" s="1"/>
  <c r="AD146" i="1" s="1"/>
  <c r="R37" i="7"/>
  <c r="AB141" i="1"/>
  <c r="AC141" i="1" s="1"/>
  <c r="AD141" i="1" s="1"/>
  <c r="R43" i="7"/>
  <c r="U143" i="1"/>
  <c r="U145" i="1"/>
  <c r="AB139" i="1"/>
  <c r="AC139" i="1" s="1"/>
  <c r="AD139" i="1" s="1"/>
  <c r="Y26" i="7"/>
  <c r="AB24" i="7"/>
  <c r="AD24" i="7"/>
  <c r="AB129" i="1"/>
  <c r="AC129" i="1" s="1"/>
  <c r="AD129" i="1" s="1"/>
  <c r="AC134" i="1"/>
  <c r="AD134" i="1" s="1"/>
  <c r="AC178" i="1"/>
  <c r="AD178" i="1" s="1"/>
  <c r="AC177" i="1"/>
  <c r="AD177" i="1" s="1"/>
  <c r="Q122" i="1"/>
  <c r="N49" i="7"/>
  <c r="O49" i="7"/>
  <c r="Y34" i="7"/>
  <c r="Z34" i="7"/>
  <c r="AA34" i="7"/>
  <c r="AB34" i="7"/>
  <c r="AC34" i="7"/>
  <c r="Y35" i="7"/>
  <c r="Z35" i="7"/>
  <c r="AA35" i="7"/>
  <c r="AB35" i="7"/>
  <c r="AC35" i="7"/>
  <c r="Y36" i="7"/>
  <c r="Z36" i="7"/>
  <c r="AA36" i="7"/>
  <c r="AB36" i="7"/>
  <c r="AC36" i="7"/>
  <c r="AA37" i="7"/>
  <c r="AB37" i="7"/>
  <c r="Y38" i="7"/>
  <c r="Z38" i="7"/>
  <c r="AA38" i="7"/>
  <c r="AB38" i="7"/>
  <c r="AC38" i="7"/>
  <c r="Y39" i="7"/>
  <c r="Z39" i="7"/>
  <c r="AA39" i="7"/>
  <c r="AB39" i="7"/>
  <c r="AC39" i="7"/>
  <c r="Y40" i="7"/>
  <c r="Z40" i="7"/>
  <c r="AA40" i="7"/>
  <c r="AB40" i="7"/>
  <c r="AC40" i="7"/>
  <c r="Y41" i="7"/>
  <c r="AA41" i="7"/>
  <c r="AB41" i="7"/>
  <c r="Y42" i="7"/>
  <c r="Z42" i="7"/>
  <c r="AA42" i="7"/>
  <c r="AB42" i="7"/>
  <c r="AC42" i="7"/>
  <c r="Z43" i="7"/>
  <c r="AA43" i="7"/>
  <c r="AB43" i="7"/>
  <c r="Y44" i="7"/>
  <c r="Z44" i="7"/>
  <c r="AA44" i="7"/>
  <c r="AB44" i="7"/>
  <c r="AC44" i="7"/>
  <c r="Y45" i="7"/>
  <c r="Z45" i="7"/>
  <c r="AA45" i="7"/>
  <c r="AB45" i="7"/>
  <c r="AC45" i="7"/>
  <c r="C34" i="7"/>
  <c r="D34" i="7"/>
  <c r="E34" i="7"/>
  <c r="G34" i="7"/>
  <c r="H34" i="7"/>
  <c r="I34" i="7"/>
  <c r="J34" i="7"/>
  <c r="K34" i="7"/>
  <c r="L34" i="7"/>
  <c r="M34" i="7"/>
  <c r="N34" i="7"/>
  <c r="O34" i="7"/>
  <c r="T34" i="7"/>
  <c r="D35" i="7"/>
  <c r="E35" i="7"/>
  <c r="F35" i="7"/>
  <c r="H35" i="7"/>
  <c r="I35" i="7"/>
  <c r="J35" i="7"/>
  <c r="K35" i="7"/>
  <c r="L35" i="7"/>
  <c r="M35" i="7"/>
  <c r="N35" i="7"/>
  <c r="O35" i="7"/>
  <c r="T35" i="7"/>
  <c r="C36" i="7"/>
  <c r="D36" i="7"/>
  <c r="E36" i="7"/>
  <c r="H36" i="7"/>
  <c r="I36" i="7"/>
  <c r="J36" i="7"/>
  <c r="K36" i="7"/>
  <c r="L36" i="7"/>
  <c r="M36" i="7"/>
  <c r="N36" i="7"/>
  <c r="O36" i="7"/>
  <c r="T36" i="7"/>
  <c r="O3" i="7"/>
  <c r="O4" i="7"/>
  <c r="O5" i="7"/>
  <c r="O8" i="7"/>
  <c r="O9" i="7"/>
  <c r="O10" i="7"/>
  <c r="O12" i="7"/>
  <c r="O14" i="7"/>
  <c r="O15" i="7"/>
  <c r="O16" i="7"/>
  <c r="O17" i="7"/>
  <c r="O18" i="7"/>
  <c r="O20" i="7"/>
  <c r="O21" i="7"/>
  <c r="O22" i="7"/>
  <c r="O23" i="7"/>
  <c r="O25" i="7"/>
  <c r="O27" i="7"/>
  <c r="O28" i="7"/>
  <c r="O29" i="7"/>
  <c r="O30" i="7"/>
  <c r="O31" i="7"/>
  <c r="O32" i="7"/>
  <c r="O33" i="7"/>
  <c r="O37" i="7"/>
  <c r="O38" i="7"/>
  <c r="O39" i="7"/>
  <c r="O40" i="7"/>
  <c r="O41" i="7"/>
  <c r="O42" i="7"/>
  <c r="O43" i="7"/>
  <c r="O44" i="7"/>
  <c r="O45" i="7"/>
  <c r="Y9" i="7"/>
  <c r="Z9" i="7"/>
  <c r="AA9" i="7"/>
  <c r="AB9" i="7"/>
  <c r="AC9" i="7"/>
  <c r="C9" i="7"/>
  <c r="D9" i="7"/>
  <c r="F9" i="7"/>
  <c r="G9" i="7"/>
  <c r="H9" i="7"/>
  <c r="I9" i="7"/>
  <c r="J9" i="7"/>
  <c r="K9" i="7"/>
  <c r="L9" i="7"/>
  <c r="M9" i="7"/>
  <c r="N9" i="7"/>
  <c r="T9" i="7"/>
  <c r="Q121" i="1"/>
  <c r="Q120" i="1"/>
  <c r="N3" i="7"/>
  <c r="N4" i="7"/>
  <c r="N5" i="7"/>
  <c r="N8" i="7"/>
  <c r="N10" i="7"/>
  <c r="N12" i="7"/>
  <c r="N14" i="7"/>
  <c r="N16" i="7"/>
  <c r="N18" i="7"/>
  <c r="N20" i="7"/>
  <c r="N21" i="7"/>
  <c r="N22" i="7"/>
  <c r="N23" i="7"/>
  <c r="N25" i="7"/>
  <c r="N27" i="7"/>
  <c r="N28" i="7"/>
  <c r="N29" i="7"/>
  <c r="N30" i="7"/>
  <c r="N31" i="7"/>
  <c r="N32" i="7"/>
  <c r="N33" i="7"/>
  <c r="N37" i="7"/>
  <c r="N38" i="7"/>
  <c r="N39" i="7"/>
  <c r="N40" i="7"/>
  <c r="N41" i="7"/>
  <c r="N42" i="7"/>
  <c r="N43" i="7"/>
  <c r="N44" i="7"/>
  <c r="N45" i="7"/>
  <c r="Q119" i="1"/>
  <c r="O116" i="1"/>
  <c r="U116" i="1" s="1"/>
  <c r="Q118" i="1"/>
  <c r="AB145" i="1" l="1"/>
  <c r="AC145" i="1" s="1"/>
  <c r="AD145" i="1" s="1"/>
  <c r="Q43" i="7"/>
  <c r="Q46" i="7" s="1"/>
  <c r="Q52" i="7" s="1"/>
  <c r="Q53" i="7" s="1"/>
  <c r="Z19" i="7"/>
  <c r="AD19" i="7"/>
  <c r="AB143" i="1"/>
  <c r="AC143" i="1" s="1"/>
  <c r="AD143" i="1" s="1"/>
  <c r="Y19" i="7"/>
  <c r="R19" i="7"/>
  <c r="U19" i="7" s="1"/>
  <c r="AE24" i="7"/>
  <c r="O110" i="1"/>
  <c r="U110" i="1" s="1"/>
  <c r="AB110" i="1" s="1"/>
  <c r="AB116" i="1"/>
  <c r="AC116" i="1" s="1"/>
  <c r="O115" i="1"/>
  <c r="U115" i="1" s="1"/>
  <c r="AB115" i="1" s="1"/>
  <c r="AC115" i="1" s="1"/>
  <c r="O121" i="1"/>
  <c r="U121" i="1" s="1"/>
  <c r="AB121" i="1" s="1"/>
  <c r="AC121" i="1" s="1"/>
  <c r="O122" i="1"/>
  <c r="U122" i="1" s="1"/>
  <c r="AD13" i="7" s="1"/>
  <c r="O123" i="1"/>
  <c r="U123" i="1" s="1"/>
  <c r="AB123" i="1" s="1"/>
  <c r="AC123" i="1" s="1"/>
  <c r="O124" i="1"/>
  <c r="U124" i="1" s="1"/>
  <c r="AC43" i="7" s="1"/>
  <c r="O125" i="1"/>
  <c r="U125" i="1" s="1"/>
  <c r="AB125" i="1" s="1"/>
  <c r="AC125" i="1" s="1"/>
  <c r="O127" i="1"/>
  <c r="U127" i="1" s="1"/>
  <c r="AB127" i="1" s="1"/>
  <c r="AC127" i="1" s="1"/>
  <c r="O128" i="1"/>
  <c r="U128" i="1" s="1"/>
  <c r="O131" i="1"/>
  <c r="U131" i="1" s="1"/>
  <c r="AB131" i="1" s="1"/>
  <c r="O132" i="1"/>
  <c r="U132" i="1" s="1"/>
  <c r="AD26" i="7" s="1"/>
  <c r="O133" i="1"/>
  <c r="U133" i="1" s="1"/>
  <c r="AD6" i="7" s="1"/>
  <c r="U179" i="1"/>
  <c r="AB179" i="1" s="1"/>
  <c r="AC179" i="1" s="1"/>
  <c r="U180" i="1"/>
  <c r="AB180" i="1" s="1"/>
  <c r="Q117" i="1"/>
  <c r="D39" i="7"/>
  <c r="E39" i="7"/>
  <c r="F39" i="7"/>
  <c r="G39" i="7"/>
  <c r="H39" i="7"/>
  <c r="I39" i="7"/>
  <c r="J39" i="7"/>
  <c r="K39" i="7"/>
  <c r="L39" i="7"/>
  <c r="M39" i="7"/>
  <c r="T39" i="7"/>
  <c r="AE19" i="7" l="1"/>
  <c r="R46" i="7"/>
  <c r="R52" i="7" s="1"/>
  <c r="R53" i="7" s="1"/>
  <c r="AB133" i="1"/>
  <c r="AC133" i="1" s="1"/>
  <c r="P6" i="7"/>
  <c r="U6" i="7" s="1"/>
  <c r="AC6" i="7"/>
  <c r="AE6" i="7" s="1"/>
  <c r="AB132" i="1"/>
  <c r="AC132" i="1" s="1"/>
  <c r="AD132" i="1" s="1"/>
  <c r="P26" i="7"/>
  <c r="U26" i="7" s="1"/>
  <c r="AC26" i="7"/>
  <c r="AE26" i="7" s="1"/>
  <c r="AC131" i="1"/>
  <c r="AD131" i="1" s="1"/>
  <c r="Z37" i="7"/>
  <c r="AC37" i="7"/>
  <c r="P43" i="7"/>
  <c r="AB128" i="1"/>
  <c r="AC128" i="1" s="1"/>
  <c r="AD128" i="1" s="1"/>
  <c r="P37" i="7"/>
  <c r="Y37" i="7"/>
  <c r="AB122" i="1"/>
  <c r="AC122" i="1" s="1"/>
  <c r="O13" i="7"/>
  <c r="AC13" i="7"/>
  <c r="AE13" i="7" s="1"/>
  <c r="AB124" i="1"/>
  <c r="AC124" i="1" s="1"/>
  <c r="Y43" i="7"/>
  <c r="AC110" i="1"/>
  <c r="AD110" i="1" s="1"/>
  <c r="AD116" i="1"/>
  <c r="AD115" i="1"/>
  <c r="AC180" i="1"/>
  <c r="AD180" i="1" s="1"/>
  <c r="AD121" i="1"/>
  <c r="AD123" i="1"/>
  <c r="AD179" i="1"/>
  <c r="AD125" i="1"/>
  <c r="AD127" i="1"/>
  <c r="M49" i="7"/>
  <c r="AD133" i="1" l="1"/>
  <c r="AD122" i="1"/>
  <c r="P46" i="7"/>
  <c r="P52" i="7" s="1"/>
  <c r="P53" i="7" s="1"/>
  <c r="U13" i="7"/>
  <c r="O46" i="7"/>
  <c r="O52" i="7" s="1"/>
  <c r="O53" i="7" s="1"/>
  <c r="AD124" i="1"/>
  <c r="Q114" i="1"/>
  <c r="Q113" i="1"/>
  <c r="Q111" i="1"/>
  <c r="Q112" i="1"/>
  <c r="Y4" i="7"/>
  <c r="Z4" i="7"/>
  <c r="AA4" i="7"/>
  <c r="AB4" i="7"/>
  <c r="AC4" i="7"/>
  <c r="C4" i="7"/>
  <c r="D4" i="7"/>
  <c r="F4" i="7"/>
  <c r="H4" i="7"/>
  <c r="I4" i="7"/>
  <c r="J4" i="7"/>
  <c r="K4" i="7"/>
  <c r="M4" i="7"/>
  <c r="L4" i="7"/>
  <c r="T4" i="7"/>
  <c r="M5" i="7"/>
  <c r="M10" i="7"/>
  <c r="M12" i="7"/>
  <c r="M14" i="7"/>
  <c r="M15" i="7"/>
  <c r="M16" i="7"/>
  <c r="M17" i="7"/>
  <c r="M18" i="7"/>
  <c r="M20" i="7"/>
  <c r="M21" i="7"/>
  <c r="M22" i="7"/>
  <c r="M23" i="7"/>
  <c r="M25" i="7"/>
  <c r="M27" i="7"/>
  <c r="M28" i="7"/>
  <c r="M29" i="7"/>
  <c r="M30" i="7"/>
  <c r="M31" i="7"/>
  <c r="M32" i="7"/>
  <c r="M33" i="7"/>
  <c r="M37" i="7"/>
  <c r="M38" i="7"/>
  <c r="M40" i="7"/>
  <c r="M41" i="7"/>
  <c r="M42" i="7"/>
  <c r="M43" i="7"/>
  <c r="M44" i="7"/>
  <c r="M45" i="7"/>
  <c r="O111" i="1"/>
  <c r="U111" i="1" s="1"/>
  <c r="AB111" i="1" s="1"/>
  <c r="O112" i="1"/>
  <c r="U112" i="1" s="1"/>
  <c r="M8" i="7" s="1"/>
  <c r="O113" i="1"/>
  <c r="U113" i="1" s="1"/>
  <c r="AB112" i="1" l="1"/>
  <c r="AC112" i="1" s="1"/>
  <c r="AD112" i="1" s="1"/>
  <c r="M3" i="7"/>
  <c r="M46" i="7" s="1"/>
  <c r="M52" i="7" s="1"/>
  <c r="M53" i="7" s="1"/>
  <c r="AC111" i="1"/>
  <c r="AD111" i="1" s="1"/>
  <c r="Q109" i="1" l="1"/>
  <c r="O104" i="1" l="1"/>
  <c r="U104" i="1" s="1"/>
  <c r="AB104" i="1" s="1"/>
  <c r="O103" i="1"/>
  <c r="U103" i="1" s="1"/>
  <c r="AB103" i="1" l="1"/>
  <c r="AC103" i="1" s="1"/>
  <c r="AD103" i="1" s="1"/>
  <c r="G4" i="7"/>
  <c r="AC104" i="1"/>
  <c r="AD104" i="1" s="1"/>
  <c r="Q108" i="1"/>
  <c r="O28" i="1" l="1"/>
  <c r="U28" i="1" s="1"/>
  <c r="O29" i="1"/>
  <c r="U29" i="1" s="1"/>
  <c r="AB29" i="1" s="1"/>
  <c r="AC29" i="1" s="1"/>
  <c r="AD29" i="1" s="1"/>
  <c r="O30" i="1"/>
  <c r="U30" i="1" s="1"/>
  <c r="AB30" i="1" s="1"/>
  <c r="AC30" i="1" s="1"/>
  <c r="AD30" i="1" s="1"/>
  <c r="O31" i="1"/>
  <c r="U31" i="1" s="1"/>
  <c r="AB31" i="1" s="1"/>
  <c r="AC31" i="1" s="1"/>
  <c r="O32" i="1"/>
  <c r="U32" i="1" s="1"/>
  <c r="AB32" i="1" s="1"/>
  <c r="AC32" i="1" s="1"/>
  <c r="AD32" i="1" s="1"/>
  <c r="K3" i="7"/>
  <c r="L3" i="7"/>
  <c r="K5" i="7"/>
  <c r="L5" i="7"/>
  <c r="K8" i="7"/>
  <c r="L8" i="7"/>
  <c r="K10" i="7"/>
  <c r="L10" i="7"/>
  <c r="K12" i="7"/>
  <c r="L12" i="7"/>
  <c r="K14" i="7"/>
  <c r="L14" i="7"/>
  <c r="K15" i="7"/>
  <c r="L15" i="7"/>
  <c r="K16" i="7"/>
  <c r="L16" i="7"/>
  <c r="K17" i="7"/>
  <c r="L17" i="7"/>
  <c r="K18" i="7"/>
  <c r="L18" i="7"/>
  <c r="K20" i="7"/>
  <c r="L20" i="7"/>
  <c r="K21" i="7"/>
  <c r="L21" i="7"/>
  <c r="K22" i="7"/>
  <c r="L22" i="7"/>
  <c r="K23" i="7"/>
  <c r="L23" i="7"/>
  <c r="K25" i="7"/>
  <c r="L25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7" i="7"/>
  <c r="L37" i="7"/>
  <c r="K38" i="7"/>
  <c r="L38" i="7"/>
  <c r="K40" i="7"/>
  <c r="L40" i="7"/>
  <c r="K41" i="7"/>
  <c r="L41" i="7"/>
  <c r="K42" i="7"/>
  <c r="L42" i="7"/>
  <c r="K43" i="7"/>
  <c r="L43" i="7"/>
  <c r="K44" i="7"/>
  <c r="L44" i="7"/>
  <c r="K45" i="7"/>
  <c r="L45" i="7"/>
  <c r="Q107" i="1"/>
  <c r="C28" i="7"/>
  <c r="D28" i="7"/>
  <c r="F28" i="7"/>
  <c r="G28" i="7"/>
  <c r="I28" i="7"/>
  <c r="J28" i="7"/>
  <c r="Y29" i="7"/>
  <c r="AA29" i="7"/>
  <c r="AC29" i="7"/>
  <c r="C29" i="7"/>
  <c r="D29" i="7"/>
  <c r="E29" i="7"/>
  <c r="G29" i="7"/>
  <c r="I29" i="7"/>
  <c r="J29" i="7"/>
  <c r="T29" i="7"/>
  <c r="Q106" i="1"/>
  <c r="AB28" i="1" l="1"/>
  <c r="AC28" i="1" s="1"/>
  <c r="AD31" i="1"/>
  <c r="L46" i="7"/>
  <c r="L52" i="7" s="1"/>
  <c r="L53" i="7" s="1"/>
  <c r="K46" i="7"/>
  <c r="K52" i="7" s="1"/>
  <c r="K53" i="7" s="1"/>
  <c r="Q105" i="1"/>
  <c r="AD28" i="1" l="1"/>
  <c r="Q95" i="1"/>
  <c r="Q94" i="1"/>
  <c r="Q93" i="1"/>
  <c r="C43" i="7" l="1"/>
  <c r="D43" i="7"/>
  <c r="I43" i="7"/>
  <c r="J43" i="7"/>
  <c r="T43" i="7"/>
  <c r="O60" i="1" l="1"/>
  <c r="O99" i="1" l="1"/>
  <c r="U99" i="1" s="1"/>
  <c r="AB99" i="1" s="1"/>
  <c r="O98" i="1"/>
  <c r="U98" i="1" s="1"/>
  <c r="AB98" i="1" s="1"/>
  <c r="AC98" i="1" l="1"/>
  <c r="AD98" i="1" s="1"/>
  <c r="AC99" i="1"/>
  <c r="AD99" i="1" s="1"/>
  <c r="O96" i="1"/>
  <c r="U96" i="1" s="1"/>
  <c r="AB96" i="1" s="1"/>
  <c r="AC96" i="1" l="1"/>
  <c r="AD96" i="1" s="1"/>
  <c r="D62" i="2"/>
  <c r="U20" i="1" l="1"/>
  <c r="AB20" i="1" s="1"/>
  <c r="U18" i="1"/>
  <c r="AB18" i="1" l="1"/>
  <c r="AC18" i="1" s="1"/>
  <c r="AD18" i="1" s="1"/>
  <c r="AC20" i="1"/>
  <c r="AD20" i="1" s="1"/>
  <c r="AB3" i="7" l="1"/>
  <c r="AB8" i="7"/>
  <c r="AB10" i="7"/>
  <c r="AB12" i="7"/>
  <c r="AB14" i="7"/>
  <c r="AB15" i="7"/>
  <c r="AB16" i="7"/>
  <c r="AB17" i="7"/>
  <c r="AB18" i="7"/>
  <c r="AB20" i="7"/>
  <c r="AB21" i="7"/>
  <c r="AB22" i="7"/>
  <c r="AB23" i="7"/>
  <c r="AB25" i="7"/>
  <c r="AB27" i="7"/>
  <c r="AB28" i="7"/>
  <c r="AB30" i="7"/>
  <c r="AB31" i="7"/>
  <c r="AB32" i="7"/>
  <c r="AB33" i="7"/>
  <c r="O34" i="1" l="1"/>
  <c r="U34" i="1" s="1"/>
  <c r="AB34" i="1" s="1"/>
  <c r="O33" i="1"/>
  <c r="U33" i="1" s="1"/>
  <c r="AB33" i="1" l="1"/>
  <c r="AC33" i="1" s="1"/>
  <c r="AD33" i="1" s="1"/>
  <c r="T28" i="7"/>
  <c r="AC34" i="1"/>
  <c r="AD34" i="1" s="1"/>
  <c r="E52" i="2"/>
  <c r="D45" i="2"/>
  <c r="E40" i="2"/>
  <c r="E42" i="2" s="1"/>
  <c r="O24" i="1"/>
  <c r="U24" i="1" s="1"/>
  <c r="AB24" i="1" s="1"/>
  <c r="O23" i="1"/>
  <c r="U23" i="1" s="1"/>
  <c r="AB23" i="1" s="1"/>
  <c r="U5" i="1"/>
  <c r="U6" i="1"/>
  <c r="U7" i="1"/>
  <c r="U8" i="1"/>
  <c r="AB8" i="1" s="1"/>
  <c r="U9" i="1"/>
  <c r="AB9" i="1" s="1"/>
  <c r="AC9" i="1" s="1"/>
  <c r="AD9" i="1" s="1"/>
  <c r="U10" i="1"/>
  <c r="AB10" i="1" s="1"/>
  <c r="AC10" i="1" s="1"/>
  <c r="AD10" i="1" s="1"/>
  <c r="U12" i="1"/>
  <c r="U13" i="1"/>
  <c r="AB13" i="1" s="1"/>
  <c r="U16" i="1"/>
  <c r="U17" i="1"/>
  <c r="U19" i="1"/>
  <c r="U25" i="1"/>
  <c r="AD40" i="7" s="1"/>
  <c r="AE40" i="7" s="1"/>
  <c r="U26" i="1"/>
  <c r="U35" i="1"/>
  <c r="F17" i="7" s="1"/>
  <c r="U36" i="1"/>
  <c r="U37" i="1"/>
  <c r="U38" i="1"/>
  <c r="U39" i="1"/>
  <c r="U40" i="1"/>
  <c r="U41" i="1"/>
  <c r="U42" i="1"/>
  <c r="I17" i="7" s="1"/>
  <c r="U43" i="1"/>
  <c r="U44" i="1"/>
  <c r="U45" i="1"/>
  <c r="U46" i="1"/>
  <c r="U47" i="1"/>
  <c r="U48" i="1"/>
  <c r="G35" i="7" s="1"/>
  <c r="U49" i="1"/>
  <c r="U50" i="1"/>
  <c r="U51" i="1"/>
  <c r="H27" i="7" s="1"/>
  <c r="U52" i="1"/>
  <c r="U53" i="1"/>
  <c r="U54" i="1"/>
  <c r="U55" i="1"/>
  <c r="U56" i="1"/>
  <c r="U57" i="1"/>
  <c r="U58" i="1"/>
  <c r="U59" i="1"/>
  <c r="H17" i="7" s="1"/>
  <c r="U60" i="1"/>
  <c r="U61" i="1"/>
  <c r="H22" i="7" s="1"/>
  <c r="U62" i="1"/>
  <c r="G36" i="7" s="1"/>
  <c r="U63" i="1"/>
  <c r="AD37" i="7" s="1"/>
  <c r="AE37" i="7" s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AD45" i="7" s="1"/>
  <c r="AE45" i="7" s="1"/>
  <c r="U82" i="1"/>
  <c r="U84" i="1"/>
  <c r="U85" i="1"/>
  <c r="U86" i="1"/>
  <c r="U87" i="1"/>
  <c r="U88" i="1"/>
  <c r="U89" i="1"/>
  <c r="U90" i="1"/>
  <c r="U4" i="1"/>
  <c r="C5" i="7"/>
  <c r="D5" i="7"/>
  <c r="E5" i="7"/>
  <c r="F5" i="7"/>
  <c r="I5" i="7"/>
  <c r="J5" i="7"/>
  <c r="T5" i="7"/>
  <c r="D8" i="7"/>
  <c r="E8" i="7"/>
  <c r="F8" i="7"/>
  <c r="H8" i="7"/>
  <c r="I8" i="7"/>
  <c r="J8" i="7"/>
  <c r="T8" i="7"/>
  <c r="C10" i="7"/>
  <c r="D10" i="7"/>
  <c r="E10" i="7"/>
  <c r="F10" i="7"/>
  <c r="G10" i="7"/>
  <c r="I10" i="7"/>
  <c r="J10" i="7"/>
  <c r="D12" i="7"/>
  <c r="E12" i="7"/>
  <c r="F12" i="7"/>
  <c r="H12" i="7"/>
  <c r="J12" i="7"/>
  <c r="T12" i="7"/>
  <c r="C14" i="7"/>
  <c r="D14" i="7"/>
  <c r="F14" i="7"/>
  <c r="G14" i="7"/>
  <c r="H14" i="7"/>
  <c r="I14" i="7"/>
  <c r="J14" i="7"/>
  <c r="C15" i="7"/>
  <c r="D15" i="7"/>
  <c r="G15" i="7"/>
  <c r="J15" i="7"/>
  <c r="T15" i="7"/>
  <c r="D16" i="7"/>
  <c r="G16" i="7"/>
  <c r="I16" i="7"/>
  <c r="J16" i="7"/>
  <c r="T16" i="7"/>
  <c r="D17" i="7"/>
  <c r="G17" i="7"/>
  <c r="J17" i="7"/>
  <c r="T17" i="7"/>
  <c r="D18" i="7"/>
  <c r="G18" i="7"/>
  <c r="I18" i="7"/>
  <c r="J18" i="7"/>
  <c r="T18" i="7"/>
  <c r="D20" i="7"/>
  <c r="E20" i="7"/>
  <c r="F20" i="7"/>
  <c r="G20" i="7"/>
  <c r="I20" i="7"/>
  <c r="J20" i="7"/>
  <c r="T20" i="7"/>
  <c r="D21" i="7"/>
  <c r="E21" i="7"/>
  <c r="F21" i="7"/>
  <c r="G21" i="7"/>
  <c r="I21" i="7"/>
  <c r="J21" i="7"/>
  <c r="T21" i="7"/>
  <c r="C22" i="7"/>
  <c r="D22" i="7"/>
  <c r="F22" i="7"/>
  <c r="G22" i="7"/>
  <c r="I22" i="7"/>
  <c r="J22" i="7"/>
  <c r="T22" i="7"/>
  <c r="C23" i="7"/>
  <c r="D23" i="7"/>
  <c r="E23" i="7"/>
  <c r="F23" i="7"/>
  <c r="G23" i="7"/>
  <c r="I23" i="7"/>
  <c r="J23" i="7"/>
  <c r="T23" i="7"/>
  <c r="C25" i="7"/>
  <c r="D25" i="7"/>
  <c r="G25" i="7"/>
  <c r="I25" i="7"/>
  <c r="J25" i="7"/>
  <c r="T25" i="7"/>
  <c r="C27" i="7"/>
  <c r="D27" i="7"/>
  <c r="G27" i="7"/>
  <c r="I27" i="7"/>
  <c r="J27" i="7"/>
  <c r="T27" i="7"/>
  <c r="C30" i="7"/>
  <c r="D30" i="7"/>
  <c r="F30" i="7"/>
  <c r="G30" i="7"/>
  <c r="I30" i="7"/>
  <c r="J30" i="7"/>
  <c r="T30" i="7"/>
  <c r="C31" i="7"/>
  <c r="D31" i="7"/>
  <c r="E31" i="7"/>
  <c r="G31" i="7"/>
  <c r="I31" i="7"/>
  <c r="J31" i="7"/>
  <c r="T31" i="7"/>
  <c r="D32" i="7"/>
  <c r="E32" i="7"/>
  <c r="F32" i="7"/>
  <c r="H32" i="7"/>
  <c r="I32" i="7"/>
  <c r="J32" i="7"/>
  <c r="T32" i="7"/>
  <c r="C33" i="7"/>
  <c r="D33" i="7"/>
  <c r="E33" i="7"/>
  <c r="I33" i="7"/>
  <c r="J33" i="7"/>
  <c r="T33" i="7"/>
  <c r="C37" i="7"/>
  <c r="D37" i="7"/>
  <c r="F37" i="7"/>
  <c r="G37" i="7"/>
  <c r="H37" i="7"/>
  <c r="I37" i="7"/>
  <c r="J37" i="7"/>
  <c r="T37" i="7"/>
  <c r="C38" i="7"/>
  <c r="D38" i="7"/>
  <c r="F38" i="7"/>
  <c r="H38" i="7"/>
  <c r="I38" i="7"/>
  <c r="J38" i="7"/>
  <c r="T38" i="7"/>
  <c r="C40" i="7"/>
  <c r="D40" i="7"/>
  <c r="E40" i="7"/>
  <c r="F40" i="7"/>
  <c r="G40" i="7"/>
  <c r="I40" i="7"/>
  <c r="J40" i="7"/>
  <c r="T40" i="7"/>
  <c r="C41" i="7"/>
  <c r="D41" i="7"/>
  <c r="F41" i="7"/>
  <c r="H41" i="7"/>
  <c r="I41" i="7"/>
  <c r="J41" i="7"/>
  <c r="T41" i="7"/>
  <c r="C42" i="7"/>
  <c r="D42" i="7"/>
  <c r="I42" i="7"/>
  <c r="J42" i="7"/>
  <c r="T42" i="7"/>
  <c r="C44" i="7"/>
  <c r="D44" i="7"/>
  <c r="E44" i="7"/>
  <c r="G44" i="7"/>
  <c r="H44" i="7"/>
  <c r="I44" i="7"/>
  <c r="J44" i="7"/>
  <c r="T44" i="7"/>
  <c r="C45" i="7"/>
  <c r="D45" i="7"/>
  <c r="F45" i="7"/>
  <c r="G45" i="7"/>
  <c r="H45" i="7"/>
  <c r="I45" i="7"/>
  <c r="J45" i="7"/>
  <c r="T45" i="7"/>
  <c r="D3" i="7"/>
  <c r="F3" i="7"/>
  <c r="G3" i="7"/>
  <c r="H3" i="7"/>
  <c r="I3" i="7"/>
  <c r="J3" i="7"/>
  <c r="T3" i="7"/>
  <c r="C3" i="7"/>
  <c r="Y5" i="7"/>
  <c r="AA5" i="7"/>
  <c r="AC5" i="7"/>
  <c r="AA8" i="7"/>
  <c r="Y10" i="7"/>
  <c r="Z10" i="7"/>
  <c r="AA10" i="7"/>
  <c r="AC10" i="7"/>
  <c r="Y12" i="7"/>
  <c r="AA12" i="7"/>
  <c r="AC12" i="7"/>
  <c r="Z14" i="7"/>
  <c r="AA14" i="7"/>
  <c r="AA15" i="7"/>
  <c r="Y16" i="7"/>
  <c r="AA16" i="7"/>
  <c r="Y17" i="7"/>
  <c r="AA17" i="7"/>
  <c r="Y18" i="7"/>
  <c r="Z18" i="7"/>
  <c r="AA18" i="7"/>
  <c r="AC18" i="7"/>
  <c r="Y20" i="7"/>
  <c r="Z20" i="7"/>
  <c r="AA20" i="7"/>
  <c r="AC20" i="7"/>
  <c r="Y21" i="7"/>
  <c r="Z21" i="7"/>
  <c r="AA21" i="7"/>
  <c r="Y22" i="7"/>
  <c r="Z22" i="7"/>
  <c r="AA22" i="7"/>
  <c r="AC22" i="7"/>
  <c r="Y23" i="7"/>
  <c r="Z23" i="7"/>
  <c r="AA23" i="7"/>
  <c r="AC23" i="7"/>
  <c r="Y25" i="7"/>
  <c r="AA25" i="7"/>
  <c r="Y27" i="7"/>
  <c r="AA27" i="7"/>
  <c r="AA28" i="7"/>
  <c r="AC28" i="7"/>
  <c r="Y30" i="7"/>
  <c r="Z30" i="7"/>
  <c r="AA30" i="7"/>
  <c r="AC30" i="7"/>
  <c r="Y31" i="7"/>
  <c r="Z31" i="7"/>
  <c r="AA31" i="7"/>
  <c r="AC31" i="7"/>
  <c r="Y32" i="7"/>
  <c r="Z32" i="7"/>
  <c r="AA32" i="7"/>
  <c r="AC32" i="7"/>
  <c r="Y33" i="7"/>
  <c r="Z33" i="7"/>
  <c r="AA33" i="7"/>
  <c r="AC33" i="7"/>
  <c r="Z3" i="7"/>
  <c r="AA3" i="7"/>
  <c r="AC3" i="7"/>
  <c r="Y3" i="7"/>
  <c r="O27" i="1"/>
  <c r="D37" i="2"/>
  <c r="O22" i="1"/>
  <c r="O21" i="1"/>
  <c r="U21" i="1" s="1"/>
  <c r="H33" i="7" s="1"/>
  <c r="O15" i="1"/>
  <c r="O14" i="1"/>
  <c r="D33" i="2"/>
  <c r="C31" i="2" s="1"/>
  <c r="O11" i="1"/>
  <c r="U11" i="1" s="1"/>
  <c r="C21" i="7" s="1"/>
  <c r="E20" i="2"/>
  <c r="E19" i="2"/>
  <c r="C20" i="7" l="1"/>
  <c r="H18" i="7"/>
  <c r="T14" i="7"/>
  <c r="C12" i="7"/>
  <c r="F27" i="7"/>
  <c r="F29" i="7"/>
  <c r="F34" i="7"/>
  <c r="U34" i="7" s="1"/>
  <c r="AD34" i="7"/>
  <c r="AE34" i="7" s="1"/>
  <c r="E9" i="7"/>
  <c r="U9" i="7" s="1"/>
  <c r="AD9" i="7"/>
  <c r="AE9" i="7" s="1"/>
  <c r="F36" i="7"/>
  <c r="U36" i="7" s="1"/>
  <c r="AD36" i="7"/>
  <c r="AE36" i="7" s="1"/>
  <c r="AB16" i="1"/>
  <c r="AC16" i="1" s="1"/>
  <c r="AD16" i="1" s="1"/>
  <c r="AD44" i="7"/>
  <c r="AE44" i="7" s="1"/>
  <c r="AB5" i="1"/>
  <c r="AC5" i="1" s="1"/>
  <c r="AD5" i="1" s="1"/>
  <c r="AD35" i="7"/>
  <c r="AE35" i="7" s="1"/>
  <c r="C35" i="7"/>
  <c r="U35" i="7" s="1"/>
  <c r="E4" i="7"/>
  <c r="U4" i="7" s="1"/>
  <c r="AD4" i="7"/>
  <c r="AE4" i="7" s="1"/>
  <c r="AB17" i="1"/>
  <c r="AC17" i="1" s="1"/>
  <c r="AD17" i="1" s="1"/>
  <c r="E21" i="2"/>
  <c r="AC24" i="1"/>
  <c r="AD24" i="1" s="1"/>
  <c r="AC23" i="1"/>
  <c r="AD23" i="1" s="1"/>
  <c r="H43" i="7"/>
  <c r="E43" i="7"/>
  <c r="C32" i="2"/>
  <c r="E42" i="7"/>
  <c r="AB6" i="1"/>
  <c r="AC6" i="1" s="1"/>
  <c r="C17" i="7"/>
  <c r="C32" i="7"/>
  <c r="AB7" i="1"/>
  <c r="AC7" i="1" s="1"/>
  <c r="AD7" i="1" s="1"/>
  <c r="F44" i="7"/>
  <c r="U44" i="7" s="1"/>
  <c r="C33" i="2"/>
  <c r="AB26" i="1"/>
  <c r="AB25" i="1"/>
  <c r="H40" i="7"/>
  <c r="U40" i="7" s="1"/>
  <c r="C8" i="7"/>
  <c r="U15" i="1"/>
  <c r="AB15" i="1" s="1"/>
  <c r="U14" i="1"/>
  <c r="AB12" i="1"/>
  <c r="AC12" i="1" s="1"/>
  <c r="AD12" i="1" s="1"/>
  <c r="C18" i="7"/>
  <c r="U27" i="1"/>
  <c r="E25" i="7" s="1"/>
  <c r="AB11" i="1"/>
  <c r="AC11" i="1" s="1"/>
  <c r="AD11" i="1" s="1"/>
  <c r="U22" i="1"/>
  <c r="AD42" i="7" s="1"/>
  <c r="AE42" i="7" s="1"/>
  <c r="H30" i="7"/>
  <c r="AB21" i="1"/>
  <c r="AC13" i="1"/>
  <c r="AD13" i="1" s="1"/>
  <c r="AC8" i="1"/>
  <c r="AD8" i="1" s="1"/>
  <c r="J46" i="7"/>
  <c r="J52" i="7" s="1"/>
  <c r="J53" i="7" s="1"/>
  <c r="D46" i="7"/>
  <c r="D52" i="7" s="1"/>
  <c r="D53" i="7" s="1"/>
  <c r="O105" i="1"/>
  <c r="U105" i="1" s="1"/>
  <c r="O106" i="1"/>
  <c r="U106" i="1" s="1"/>
  <c r="O107" i="1"/>
  <c r="U107" i="1" s="1"/>
  <c r="O108" i="1"/>
  <c r="U108" i="1" s="1"/>
  <c r="O109" i="1"/>
  <c r="U109" i="1" s="1"/>
  <c r="AB109" i="1" s="1"/>
  <c r="O83" i="1"/>
  <c r="U83" i="1" s="1"/>
  <c r="O114" i="1"/>
  <c r="U114" i="1" s="1"/>
  <c r="AC25" i="7" l="1"/>
  <c r="H28" i="7"/>
  <c r="AD29" i="7"/>
  <c r="H31" i="7"/>
  <c r="AD38" i="7"/>
  <c r="AE38" i="7" s="1"/>
  <c r="AB114" i="1"/>
  <c r="AC114" i="1" s="1"/>
  <c r="AD114" i="1" s="1"/>
  <c r="E18" i="7"/>
  <c r="AB83" i="1"/>
  <c r="AC83" i="1" s="1"/>
  <c r="AD83" i="1" s="1"/>
  <c r="G5" i="7"/>
  <c r="AC15" i="7"/>
  <c r="H29" i="7"/>
  <c r="U29" i="7" s="1"/>
  <c r="AB29" i="7"/>
  <c r="AB113" i="1"/>
  <c r="AC113" i="1" s="1"/>
  <c r="AD113" i="1" s="1"/>
  <c r="AB107" i="1"/>
  <c r="AC107" i="1" s="1"/>
  <c r="AD107" i="1" s="1"/>
  <c r="AB106" i="1"/>
  <c r="AC106" i="1" s="1"/>
  <c r="AD106" i="1" s="1"/>
  <c r="Z25" i="7"/>
  <c r="H25" i="7"/>
  <c r="AB108" i="1"/>
  <c r="AC108" i="1" s="1"/>
  <c r="AD108" i="1" s="1"/>
  <c r="Y8" i="7"/>
  <c r="Z28" i="7"/>
  <c r="Z29" i="7"/>
  <c r="AB105" i="1"/>
  <c r="AC105" i="1" s="1"/>
  <c r="Y28" i="7"/>
  <c r="AC25" i="1"/>
  <c r="AD25" i="1" s="1"/>
  <c r="AC21" i="1"/>
  <c r="AD21" i="1" s="1"/>
  <c r="AC26" i="1"/>
  <c r="AD26" i="1" s="1"/>
  <c r="AC109" i="1"/>
  <c r="AD109" i="1" s="1"/>
  <c r="AD6" i="1"/>
  <c r="AD22" i="7"/>
  <c r="AE22" i="7" s="1"/>
  <c r="E22" i="7"/>
  <c r="U22" i="7" s="1"/>
  <c r="AB22" i="1"/>
  <c r="G41" i="7"/>
  <c r="AC15" i="1"/>
  <c r="AD15" i="1" s="1"/>
  <c r="E38" i="7"/>
  <c r="AB14" i="1"/>
  <c r="AC14" i="1" s="1"/>
  <c r="AD14" i="1" s="1"/>
  <c r="AA46" i="7"/>
  <c r="AE29" i="7" l="1"/>
  <c r="AD105" i="1"/>
  <c r="AC22" i="1"/>
  <c r="AD22" i="1" s="1"/>
  <c r="M2" i="1"/>
  <c r="AB27" i="1"/>
  <c r="AB39" i="1"/>
  <c r="AB40" i="1"/>
  <c r="AB44" i="1"/>
  <c r="AB49" i="1"/>
  <c r="AB50" i="1"/>
  <c r="AB52" i="1"/>
  <c r="AB54" i="1"/>
  <c r="AB55" i="1"/>
  <c r="AB56" i="1"/>
  <c r="AB57" i="1"/>
  <c r="AB58" i="1"/>
  <c r="C16" i="7"/>
  <c r="AB64" i="1"/>
  <c r="AB65" i="1"/>
  <c r="AB67" i="1"/>
  <c r="AB69" i="1"/>
  <c r="AB70" i="1"/>
  <c r="AB71" i="1"/>
  <c r="AB72" i="1"/>
  <c r="AB73" i="1"/>
  <c r="AB74" i="1"/>
  <c r="AB75" i="1"/>
  <c r="AB82" i="1"/>
  <c r="AB84" i="1"/>
  <c r="AB86" i="1"/>
  <c r="AB87" i="1"/>
  <c r="AB88" i="1"/>
  <c r="AB90" i="1"/>
  <c r="AC90" i="1" l="1"/>
  <c r="AD90" i="1" s="1"/>
  <c r="AC73" i="1"/>
  <c r="AD73" i="1" s="1"/>
  <c r="AC75" i="1"/>
  <c r="AD75" i="1" s="1"/>
  <c r="AC65" i="1"/>
  <c r="AD65" i="1" s="1"/>
  <c r="AC52" i="1"/>
  <c r="AD52" i="1" s="1"/>
  <c r="AC49" i="1"/>
  <c r="AD49" i="1" s="1"/>
  <c r="AC88" i="1"/>
  <c r="AD88" i="1" s="1"/>
  <c r="AC72" i="1"/>
  <c r="AD72" i="1" s="1"/>
  <c r="AC58" i="1"/>
  <c r="AD58" i="1" s="1"/>
  <c r="AC44" i="1"/>
  <c r="AD44" i="1" s="1"/>
  <c r="AC87" i="1"/>
  <c r="AD87" i="1" s="1"/>
  <c r="AC71" i="1"/>
  <c r="AD71" i="1" s="1"/>
  <c r="AC57" i="1"/>
  <c r="AD57" i="1" s="1"/>
  <c r="AC40" i="1"/>
  <c r="AD40" i="1" s="1"/>
  <c r="AC86" i="1"/>
  <c r="AD86" i="1" s="1"/>
  <c r="AC70" i="1"/>
  <c r="AD70" i="1" s="1"/>
  <c r="AC56" i="1"/>
  <c r="AD56" i="1" s="1"/>
  <c r="AC39" i="1"/>
  <c r="AD39" i="1" s="1"/>
  <c r="AC84" i="1"/>
  <c r="AD84" i="1" s="1"/>
  <c r="AC69" i="1"/>
  <c r="AD69" i="1" s="1"/>
  <c r="AC55" i="1"/>
  <c r="AD55" i="1" s="1"/>
  <c r="AC27" i="1"/>
  <c r="AD27" i="1" s="1"/>
  <c r="AC82" i="1"/>
  <c r="AD82" i="1" s="1"/>
  <c r="AC67" i="1"/>
  <c r="AD67" i="1" s="1"/>
  <c r="AC54" i="1"/>
  <c r="AD54" i="1" s="1"/>
  <c r="AC74" i="1"/>
  <c r="AD74" i="1" s="1"/>
  <c r="AC64" i="1"/>
  <c r="AD64" i="1" s="1"/>
  <c r="AC50" i="1"/>
  <c r="AD50" i="1" s="1"/>
  <c r="AB79" i="1"/>
  <c r="AB59" i="1"/>
  <c r="H15" i="7"/>
  <c r="AB43" i="1"/>
  <c r="T10" i="7"/>
  <c r="AB47" i="1"/>
  <c r="H16" i="7"/>
  <c r="AB46" i="1"/>
  <c r="H42" i="7"/>
  <c r="AB61" i="1"/>
  <c r="H20" i="7"/>
  <c r="U20" i="7" s="1"/>
  <c r="AD20" i="7"/>
  <c r="AE20" i="7" s="1"/>
  <c r="AB38" i="1"/>
  <c r="F33" i="7"/>
  <c r="AD33" i="7"/>
  <c r="AE33" i="7" s="1"/>
  <c r="AB63" i="1"/>
  <c r="E37" i="7"/>
  <c r="U37" i="7" s="1"/>
  <c r="AB53" i="1"/>
  <c r="G38" i="7"/>
  <c r="U38" i="7" s="1"/>
  <c r="AB37" i="1"/>
  <c r="AB4" i="1"/>
  <c r="AC4" i="1" s="1"/>
  <c r="AD4" i="1" s="1"/>
  <c r="AD25" i="7"/>
  <c r="AE25" i="7" s="1"/>
  <c r="F25" i="7"/>
  <c r="U25" i="7" s="1"/>
  <c r="AB42" i="1"/>
  <c r="I15" i="7"/>
  <c r="AB85" i="1"/>
  <c r="AB68" i="1"/>
  <c r="AD14" i="7"/>
  <c r="AB36" i="1"/>
  <c r="AB78" i="1"/>
  <c r="AB76" i="1"/>
  <c r="I12" i="7"/>
  <c r="AB41" i="1"/>
  <c r="AD31" i="7"/>
  <c r="AE31" i="7" s="1"/>
  <c r="F31" i="7"/>
  <c r="U31" i="7" s="1"/>
  <c r="AB51" i="1"/>
  <c r="AB35" i="1"/>
  <c r="F15" i="7"/>
  <c r="AD15" i="7"/>
  <c r="AB89" i="1"/>
  <c r="AB66" i="1"/>
  <c r="AB45" i="1"/>
  <c r="G42" i="7"/>
  <c r="AB81" i="1"/>
  <c r="E45" i="7"/>
  <c r="U45" i="7" s="1"/>
  <c r="AB19" i="1"/>
  <c r="E3" i="7"/>
  <c r="AD3" i="7"/>
  <c r="AB62" i="1"/>
  <c r="G33" i="7"/>
  <c r="AB77" i="1"/>
  <c r="Z12" i="7"/>
  <c r="AB80" i="1"/>
  <c r="AB48" i="1"/>
  <c r="G32" i="7"/>
  <c r="U32" i="7" s="1"/>
  <c r="AD32" i="7"/>
  <c r="AE32" i="7" s="1"/>
  <c r="AB60" i="1"/>
  <c r="AC68" i="1" l="1"/>
  <c r="AD68" i="1" s="1"/>
  <c r="AC37" i="1"/>
  <c r="AD37" i="1" s="1"/>
  <c r="AC47" i="1"/>
  <c r="AD47" i="1" s="1"/>
  <c r="AC60" i="1"/>
  <c r="AD60" i="1" s="1"/>
  <c r="AC62" i="1"/>
  <c r="AD62" i="1" s="1"/>
  <c r="AC45" i="1"/>
  <c r="AD45" i="1" s="1"/>
  <c r="AC61" i="1"/>
  <c r="AD61" i="1" s="1"/>
  <c r="AC36" i="1"/>
  <c r="AD36" i="1" s="1"/>
  <c r="AC59" i="1"/>
  <c r="AD59" i="1" s="1"/>
  <c r="AC66" i="1"/>
  <c r="AD66" i="1" s="1"/>
  <c r="AC51" i="1"/>
  <c r="AD51" i="1" s="1"/>
  <c r="AC78" i="1"/>
  <c r="AD78" i="1" s="1"/>
  <c r="AC42" i="1"/>
  <c r="AD42" i="1" s="1"/>
  <c r="AC53" i="1"/>
  <c r="AD53" i="1" s="1"/>
  <c r="AC80" i="1"/>
  <c r="AD80" i="1" s="1"/>
  <c r="AC41" i="1"/>
  <c r="AD41" i="1" s="1"/>
  <c r="AC63" i="1"/>
  <c r="AD63" i="1" s="1"/>
  <c r="AC46" i="1"/>
  <c r="AD46" i="1" s="1"/>
  <c r="AC35" i="1"/>
  <c r="AD35" i="1" s="1"/>
  <c r="AC76" i="1"/>
  <c r="AD76" i="1" s="1"/>
  <c r="AC85" i="1"/>
  <c r="AD85" i="1" s="1"/>
  <c r="AC38" i="1"/>
  <c r="AD38" i="1" s="1"/>
  <c r="AC43" i="1"/>
  <c r="AD43" i="1" s="1"/>
  <c r="AC48" i="1"/>
  <c r="AD48" i="1" s="1"/>
  <c r="AC19" i="1"/>
  <c r="AD19" i="1" s="1"/>
  <c r="AC89" i="1"/>
  <c r="AD89" i="1" s="1"/>
  <c r="AC77" i="1"/>
  <c r="AD77" i="1" s="1"/>
  <c r="AC81" i="1"/>
  <c r="AD81" i="1" s="1"/>
  <c r="AC79" i="1"/>
  <c r="AD79" i="1" s="1"/>
  <c r="AE3" i="7"/>
  <c r="I46" i="7"/>
  <c r="I52" i="7" s="1"/>
  <c r="I53" i="7" s="1"/>
  <c r="U3" i="7"/>
  <c r="T46" i="7"/>
  <c r="T49" i="7" s="1"/>
  <c r="U49" i="7" s="1"/>
  <c r="U33" i="7"/>
  <c r="O92" i="1"/>
  <c r="O91" i="1"/>
  <c r="U91" i="1" s="1"/>
  <c r="AD21" i="7" l="1"/>
  <c r="H23" i="7"/>
  <c r="U23" i="7" s="1"/>
  <c r="AD23" i="7"/>
  <c r="AE23" i="7" s="1"/>
  <c r="U92" i="1"/>
  <c r="T52" i="7"/>
  <c r="T53" i="7" s="1"/>
  <c r="H10" i="7" l="1"/>
  <c r="U10" i="7" s="1"/>
  <c r="AD10" i="7"/>
  <c r="AE10" i="7" s="1"/>
  <c r="AB5" i="7"/>
  <c r="AB46" i="7" s="1"/>
  <c r="AD5" i="7"/>
  <c r="AB92" i="1"/>
  <c r="H5" i="7"/>
  <c r="U5" i="7" s="1"/>
  <c r="Z5" i="7"/>
  <c r="AB91" i="1"/>
  <c r="AC21" i="7"/>
  <c r="AE21" i="7" s="1"/>
  <c r="H21" i="7"/>
  <c r="U21" i="7" s="1"/>
  <c r="D11" i="2"/>
  <c r="D13" i="2" s="1"/>
  <c r="E13" i="2" s="1"/>
  <c r="E8" i="2"/>
  <c r="E9" i="2"/>
  <c r="E10" i="2"/>
  <c r="E7" i="2"/>
  <c r="AC91" i="1" l="1"/>
  <c r="AD91" i="1" s="1"/>
  <c r="AE5" i="7"/>
  <c r="AC92" i="1"/>
  <c r="AD92" i="1" s="1"/>
  <c r="H46" i="7"/>
  <c r="H52" i="7" s="1"/>
  <c r="H53" i="7" s="1"/>
  <c r="E11" i="2"/>
  <c r="O94" i="1"/>
  <c r="U94" i="1" s="1"/>
  <c r="O95" i="1"/>
  <c r="U95" i="1" s="1"/>
  <c r="O97" i="1"/>
  <c r="O101" i="1"/>
  <c r="O100" i="1"/>
  <c r="U100" i="1" s="1"/>
  <c r="AD41" i="7" s="1"/>
  <c r="O102" i="1"/>
  <c r="O117" i="1"/>
  <c r="O118" i="1"/>
  <c r="O119" i="1"/>
  <c r="O120" i="1"/>
  <c r="O181" i="1"/>
  <c r="O182" i="1"/>
  <c r="O183" i="1"/>
  <c r="O184" i="1"/>
  <c r="O185" i="1"/>
  <c r="O186" i="1"/>
  <c r="O187" i="1"/>
  <c r="O188" i="1"/>
  <c r="U188" i="1" s="1"/>
  <c r="O189" i="1"/>
  <c r="U189" i="1" s="1"/>
  <c r="O93" i="1"/>
  <c r="U93" i="1" s="1"/>
  <c r="Z41" i="7" l="1"/>
  <c r="AC41" i="7"/>
  <c r="G12" i="7"/>
  <c r="U12" i="7" s="1"/>
  <c r="AD12" i="7"/>
  <c r="AE12" i="7" s="1"/>
  <c r="F18" i="7"/>
  <c r="U18" i="7" s="1"/>
  <c r="AD18" i="7"/>
  <c r="AE18" i="7" s="1"/>
  <c r="AD8" i="7"/>
  <c r="AC8" i="7"/>
  <c r="F43" i="7"/>
  <c r="E41" i="7"/>
  <c r="U41" i="7" s="1"/>
  <c r="U187" i="1"/>
  <c r="U195" i="1" s="1"/>
  <c r="O195" i="1"/>
  <c r="U120" i="1"/>
  <c r="N17" i="7" s="1"/>
  <c r="U102" i="1"/>
  <c r="AB102" i="1" s="1"/>
  <c r="U181" i="1"/>
  <c r="AB181" i="1" s="1"/>
  <c r="U182" i="1"/>
  <c r="AB182" i="1" s="1"/>
  <c r="U118" i="1"/>
  <c r="E16" i="7" s="1"/>
  <c r="U186" i="1"/>
  <c r="AB186" i="1" s="1"/>
  <c r="U185" i="1"/>
  <c r="AB185" i="1" s="1"/>
  <c r="U184" i="1"/>
  <c r="AB184" i="1" s="1"/>
  <c r="U119" i="1"/>
  <c r="U97" i="1"/>
  <c r="U117" i="1"/>
  <c r="AD39" i="7" s="1"/>
  <c r="AE39" i="7" s="1"/>
  <c r="U101" i="1"/>
  <c r="U183" i="1"/>
  <c r="AB183" i="1" s="1"/>
  <c r="AB100" i="1"/>
  <c r="O2" i="1"/>
  <c r="O197" i="1"/>
  <c r="O196" i="1"/>
  <c r="AB188" i="1"/>
  <c r="O194" i="1"/>
  <c r="O192" i="1"/>
  <c r="O193" i="1"/>
  <c r="AD17" i="7" l="1"/>
  <c r="AD16" i="7"/>
  <c r="AC17" i="7"/>
  <c r="AE41" i="7"/>
  <c r="AD43" i="7"/>
  <c r="AE43" i="7" s="1"/>
  <c r="AC16" i="7"/>
  <c r="E30" i="7"/>
  <c r="U30" i="7" s="1"/>
  <c r="AD30" i="7"/>
  <c r="AE30" i="7" s="1"/>
  <c r="Z15" i="7"/>
  <c r="Z17" i="7"/>
  <c r="E17" i="7"/>
  <c r="U17" i="7" s="1"/>
  <c r="E14" i="7"/>
  <c r="U14" i="7" s="1"/>
  <c r="AC14" i="7"/>
  <c r="AB120" i="1"/>
  <c r="AC120" i="1" s="1"/>
  <c r="AD120" i="1" s="1"/>
  <c r="N15" i="7"/>
  <c r="N46" i="7" s="1"/>
  <c r="N52" i="7" s="1"/>
  <c r="N53" i="7" s="1"/>
  <c r="AB119" i="1"/>
  <c r="AC119" i="1" s="1"/>
  <c r="AD119" i="1" s="1"/>
  <c r="Y15" i="7"/>
  <c r="E15" i="7"/>
  <c r="AB118" i="1"/>
  <c r="AC118" i="1" s="1"/>
  <c r="AD118" i="1" s="1"/>
  <c r="Y14" i="7"/>
  <c r="AC181" i="1"/>
  <c r="AD181" i="1" s="1"/>
  <c r="C39" i="7"/>
  <c r="AB117" i="1"/>
  <c r="AC117" i="1" s="1"/>
  <c r="AD117" i="1" s="1"/>
  <c r="E28" i="7"/>
  <c r="U28" i="7" s="1"/>
  <c r="AD28" i="7"/>
  <c r="AE28" i="7" s="1"/>
  <c r="U197" i="1"/>
  <c r="AC27" i="7"/>
  <c r="AD27" i="7"/>
  <c r="AC185" i="1"/>
  <c r="AD185" i="1" s="1"/>
  <c r="AC184" i="1"/>
  <c r="AD184" i="1" s="1"/>
  <c r="AC102" i="1"/>
  <c r="AD102" i="1" s="1"/>
  <c r="AC100" i="1"/>
  <c r="AD100" i="1" s="1"/>
  <c r="AC183" i="1"/>
  <c r="AD183" i="1" s="1"/>
  <c r="AC186" i="1"/>
  <c r="AD186" i="1" s="1"/>
  <c r="AC182" i="1"/>
  <c r="AD182" i="1" s="1"/>
  <c r="G43" i="7"/>
  <c r="U43" i="7" s="1"/>
  <c r="AB101" i="1"/>
  <c r="U194" i="1"/>
  <c r="AB187" i="1"/>
  <c r="AB97" i="1"/>
  <c r="E27" i="7"/>
  <c r="Z27" i="7"/>
  <c r="U192" i="1"/>
  <c r="AB94" i="1"/>
  <c r="Z16" i="7"/>
  <c r="F16" i="7"/>
  <c r="U16" i="7" s="1"/>
  <c r="AB93" i="1"/>
  <c r="F42" i="7"/>
  <c r="U42" i="7" s="1"/>
  <c r="G8" i="7"/>
  <c r="Z8" i="7"/>
  <c r="AE8" i="7" s="1"/>
  <c r="U196" i="1"/>
  <c r="U193" i="1"/>
  <c r="AB95" i="1"/>
  <c r="AC188" i="1"/>
  <c r="AD188" i="1" s="1"/>
  <c r="AB189" i="1"/>
  <c r="O198" i="1"/>
  <c r="U2" i="1"/>
  <c r="AD193" i="1" l="1"/>
  <c r="AC193" i="1"/>
  <c r="AB193" i="1"/>
  <c r="AC194" i="1"/>
  <c r="AB194" i="1"/>
  <c r="AD194" i="1"/>
  <c r="AB192" i="1"/>
  <c r="AC192" i="1"/>
  <c r="AD192" i="1"/>
  <c r="AD196" i="1"/>
  <c r="AB196" i="1"/>
  <c r="AC196" i="1"/>
  <c r="AE17" i="7"/>
  <c r="AE16" i="7"/>
  <c r="AE15" i="7"/>
  <c r="U15" i="7"/>
  <c r="AE14" i="7"/>
  <c r="Y46" i="7"/>
  <c r="U39" i="7"/>
  <c r="C46" i="7"/>
  <c r="C52" i="7" s="1"/>
  <c r="C53" i="7" s="1"/>
  <c r="AD46" i="7"/>
  <c r="AE27" i="7"/>
  <c r="AC93" i="1"/>
  <c r="AD93" i="1" s="1"/>
  <c r="AC187" i="1"/>
  <c r="AC95" i="1"/>
  <c r="AC97" i="1"/>
  <c r="AD97" i="1" s="1"/>
  <c r="AC94" i="1"/>
  <c r="AD94" i="1" s="1"/>
  <c r="AC101" i="1"/>
  <c r="AD101" i="1" s="1"/>
  <c r="AC46" i="7"/>
  <c r="U27" i="7"/>
  <c r="E46" i="7"/>
  <c r="E52" i="7" s="1"/>
  <c r="E53" i="7" s="1"/>
  <c r="F46" i="7"/>
  <c r="F52" i="7" s="1"/>
  <c r="Z46" i="7"/>
  <c r="U8" i="7"/>
  <c r="G46" i="7"/>
  <c r="G52" i="7" s="1"/>
  <c r="G53" i="7" s="1"/>
  <c r="U198" i="1"/>
  <c r="AB2" i="1"/>
  <c r="AC189" i="1"/>
  <c r="AE46" i="7" l="1"/>
  <c r="AF19" i="7" s="1"/>
  <c r="AD95" i="1"/>
  <c r="AD187" i="1"/>
  <c r="AC200" i="1"/>
  <c r="AD189" i="1"/>
  <c r="AB200" i="1"/>
  <c r="U46" i="7"/>
  <c r="AC2" i="1"/>
  <c r="F53" i="7"/>
  <c r="U52" i="7"/>
  <c r="U53" i="7" s="1"/>
  <c r="V11" i="7" l="1"/>
  <c r="V19" i="7"/>
  <c r="AF11" i="7"/>
  <c r="AF7" i="7"/>
  <c r="V24" i="7"/>
  <c r="V7" i="7"/>
  <c r="V26" i="7"/>
  <c r="V6" i="7"/>
  <c r="AF26" i="7"/>
  <c r="AF6" i="7"/>
  <c r="AF13" i="7"/>
  <c r="AF24" i="7"/>
  <c r="AC197" i="1"/>
  <c r="AB197" i="1"/>
  <c r="AD197" i="1"/>
  <c r="V13" i="7"/>
  <c r="AB195" i="1"/>
  <c r="AC195" i="1"/>
  <c r="AD195" i="1"/>
  <c r="AF9" i="7"/>
  <c r="AF34" i="7"/>
  <c r="AF35" i="7"/>
  <c r="AF36" i="7"/>
  <c r="AF37" i="7"/>
  <c r="AF38" i="7"/>
  <c r="AF39" i="7"/>
  <c r="AF40" i="7"/>
  <c r="AF41" i="7"/>
  <c r="AF42" i="7"/>
  <c r="AF45" i="7"/>
  <c r="AF43" i="7"/>
  <c r="AF44" i="7"/>
  <c r="V9" i="7"/>
  <c r="V35" i="7"/>
  <c r="V36" i="7"/>
  <c r="V34" i="7"/>
  <c r="AF4" i="7"/>
  <c r="V4" i="7"/>
  <c r="V39" i="7"/>
  <c r="AD200" i="1"/>
  <c r="V29" i="7"/>
  <c r="V28" i="7"/>
  <c r="AF29" i="7"/>
  <c r="AF28" i="7"/>
  <c r="AF8" i="7"/>
  <c r="AF5" i="7"/>
  <c r="AF32" i="7"/>
  <c r="AF10" i="7"/>
  <c r="AF27" i="7"/>
  <c r="AF33" i="7"/>
  <c r="AF14" i="7"/>
  <c r="AF25" i="7"/>
  <c r="AF16" i="7"/>
  <c r="AF3" i="7"/>
  <c r="AF22" i="7"/>
  <c r="AF20" i="7"/>
  <c r="AF15" i="7"/>
  <c r="AF23" i="7"/>
  <c r="AF12" i="7"/>
  <c r="AF31" i="7"/>
  <c r="AF17" i="7"/>
  <c r="AF30" i="7"/>
  <c r="AF21" i="7"/>
  <c r="AF18" i="7"/>
  <c r="AD2" i="1"/>
  <c r="V43" i="7"/>
  <c r="V8" i="7"/>
  <c r="V44" i="7"/>
  <c r="V5" i="7"/>
  <c r="V45" i="7"/>
  <c r="V3" i="7"/>
  <c r="V33" i="7"/>
  <c r="V18" i="7"/>
  <c r="V23" i="7"/>
  <c r="V20" i="7"/>
  <c r="V25" i="7"/>
  <c r="V15" i="7"/>
  <c r="V32" i="7"/>
  <c r="V41" i="7"/>
  <c r="V16" i="7"/>
  <c r="V14" i="7"/>
  <c r="V40" i="7"/>
  <c r="V30" i="7"/>
  <c r="V12" i="7"/>
  <c r="V21" i="7"/>
  <c r="V17" i="7"/>
  <c r="V37" i="7"/>
  <c r="V10" i="7"/>
  <c r="V38" i="7"/>
  <c r="V31" i="7"/>
  <c r="V42" i="7"/>
  <c r="V27" i="7"/>
  <c r="V22" i="7"/>
  <c r="AD198" i="1" l="1"/>
  <c r="AC198" i="1"/>
  <c r="AB198" i="1"/>
  <c r="AC201" i="1"/>
  <c r="AD201" i="1"/>
  <c r="AB201" i="1"/>
  <c r="AF46" i="7"/>
  <c r="V4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EBCF8240-BA41-419E-B6B7-7AA7A29993C4}">
      <text>
        <r>
          <rPr>
            <b/>
            <sz val="8"/>
            <color indexed="81"/>
            <rFont val="함초롬돋움"/>
            <family val="1"/>
            <charset val="129"/>
          </rPr>
          <t>구매 : 생산품에 대한 원자재, 임가공 등의 비용
외주 : 완제품으로 납품되는 장비 및 개발/연구에 대한 비용
프리랜서 : 프리랜서 계약등으로 진행되는 업무의 비용</t>
        </r>
      </text>
    </comment>
    <comment ref="C3" authorId="0" shapeId="0" xr:uid="{524F753D-70F6-41A4-B16B-99C8A697B772}">
      <text>
        <r>
          <rPr>
            <b/>
            <sz val="8"/>
            <color indexed="81"/>
            <rFont val="함초롬돋움"/>
            <family val="1"/>
            <charset val="129"/>
          </rPr>
          <t>원자재 : 자재 비용
임가공 : 생산품및 개발품에 대한 인건비
장비 : 생산 및 개발에 사용되는 장비, 공구, TOOL (납품X)
개발 : 개발,연구에 대한 작업비용 및 기타 작업비용
시험 : 환경시험 등</t>
        </r>
      </text>
    </comment>
    <comment ref="L3" authorId="0" shapeId="0" xr:uid="{A4549E8E-A61D-49E8-96BD-6AB35F7E2AC9}">
      <text>
        <r>
          <rPr>
            <b/>
            <sz val="8"/>
            <color indexed="81"/>
            <rFont val="맑은 고딕"/>
            <family val="3"/>
            <charset val="129"/>
          </rPr>
          <t>드롭다운에서 선택
발주예정 / 발주완료 / 발주취소 / 선금지급 / 입고완료 / 결제완료</t>
        </r>
      </text>
    </comment>
    <comment ref="T3" authorId="0" shapeId="0" xr:uid="{4E00C52E-FA9E-46A6-BDE8-4BDB06A914C0}">
      <text>
        <r>
          <rPr>
            <b/>
            <sz val="8"/>
            <color indexed="81"/>
            <rFont val="함초롬돋움"/>
            <family val="1"/>
            <charset val="129"/>
          </rPr>
          <t>입고 예정일을 대략 기입후 입고되면 
거래명세서 기준 입고일 기입</t>
        </r>
      </text>
    </comment>
    <comment ref="V3" authorId="0" shapeId="0" xr:uid="{44AC1282-8D87-4600-A754-6E64487B749E}">
      <text>
        <r>
          <rPr>
            <b/>
            <sz val="8"/>
            <color indexed="81"/>
            <rFont val="함초롬돋움"/>
            <family val="1"/>
            <charset val="129"/>
          </rPr>
          <t>발주 금액이 원화일 경우 1 , 
달러일 경우는 거래명세서 및 계산서 발행시 환율 적용</t>
        </r>
      </text>
    </comment>
  </commentList>
</comments>
</file>

<file path=xl/sharedStrings.xml><?xml version="1.0" encoding="utf-8"?>
<sst xmlns="http://schemas.openxmlformats.org/spreadsheetml/2006/main" count="2521" uniqueCount="939">
  <si>
    <t>수량</t>
    <phoneticPr fontId="1" type="noConversion"/>
  </si>
  <si>
    <t>제  목</t>
    <phoneticPr fontId="1" type="noConversion"/>
  </si>
  <si>
    <t>품  목</t>
    <phoneticPr fontId="1" type="noConversion"/>
  </si>
  <si>
    <t>구분</t>
    <phoneticPr fontId="1" type="noConversion"/>
  </si>
  <si>
    <t>계정과목</t>
    <phoneticPr fontId="1" type="noConversion"/>
  </si>
  <si>
    <t>순번</t>
    <phoneticPr fontId="1" type="noConversion"/>
  </si>
  <si>
    <t>구매</t>
    <phoneticPr fontId="1" type="noConversion"/>
  </si>
  <si>
    <t>원자재</t>
    <phoneticPr fontId="1" type="noConversion"/>
  </si>
  <si>
    <t>제BEUP LDJ25-0109-1호</t>
  </si>
  <si>
    <t>GIC CSP24-0524-2호</t>
  </si>
  <si>
    <t>홍콩MTR 333량</t>
    <phoneticPr fontId="1" type="noConversion"/>
  </si>
  <si>
    <t>파츠맨</t>
    <phoneticPr fontId="1" type="noConversion"/>
  </si>
  <si>
    <t>아이리코</t>
    <phoneticPr fontId="1" type="noConversion"/>
  </si>
  <si>
    <t>HK MOP SUB 보드 제작 SMT 작업</t>
  </si>
  <si>
    <t>HK MOP SUB 보드 제작 외</t>
    <phoneticPr fontId="1" type="noConversion"/>
  </si>
  <si>
    <t>자료 서버 경로</t>
    <phoneticPr fontId="1" type="noConversion"/>
  </si>
  <si>
    <t>비고</t>
    <phoneticPr fontId="1" type="noConversion"/>
  </si>
  <si>
    <t>발주예정</t>
    <phoneticPr fontId="1" type="noConversion"/>
  </si>
  <si>
    <t>발주완료</t>
    <phoneticPr fontId="1" type="noConversion"/>
  </si>
  <si>
    <t>입고완료</t>
    <phoneticPr fontId="1" type="noConversion"/>
  </si>
  <si>
    <t>결제완료</t>
    <phoneticPr fontId="1" type="noConversion"/>
  </si>
  <si>
    <t>발주취소</t>
    <phoneticPr fontId="1" type="noConversion"/>
  </si>
  <si>
    <t>원</t>
    <phoneticPr fontId="1" type="noConversion"/>
  </si>
  <si>
    <t>임가공</t>
    <phoneticPr fontId="1" type="noConversion"/>
  </si>
  <si>
    <t>제BEUP LDJ25-0109-2호</t>
    <phoneticPr fontId="1" type="noConversion"/>
  </si>
  <si>
    <t>제BEUP LDJ25-0113-1호</t>
    <phoneticPr fontId="1" type="noConversion"/>
  </si>
  <si>
    <t>PCB</t>
    <phoneticPr fontId="1" type="noConversion"/>
  </si>
  <si>
    <t>SMD</t>
    <phoneticPr fontId="1" type="noConversion"/>
  </si>
  <si>
    <t>수삽</t>
    <phoneticPr fontId="1" type="noConversion"/>
  </si>
  <si>
    <t>자재</t>
    <phoneticPr fontId="1" type="noConversion"/>
  </si>
  <si>
    <t>품목</t>
    <phoneticPr fontId="1" type="noConversion"/>
  </si>
  <si>
    <t>단가</t>
    <phoneticPr fontId="1" type="noConversion"/>
  </si>
  <si>
    <t>금액</t>
    <phoneticPr fontId="1" type="noConversion"/>
  </si>
  <si>
    <t>GIC CSP24-0913-1호</t>
    <phoneticPr fontId="1" type="noConversion"/>
  </si>
  <si>
    <t>메카전자</t>
    <phoneticPr fontId="1" type="noConversion"/>
  </si>
  <si>
    <t>HK CTM 보드 제작</t>
    <phoneticPr fontId="1" type="noConversion"/>
  </si>
  <si>
    <t>HK CTM 보드 PCB 외</t>
    <phoneticPr fontId="1" type="noConversion"/>
  </si>
  <si>
    <t>프로젝트 (차량)</t>
    <phoneticPr fontId="1" type="noConversion"/>
  </si>
  <si>
    <t>우석케미칼</t>
    <phoneticPr fontId="1" type="noConversion"/>
  </si>
  <si>
    <t>제BEUP JDS25-0102-1호</t>
    <phoneticPr fontId="1" type="noConversion"/>
  </si>
  <si>
    <t>디에스테크놀러지</t>
    <phoneticPr fontId="1" type="noConversion"/>
  </si>
  <si>
    <t>제BEUP JDS25-0102-2호</t>
  </si>
  <si>
    <t>장비</t>
    <phoneticPr fontId="1" type="noConversion"/>
  </si>
  <si>
    <t>외주</t>
    <phoneticPr fontId="1" type="noConversion"/>
  </si>
  <si>
    <t>Development Tool</t>
    <phoneticPr fontId="1" type="noConversion"/>
  </si>
  <si>
    <t>선금 100%</t>
    <phoneticPr fontId="1" type="noConversion"/>
  </si>
  <si>
    <t>PEEDI JTAG Emulator for MIPS32-4K</t>
    <phoneticPr fontId="1" type="noConversion"/>
  </si>
  <si>
    <t>GIC CSP24-0923-1호</t>
    <phoneticPr fontId="1" type="noConversion"/>
  </si>
  <si>
    <t>HUMISEAL 1A33 Coating 04L 외</t>
    <phoneticPr fontId="1" type="noConversion"/>
  </si>
  <si>
    <t>합 계</t>
    <phoneticPr fontId="1" type="noConversion"/>
  </si>
  <si>
    <t>현 황</t>
    <phoneticPr fontId="1" type="noConversion"/>
  </si>
  <si>
    <t>발주완료+입고완료 (A)</t>
    <phoneticPr fontId="1" type="noConversion"/>
  </si>
  <si>
    <t>금액 
단위</t>
    <phoneticPr fontId="1" type="noConversion"/>
  </si>
  <si>
    <t>발주 
수량</t>
    <phoneticPr fontId="1" type="noConversion"/>
  </si>
  <si>
    <t>발주 
단가</t>
    <phoneticPr fontId="1" type="noConversion"/>
  </si>
  <si>
    <t>발주 
금액</t>
    <phoneticPr fontId="1" type="noConversion"/>
  </si>
  <si>
    <t>결제
요청일</t>
    <phoneticPr fontId="1" type="noConversion"/>
  </si>
  <si>
    <t>결제 
완료일</t>
    <phoneticPr fontId="1" type="noConversion"/>
  </si>
  <si>
    <t>고객사</t>
    <phoneticPr fontId="1" type="noConversion"/>
  </si>
  <si>
    <t>지아이씨</t>
  </si>
  <si>
    <t>지아이씨</t>
    <phoneticPr fontId="1" type="noConversion"/>
  </si>
  <si>
    <t>납기</t>
    <phoneticPr fontId="1" type="noConversion"/>
  </si>
  <si>
    <t>이동진</t>
  </si>
  <si>
    <t>제BEUP KNK24-0410-1호</t>
  </si>
  <si>
    <t>하드웨어 구매 및 테스트절차정리</t>
  </si>
  <si>
    <t>구매등완료후</t>
  </si>
  <si>
    <t>사업소득세 3.3% 공제</t>
  </si>
  <si>
    <t>1_BEUPSYS\5-1_업체구매요청서\1_부품구매요청서및계약서\프리렌서계약_이동진\GIC CSP24-0524-2호_PSR-Hub외9종생산</t>
  </si>
  <si>
    <t>드림온테크 유한회사</t>
  </si>
  <si>
    <t>제BEUP KNK24-0615-1호</t>
  </si>
  <si>
    <t>GIC CSP24-0524-1호</t>
  </si>
  <si>
    <t>1_BEUPSYS\5-1_업체구매요청서\1_부품구매요청서및계약서\드림온테크 유한회사\240524_GIC CSP24-0524-1호_MOP외2종생산</t>
  </si>
  <si>
    <t>제BEUP JDS24-0722-1호</t>
  </si>
  <si>
    <t>발주 후 20주내</t>
  </si>
  <si>
    <t>확인불가</t>
  </si>
  <si>
    <t>1_BEUPSYS\5-1_업체구매요청서\1_부품구매요청서및계약서\유니퀘스트㈜\240524_GIC CSP24-0524-1호_MOP외2종생산</t>
  </si>
  <si>
    <t>아이닉스</t>
  </si>
  <si>
    <t>제BEUP JDS24-0821-1호</t>
  </si>
  <si>
    <t>발주 후 4주내</t>
  </si>
  <si>
    <t>납품 후 지급</t>
  </si>
  <si>
    <t>1_BEUPSYS\5-1_업체구매요청서\1_부품구매요청서및계약서\아이닉스\GIC CSP24-0524-2호_PSR-Hub외9종생산</t>
  </si>
  <si>
    <t>파츠맨</t>
  </si>
  <si>
    <t>제BEUP JDS24-0828-2호</t>
  </si>
  <si>
    <t>발주 후 10일</t>
  </si>
  <si>
    <t>물품납기시</t>
  </si>
  <si>
    <t>1_BEUPSYS\5-1_업체구매요청서\1_부품구매요청서및계약서\파츠맨\GIC CSP24-0524-2호_PSR-Hub외9종생산\8월자재진행</t>
  </si>
  <si>
    <t>제BEUP JDS24-0828-1호</t>
  </si>
  <si>
    <t>HK향 PCB코팅 10종</t>
  </si>
  <si>
    <t>제작완료시 지급</t>
  </si>
  <si>
    <t>1_BEUPSYS\5-1_업체구매요청서\1_부품구매요청서및계약서\아이리코(I RICCO)\241016_GIC CSP24-0524-2호_PSR-Hub외9종생산\Board 코팅</t>
  </si>
  <si>
    <t>제BEUP JDS24-0522-1호</t>
  </si>
  <si>
    <t>1_BEUPSYS\5-1_업체구매요청서\1_부품구매요청서및계약서\(주)일성\GIC CSP24-0524-2호_PSR-Hub외9종생산</t>
  </si>
  <si>
    <t>이지파워</t>
  </si>
  <si>
    <t>제BEUP_24-0909-1호</t>
  </si>
  <si>
    <t>홍콩예비품 8종 명판</t>
  </si>
  <si>
    <t>1_BEUPSYS\5-1_업체구매요청서\1_부품구매요청서및계약서\이지파워\GIC CSP24-0524-2호_PSR-Hub외9종생산\제BEUP_24-0909-1호</t>
  </si>
  <si>
    <t>제BEUP KNK24-0913-1호</t>
  </si>
  <si>
    <t>다원시스</t>
  </si>
  <si>
    <t>DWE-2024-JUN-11-001</t>
  </si>
  <si>
    <t>MotherBoard IMB-161-L</t>
  </si>
  <si>
    <t>1_BEUPSYS\5-1_업체구매요청서\1_부품구매요청서및계약서\아이닉스\DWE-2024-JUN-11-001_7호선3차분TCMS개조_CSC수리부품구매</t>
  </si>
  <si>
    <t>바이슨</t>
  </si>
  <si>
    <t>제BEUP CSP24-0914-1호</t>
  </si>
  <si>
    <t>1_BEUPSYS\5-1_업체구매요청서\1_부품구매요청서및계약서\바이슨</t>
  </si>
  <si>
    <t>제BEUP KNK24-0923-1호</t>
  </si>
  <si>
    <t>GIC CSP24-0913-1호</t>
  </si>
  <si>
    <t>CL10B104KB8NNNC외</t>
  </si>
  <si>
    <t>1_BEUPSYS\5-1_업체구매요청서\1_부품구매요청서및계약서\파츠맨\GIC CSP24-0913-1호 NVRCTMMSR 3종생산\NVR</t>
  </si>
  <si>
    <t>제BEUP KNK24-0923-2호</t>
  </si>
  <si>
    <t>GIC CSP24-0923-1호</t>
  </si>
  <si>
    <t>1_BEUPSYS\5-1_업체구매요청서\1_부품구매요청서및계약서\파츠맨\GIC CSP24-0923-1호 추가PCB공급건\9월자재비용</t>
  </si>
  <si>
    <t>제BEUP KNK24-0924-1호</t>
  </si>
  <si>
    <t>HK향 PCB코팅 1종</t>
  </si>
  <si>
    <t>제BEUP KNK24-0927-1호</t>
  </si>
  <si>
    <t>발주 후 15일</t>
  </si>
  <si>
    <t>1_BEUPSYS\5-1_업체구매요청서\1_부품구매요청서및계약서\주식회사 일렉콤티에스\GIC CSP24-0913-1호 NVRCTMMSR 3종생산\MSR_SC</t>
  </si>
  <si>
    <t>제BEUP JDS24-1007-1호</t>
  </si>
  <si>
    <t>1_BEUPSYS\5-1_업체구매요청서\1_부품구매요청서및계약서\아이리코(I RICCO)\241016_GIC CSP24-0524-2호_PSR-Hub외9종생산\241004_BEUP JDS24-1007-1호_M12컨넥터 배선작업</t>
  </si>
  <si>
    <t>홍콩예비품 파워 3종</t>
  </si>
  <si>
    <t>1_BEUPSYS/5-1_업체구매요청서/1_부품구매요청서및계약서/이지파워/GIC CSP24-0524-2호_PSR-Hub외9종생산/제BEUP JDS24-1007-2호</t>
  </si>
  <si>
    <t>제BEUP JDS24-1007-3호</t>
  </si>
  <si>
    <t>홍콩예비품 6종 Front_Panel</t>
  </si>
  <si>
    <t>1_BEUPSYS\5-1_업체구매요청서\1_부품구매요청서및계약서\㈜유에스케이\GIC CSP24-0524-2호_PSR-Hub외9종생산\6종_Front Panel</t>
  </si>
  <si>
    <t>제BEUP KNK24-1008-1호</t>
  </si>
  <si>
    <t>1_BEUPSYS\5-1_업체구매요청서\1_부품구매요청서및계약서\파츠맨\GIC CSP24-0913-1호 NVRCTMMSR 3종생산\CTM</t>
  </si>
  <si>
    <t>제BEUP KNK24-1015-1호</t>
  </si>
  <si>
    <t>VOIP MODULE</t>
  </si>
  <si>
    <t>납품 후 100% 지불</t>
  </si>
  <si>
    <t>1_BEUPSYS\5-1_업체구매요청서\1_부품구매요청서및계약서\㈜태신전자\GIC CSP24-0913-1호 NVRCTMMSR 3종생산\1_MTX_TCIU_HUB_MOP</t>
  </si>
  <si>
    <t>MOP-SUB</t>
  </si>
  <si>
    <t>MOP</t>
  </si>
  <si>
    <t>MTX</t>
  </si>
  <si>
    <t>TCIU</t>
  </si>
  <si>
    <t>HUB</t>
  </si>
  <si>
    <t>제BEUP JDS24-1016-1호</t>
  </si>
  <si>
    <t>발주 후 6주내</t>
  </si>
  <si>
    <t>1_BEUPSYS/5-1_업체구매요청서/1_부품구매요청서및계약서/아이닉스/GIC CSP24-0923-1호_MSR PWR Board for MSR외 10종</t>
  </si>
  <si>
    <t>제BEUP JDS24-1018-1호</t>
  </si>
  <si>
    <t>GIC CSP24-0409-1호</t>
  </si>
  <si>
    <t>발주 후 2주내</t>
  </si>
  <si>
    <t>1_BEUPSYS\5-1_업체구매요청서\1_부품구매요청서및계약서\아이리코(I RICCO)\240409_GIC CSP24-0409-1호_PAB외4종생산\241018_BEUP JDS24-1018-1_PAB 배선작업</t>
  </si>
  <si>
    <t>제BEUP JDS24-1018-2호</t>
  </si>
  <si>
    <t>이더넷스위치</t>
  </si>
  <si>
    <t>1_BEUPSYS\5-1_업체구매요청서\1_부품구매요청서및계약서\㈜엔에스티정보통신\GIC CSP24-0923-1호_MSR PWR Board for MSR외 10종\제BEUP JDS24-1018-2호</t>
  </si>
  <si>
    <t>제BEUP KNK24-1021-1호</t>
  </si>
  <si>
    <t>납품 후 100% 현금지급</t>
  </si>
  <si>
    <t>1_BEUPSYS\5-1_업체구매요청서\1_부품구매요청서및계약서\일성\GIC CSP24-0913-1호 NVRCTMMSR 3종생산</t>
  </si>
  <si>
    <t>캐드존</t>
  </si>
  <si>
    <t>제BEUP KNK24-1024-1호</t>
  </si>
  <si>
    <t>PCB아트웍/조립비</t>
  </si>
  <si>
    <t>1_BEUPSYS\5-1_업체구매요청서\1_부품구매요청서및계약서\캐드존\240524_GIC CSP24-0524-1호_MOP외2종생산</t>
  </si>
  <si>
    <t>제BEUP KNK24-1029-1호</t>
  </si>
  <si>
    <t>SSD PCB제작</t>
  </si>
  <si>
    <t>1_BEUPSYS\5-1_업체구매요청서\1_부품구매요청서및계약서\(주)태신전자\GIC CSP24-0913-1호 NVRCTMMSR 3종생산\2_SSD</t>
  </si>
  <si>
    <t>제BEUP JDS24-1023-1호</t>
  </si>
  <si>
    <t>1_BEUPSYS\5-1_업체구매요청서\1_부품구매요청서및계약서\아이리코(I RICCO)\241016_GIC CSP24-0524-2호_PSR-Hub외9종생산\241023_BEUP JDS24-1023-1호_M12컨넥터 배선작업</t>
  </si>
  <si>
    <t>메카전자</t>
  </si>
  <si>
    <t>제BEUP KNK24-1101-1호</t>
  </si>
  <si>
    <t>1_BEUPSYS\5-1_업체구매요청서\1_부품구매요청서및계약서\㈜메카전자\GIC CSP24-0913-1호 NVRCTMMSR 3종생산</t>
  </si>
  <si>
    <t>제BEUP KNK24-1101-2호</t>
  </si>
  <si>
    <t>1_BEUPSYS\5-1_업체구매요청서\1_부품구매요청서및계약서\파츠맨\GIC CSP24-0923-1호 추가PCB공급건\10월자재진행</t>
  </si>
  <si>
    <t>제BEUP JDS24-1106-1호</t>
  </si>
  <si>
    <t>제BEUP KNK24-1102-1호</t>
  </si>
  <si>
    <t>1_BEUPSYS\5-1_업체구매요청서\1_부품구매요청서및계약서\파츠맨\GIC CSP24-0923-1호 추가PCB공급건\VOIPMODULE추가생산</t>
  </si>
  <si>
    <t>제BEUP KNK24-1102-2호</t>
  </si>
  <si>
    <t>1_BEUPSYS\5-1_업체구매요청서\1_부품구매요청서및계약서\파츠맨\GIC CSP24-0923-1호 추가PCB공급건\MOP추가생산</t>
  </si>
  <si>
    <t>제BEUP KNK24-1105-1호</t>
  </si>
  <si>
    <t>1_BEUPSYS\5-1_업체구매요청서\1_부품구매요청서및계약서\파츠맨\GIC CSP24-0913-1호 NVRCTMMSR 3종생산\MOPLCD</t>
  </si>
  <si>
    <t>1_BEUPSYS\5-1_업체구매요청서\1_부품구매요청서및계약서\파츠맨\GIC CSP24-0913-1호 NVRCTMMSR 3종생산\PBX추가자재(수리용)</t>
  </si>
  <si>
    <t>제BEUP KNK24-1112-2호</t>
  </si>
  <si>
    <t>1_BEUPSYS\5-1_업체구매요청서\1_부품구매요청서및계약서\파츠맨\GIC CSP24-0913-1호 NVRCTMMSR 3종생산\NVRCTM추가자재</t>
  </si>
  <si>
    <t>제BEUP KNK24-1125-1호</t>
  </si>
  <si>
    <t>1_BEUPSYS\5-1_업체구매요청서\1_부품구매요청서및계약서\파츠맨\GIC CSP24-0923-1호 추가PCB공급건\11월자재비용</t>
  </si>
  <si>
    <t>제BEUP KNK24-1203-1호</t>
  </si>
  <si>
    <t>1_BEUPSYS\5-1_업체구매요청서\1_부품구매요청서및계약서\파츠맨\GIC CSP24-0913-1호 NVRCTMMSR 3종생산\SSD-서명완료지급필요_1,575,350</t>
  </si>
  <si>
    <t>박진호</t>
  </si>
  <si>
    <t>제BEUP KNK24-1211-1호</t>
  </si>
  <si>
    <t>CSC/운행기록장치 소프트웨어 개발</t>
  </si>
  <si>
    <t>1_BEUPSYS\5-1_업체구매요청서\1_부품구매요청서및계약서\프리렌서계약_박진호\DWE-2024-JUN-11-001_7호선3차분TCMS개조</t>
  </si>
  <si>
    <t>발주완료</t>
  </si>
  <si>
    <t>잔금 50% : ₩3,000,000(사업소득세 3.3% 공제)</t>
  </si>
  <si>
    <t>제BEUP JDS24-1212-1호</t>
  </si>
  <si>
    <t>PCB코팅 및 케이블 작업</t>
  </si>
  <si>
    <t>1_BEUPSYS/5-1_업체구매요청서/1_부품구매요청서및계약서/아이리코/240524_GIC CSP24-0524-1호_MOP외2종생산</t>
  </si>
  <si>
    <t>1_BEUPSYS/5-1_업체구매요청서/1_부품구매요청서및계약서/아이닉스/GIC CSP24-0524-1호_MOP외2종생산</t>
  </si>
  <si>
    <t>제BEUP JDS24-1218-1호</t>
  </si>
  <si>
    <t>1_BEUPSYS\5-1_업체구매요청서\1_부품구매요청서및계약서\㈜이송이엠씨\GIC CSP24-0524-1호_MOP외2종생산</t>
  </si>
  <si>
    <t>제BEUP JDS24-1218-2호</t>
  </si>
  <si>
    <t>EPDM SEALING FOAM</t>
  </si>
  <si>
    <t>입고완료</t>
  </si>
  <si>
    <t>1_BEUPSYS\5-1_업체구매요청서\1_부품구매요청서및계약서\㈜화인테크폴리머\GIC CSP24-0524-1호_MOP외2종생산</t>
  </si>
  <si>
    <t>제BEUP JDS24-1219-1호</t>
  </si>
  <si>
    <t>PCB 코팅 및 접지케이블</t>
  </si>
  <si>
    <t>1_BEUPSYS\5-1_업체구매요청서\1_부품구매요청서및계약서\아이리코(I RICCO)\240524_GIC CSP24-0524-1호_MOP외2종생산\제BEUP JDS24-1219-1호</t>
  </si>
  <si>
    <t>제BEUP KNK24-1218-1호</t>
  </si>
  <si>
    <t>1_BEUPSYS\5-1_업체구매요청서\1_부품구매요청서및계약서\㈜메카전자\GIC CSP24-0913-1호 NVRCTMMSR 3종생산\MOPLCD</t>
  </si>
  <si>
    <t>제BEUP KNK24-1212-1호</t>
  </si>
  <si>
    <t>1_BEUPSYS\5-1_업체구매요청서\1_부품구매요청서및계약서\㈜메카전자\GIC CSP24-0913-1호 NVRCTMMSR 3종생산\NVR생산</t>
  </si>
  <si>
    <t>제BEUP KNK24-1216-1호</t>
  </si>
  <si>
    <t>1_BEUPSYS\5-1_업체구매요청서\1_부품구매요청서및계약서\㈜메카전자\GIC CSP24-0913-1호 NVRCTMMSR 3종생산\MSR-SSD_조립생산</t>
  </si>
  <si>
    <t>제BEUP KNK24-1226-2호</t>
  </si>
  <si>
    <t>1_BEUPSYS\5-1_업체구매요청서\1_부품구매요청서및계약서\파츠맨\GIC CSP24-0913-1호 NVRCTMMSR 3종생산\12월부자재-서명완료지급필요_1304260</t>
  </si>
  <si>
    <t>제BEUP KNK24-1226-1호</t>
  </si>
  <si>
    <t>1_BEUPSYS\5-1_업체구매요청서\1_부품구매요청서및계약서\파츠맨\GIC CSP24-0913-1호 NVRCTMMSR 3종생산\c</t>
  </si>
  <si>
    <t>제BEUP KNK24-1227-1호</t>
  </si>
  <si>
    <t>제BEUP JDS24-1227-1호</t>
  </si>
  <si>
    <t>PCB코팅(MOP_MSR)</t>
  </si>
  <si>
    <t>1_BEUPSYS/5-1_업체구매요청서/1_부품구매요청서및계약서/아이리코(I RICCO)/240923_GIC CSP24-0923-1호_MSR PWR Board for MSR외 10종/제BEUP JDS24-1227-1호_홍콩보드코팅_아이리코</t>
  </si>
  <si>
    <t>우석케미칼</t>
  </si>
  <si>
    <t>1_BEUPSYS/5-1_업체구매요청서/1_부품구매요청서및계약서/우석케미칼/240923_GIC CSP24-0923-1호_MSR PWR Board for MSR외 10종</t>
  </si>
  <si>
    <t>1_BEUPSYS/5-1_업체구매요청서/1_부품구매요청서및계약서/디에스테크놀로지/240923_GIC CSP24-0923-1호_MSR PWR Board for MSR외 10종</t>
  </si>
  <si>
    <t>GIC CSP24-0524-2호</t>
    <phoneticPr fontId="1" type="noConversion"/>
  </si>
  <si>
    <t>GIC CSP24-0913-1호</t>
    <phoneticPr fontId="1" type="noConversion"/>
  </si>
  <si>
    <t>GIC CSP24-0923-1호</t>
    <phoneticPr fontId="1" type="noConversion"/>
  </si>
  <si>
    <t>DWE-2024-JUN-11-001</t>
    <phoneticPr fontId="1" type="noConversion"/>
  </si>
  <si>
    <t>결제완료</t>
  </si>
  <si>
    <t>원</t>
    <phoneticPr fontId="1" type="noConversion"/>
  </si>
  <si>
    <t>일성</t>
  </si>
  <si>
    <t>일성</t>
    <phoneticPr fontId="1" type="noConversion"/>
  </si>
  <si>
    <t>아이리코</t>
  </si>
  <si>
    <t>아이리코</t>
    <phoneticPr fontId="1" type="noConversion"/>
  </si>
  <si>
    <t>유니퀘스트</t>
  </si>
  <si>
    <t>유니퀘스트</t>
    <phoneticPr fontId="1" type="noConversion"/>
  </si>
  <si>
    <t>태신전자</t>
  </si>
  <si>
    <t>태신전자</t>
    <phoneticPr fontId="1" type="noConversion"/>
  </si>
  <si>
    <t>세일엔지니어링</t>
  </si>
  <si>
    <t>세일엔지니어링</t>
    <phoneticPr fontId="1" type="noConversion"/>
  </si>
  <si>
    <t>메카전자</t>
    <phoneticPr fontId="1" type="noConversion"/>
  </si>
  <si>
    <t>엔에스티정보통신</t>
  </si>
  <si>
    <t>엔에스티정보통신</t>
    <phoneticPr fontId="1" type="noConversion"/>
  </si>
  <si>
    <t>유에스케이</t>
  </si>
  <si>
    <t>유에스케이</t>
    <phoneticPr fontId="1" type="noConversion"/>
  </si>
  <si>
    <t>이송이엠씨</t>
  </si>
  <si>
    <t>이송이엠씨</t>
    <phoneticPr fontId="1" type="noConversion"/>
  </si>
  <si>
    <t>일렉콤티에스</t>
  </si>
  <si>
    <t>일렉콤티에스</t>
    <phoneticPr fontId="1" type="noConversion"/>
  </si>
  <si>
    <t>화인테크폴리머</t>
  </si>
  <si>
    <t>화인테크폴리머</t>
    <phoneticPr fontId="1" type="noConversion"/>
  </si>
  <si>
    <t>홍콩MTR 333량</t>
  </si>
  <si>
    <t>7호선 3차 TCMS 개조</t>
    <phoneticPr fontId="1" type="noConversion"/>
  </si>
  <si>
    <t>-</t>
    <phoneticPr fontId="1" type="noConversion"/>
  </si>
  <si>
    <t>외주</t>
    <phoneticPr fontId="1" type="noConversion"/>
  </si>
  <si>
    <t>구매</t>
    <phoneticPr fontId="1" type="noConversion"/>
  </si>
  <si>
    <t>계단 리프트 ASS'Y 제작 및 설치</t>
    <phoneticPr fontId="1" type="noConversion"/>
  </si>
  <si>
    <t>기타</t>
    <phoneticPr fontId="1" type="noConversion"/>
  </si>
  <si>
    <t>방송장치 하드웨어 및 문서</t>
    <phoneticPr fontId="1" type="noConversion"/>
  </si>
  <si>
    <t>NVR/CTM H/W개발 계약</t>
    <phoneticPr fontId="1" type="noConversion"/>
  </si>
  <si>
    <t xml:space="preserve">다원시스 </t>
  </si>
  <si>
    <t>발주후 4주내</t>
    <phoneticPr fontId="1" type="noConversion"/>
  </si>
  <si>
    <t>선금 30%</t>
    <phoneticPr fontId="1" type="noConversion"/>
  </si>
  <si>
    <t>1차 납품 40%</t>
    <phoneticPr fontId="1" type="noConversion"/>
  </si>
  <si>
    <t>2차 납품 30%</t>
    <phoneticPr fontId="1" type="noConversion"/>
  </si>
  <si>
    <t>입금 후 1주일 내 물품발송
환율은 납품 시 고시가로</t>
    <phoneticPr fontId="1" type="noConversion"/>
  </si>
  <si>
    <t>계약 시 선금 50%</t>
    <phoneticPr fontId="1" type="noConversion"/>
  </si>
  <si>
    <t>설치 후 잔금 50%</t>
    <phoneticPr fontId="1" type="noConversion"/>
  </si>
  <si>
    <t>계단 리프트 ASS'Y 제작 및 설치 선금 (50%)</t>
    <phoneticPr fontId="1" type="noConversion"/>
  </si>
  <si>
    <t>계단 리프트 ASS'Y 제작 및 설치 잔금 (50%)</t>
    <phoneticPr fontId="1" type="noConversion"/>
  </si>
  <si>
    <t>PCB 코팅</t>
    <phoneticPr fontId="1" type="noConversion"/>
  </si>
  <si>
    <t>SM619GECDFSTCX59C</t>
    <phoneticPr fontId="1" type="noConversion"/>
  </si>
  <si>
    <t>SSD 64GB BGA TLC SATA</t>
    <phoneticPr fontId="1" type="noConversion"/>
  </si>
  <si>
    <t>Coding Pliers 894-301</t>
    <phoneticPr fontId="1" type="noConversion"/>
  </si>
  <si>
    <t xml:space="preserve">Coding 공구 </t>
    <phoneticPr fontId="1" type="noConversion"/>
  </si>
  <si>
    <t>산업용 마더보드</t>
    <phoneticPr fontId="1" type="noConversion"/>
  </si>
  <si>
    <t>방송/표시기 PCB 사급자재</t>
    <phoneticPr fontId="1" type="noConversion"/>
  </si>
  <si>
    <t>PCB 제작</t>
    <phoneticPr fontId="1" type="noConversion"/>
  </si>
  <si>
    <t>홍콩MTR PCB 5종 조립</t>
    <phoneticPr fontId="1" type="noConversion"/>
  </si>
  <si>
    <t>PAB 기구물</t>
    <phoneticPr fontId="1" type="noConversion"/>
  </si>
  <si>
    <t xml:space="preserve">NVR 보드 생산 </t>
    <phoneticPr fontId="1" type="noConversion"/>
  </si>
  <si>
    <t>SSD 보드 생산</t>
    <phoneticPr fontId="1" type="noConversion"/>
  </si>
  <si>
    <t>폼가스켓</t>
    <phoneticPr fontId="1" type="noConversion"/>
  </si>
  <si>
    <t>ZEUS PCB 보드 조립</t>
    <phoneticPr fontId="1" type="noConversion"/>
  </si>
  <si>
    <t>100G0111-0.5-0</t>
    <phoneticPr fontId="1" type="noConversion"/>
  </si>
  <si>
    <t>RAYCHEM 0.5SQ Wire</t>
    <phoneticPr fontId="1" type="noConversion"/>
  </si>
  <si>
    <t>HUMISEAL PCB 코팅액</t>
    <phoneticPr fontId="1" type="noConversion"/>
  </si>
  <si>
    <t>업체</t>
    <phoneticPr fontId="1" type="noConversion"/>
  </si>
  <si>
    <t>소계</t>
    <phoneticPr fontId="1" type="noConversion"/>
  </si>
  <si>
    <t>공급업체</t>
    <phoneticPr fontId="1" type="noConversion"/>
  </si>
  <si>
    <t>디에스테크놀러지</t>
  </si>
  <si>
    <t>발주예정</t>
  </si>
  <si>
    <t>발주취소</t>
  </si>
  <si>
    <t>1. 구매 입고 현황 자료 작성시 표 내용 자동 업데이트</t>
    <phoneticPr fontId="1" type="noConversion"/>
  </si>
  <si>
    <t>비율 (%)</t>
    <phoneticPr fontId="1" type="noConversion"/>
  </si>
  <si>
    <t>없음</t>
  </si>
  <si>
    <t>없음</t>
    <phoneticPr fontId="1" type="noConversion"/>
  </si>
  <si>
    <t>GIC CSP24-0409-2호</t>
  </si>
  <si>
    <t>DWE-2024-AUG-29-001</t>
  </si>
  <si>
    <t>2</t>
    <phoneticPr fontId="1" type="noConversion"/>
  </si>
  <si>
    <t>구매</t>
    <phoneticPr fontId="1" type="noConversion"/>
  </si>
  <si>
    <t>원자재</t>
    <phoneticPr fontId="1" type="noConversion"/>
  </si>
  <si>
    <t>일렉콤티에스</t>
    <phoneticPr fontId="1" type="noConversion"/>
  </si>
  <si>
    <t>BEUPIDOM-20240501</t>
    <phoneticPr fontId="1" type="noConversion"/>
  </si>
  <si>
    <t>홍콩 생산1차분 83종 자재</t>
    <phoneticPr fontId="1" type="noConversion"/>
  </si>
  <si>
    <t>결제완료</t>
    <phoneticPr fontId="1" type="noConversion"/>
  </si>
  <si>
    <t>원</t>
    <phoneticPr fontId="1" type="noConversion"/>
  </si>
  <si>
    <t>네이버 게시판 자료</t>
    <phoneticPr fontId="1" type="noConversion"/>
  </si>
  <si>
    <t>3</t>
    <phoneticPr fontId="1" type="noConversion"/>
  </si>
  <si>
    <t>11</t>
  </si>
  <si>
    <t>4</t>
  </si>
  <si>
    <t>앤츠</t>
  </si>
  <si>
    <t>앤츠</t>
    <phoneticPr fontId="1" type="noConversion"/>
  </si>
  <si>
    <t>BEUPIDOM-20240502</t>
  </si>
  <si>
    <t>LEDC BOARD 외</t>
    <phoneticPr fontId="1" type="noConversion"/>
  </si>
  <si>
    <t>메카전자</t>
    <phoneticPr fontId="1" type="noConversion"/>
  </si>
  <si>
    <t>BEUPIDOM-20240503</t>
  </si>
  <si>
    <t>MRX REV1.2 생산 외</t>
    <phoneticPr fontId="1" type="noConversion"/>
  </si>
  <si>
    <t>에쎈</t>
  </si>
  <si>
    <t>에쎈</t>
    <phoneticPr fontId="1" type="noConversion"/>
  </si>
  <si>
    <t>BEUPIDOM-20240504</t>
  </si>
  <si>
    <t>EIDS LCD 강화유리</t>
    <phoneticPr fontId="1" type="noConversion"/>
  </si>
  <si>
    <t>27인치 3T AG 강화유리</t>
    <phoneticPr fontId="1" type="noConversion"/>
  </si>
  <si>
    <t>파츠맨</t>
    <phoneticPr fontId="1" type="noConversion"/>
  </si>
  <si>
    <t>BEUPIDOM-20240505</t>
  </si>
  <si>
    <t>홍콩 방송장치 11종 보드 부품</t>
    <phoneticPr fontId="1" type="noConversion"/>
  </si>
  <si>
    <t>BEUPIDOM-20240506</t>
  </si>
  <si>
    <t>태신전자</t>
    <phoneticPr fontId="1" type="noConversion"/>
  </si>
  <si>
    <t>홍콩 방송장치 11종 PCB</t>
    <phoneticPr fontId="1" type="noConversion"/>
  </si>
  <si>
    <t>LEDC BOARD 외 선금 (30%)</t>
    <phoneticPr fontId="1" type="noConversion"/>
  </si>
  <si>
    <t>LEDC BOARD 외 납품 (70%)</t>
    <phoneticPr fontId="1" type="noConversion"/>
  </si>
  <si>
    <t>MRX REV1.2 생산 외 선금 (30%)</t>
    <phoneticPr fontId="1" type="noConversion"/>
  </si>
  <si>
    <t>MRX REV1.2 생산 외 납품 (70%)</t>
    <phoneticPr fontId="1" type="noConversion"/>
  </si>
  <si>
    <t>홍콩 방송장치 11종 PCB 선금 (30%)</t>
    <phoneticPr fontId="1" type="noConversion"/>
  </si>
  <si>
    <t>홍콩 방송장치 11종 PCB 납품 (70%)</t>
    <phoneticPr fontId="1" type="noConversion"/>
  </si>
  <si>
    <t>홍콩 생산1차분 83종 자재 선금 (30%)</t>
    <phoneticPr fontId="1" type="noConversion"/>
  </si>
  <si>
    <t>홍콩 생산1차분 83종 자재 납품 (70%)</t>
    <phoneticPr fontId="1" type="noConversion"/>
  </si>
  <si>
    <t>홍콩 방송장치 11종 보드 부품 선금 (38%)</t>
    <phoneticPr fontId="1" type="noConversion"/>
  </si>
  <si>
    <t>홍콩 방송장치 11종 보드 부품 납품 (62%)</t>
    <phoneticPr fontId="1" type="noConversion"/>
  </si>
  <si>
    <t>$</t>
    <phoneticPr fontId="1" type="noConversion"/>
  </si>
  <si>
    <t>BEUPIDOM-20240601</t>
    <phoneticPr fontId="1" type="noConversion"/>
  </si>
  <si>
    <t>한톨브릿지</t>
  </si>
  <si>
    <t>한톨브릿지</t>
    <phoneticPr fontId="1" type="noConversion"/>
  </si>
  <si>
    <t>AC494 TOOL 및 자재</t>
    <phoneticPr fontId="1" type="noConversion"/>
  </si>
  <si>
    <t>AC494-IPP-SUK 외</t>
    <phoneticPr fontId="1" type="noConversion"/>
  </si>
  <si>
    <t>이엔엠테크놀러지</t>
  </si>
  <si>
    <t>이엔엠테크놀러지</t>
    <phoneticPr fontId="1" type="noConversion"/>
  </si>
  <si>
    <t>congatec BOARD</t>
    <phoneticPr fontId="1" type="noConversion"/>
  </si>
  <si>
    <t>TC570/i3-1115GRE 외</t>
    <phoneticPr fontId="1" type="noConversion"/>
  </si>
  <si>
    <t>이젠티에스</t>
  </si>
  <si>
    <t>이젠티에스</t>
    <phoneticPr fontId="1" type="noConversion"/>
  </si>
  <si>
    <t>TSC-50/IC</t>
    <phoneticPr fontId="1" type="noConversion"/>
  </si>
  <si>
    <t>BEUPIDOM-20240701</t>
    <phoneticPr fontId="1" type="noConversion"/>
  </si>
  <si>
    <t>파이오닉스</t>
  </si>
  <si>
    <t>파이오닉스</t>
    <phoneticPr fontId="1" type="noConversion"/>
  </si>
  <si>
    <t>BEUPIDOM-20240702</t>
  </si>
  <si>
    <t>CH7517A-BF1</t>
    <phoneticPr fontId="1" type="noConversion"/>
  </si>
  <si>
    <t>티렉스아이앤씨</t>
  </si>
  <si>
    <t>티렉스아이앤씨</t>
    <phoneticPr fontId="1" type="noConversion"/>
  </si>
  <si>
    <t>BEUPIDOM-20240703</t>
  </si>
  <si>
    <t>LVDS Cable 외</t>
    <phoneticPr fontId="1" type="noConversion"/>
  </si>
  <si>
    <t>TC170/i7-6600U 외</t>
    <phoneticPr fontId="1" type="noConversion"/>
  </si>
  <si>
    <t>네이버 게시판 자료, $4,950</t>
    <phoneticPr fontId="1" type="noConversion"/>
  </si>
  <si>
    <t>결제 조건</t>
    <phoneticPr fontId="1" type="noConversion"/>
  </si>
  <si>
    <t>$</t>
    <phoneticPr fontId="1" type="noConversion"/>
  </si>
  <si>
    <t>비업시스 구매  입고 현황</t>
    <phoneticPr fontId="1" type="noConversion"/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</si>
  <si>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</si>
  <si>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</si>
  <si>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</si>
  <si>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</si>
  <si>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</si>
  <si>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</si>
  <si>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</si>
  <si>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</si>
  <si>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</si>
  <si>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</si>
  <si>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</si>
  <si>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</si>
  <si>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</si>
  <si>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</si>
  <si>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</si>
  <si>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</si>
  <si>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</si>
  <si>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</si>
  <si>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</si>
  <si>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</si>
  <si>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</si>
  <si>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</si>
  <si>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</si>
  <si>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</si>
  <si>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</si>
  <si>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</si>
  <si>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</si>
  <si>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</si>
  <si>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</si>
  <si>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</si>
  <si>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</si>
  <si>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</si>
  <si>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</si>
  <si>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</si>
  <si>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</si>
  <si>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</si>
  <si>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</si>
  <si>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</si>
  <si>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</si>
  <si>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</si>
  <si>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</si>
  <si>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</si>
  <si>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</si>
  <si>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</si>
  <si>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</si>
  <si>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</si>
  <si>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</si>
  <si>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</si>
  <si>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</si>
  <si>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</si>
  <si>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</si>
  <si>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</si>
  <si>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</si>
  <si>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</si>
  <si>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</si>
  <si>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</si>
  <si>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</si>
  <si>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</si>
  <si>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</si>
  <si>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</si>
  <si>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</si>
  <si>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</si>
  <si>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</si>
  <si>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</si>
  <si>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</si>
  <si>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</si>
  <si>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</si>
  <si>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</si>
  <si>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</si>
  <si>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</si>
  <si>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</si>
  <si>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</si>
  <si>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</si>
  <si>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</si>
  <si>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</si>
  <si>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GIC CSP24-0409-1호</t>
    <phoneticPr fontId="1" type="noConversion"/>
  </si>
  <si>
    <t>GIC CSP24-0524-1호</t>
    <phoneticPr fontId="1" type="noConversion"/>
  </si>
  <si>
    <t>GIC CSP24-0923-1호</t>
    <phoneticPr fontId="1" type="noConversion"/>
  </si>
  <si>
    <t>환율</t>
    <phoneticPr fontId="1" type="noConversion"/>
  </si>
  <si>
    <t>입고 금액
(원)</t>
    <phoneticPr fontId="1" type="noConversion"/>
  </si>
  <si>
    <t>결제 금액
(원)</t>
    <phoneticPr fontId="1" type="noConversion"/>
  </si>
  <si>
    <t>결제 총 금액
(원)</t>
    <phoneticPr fontId="1" type="noConversion"/>
  </si>
  <si>
    <t>부가세 및 공제
(원)</t>
    <phoneticPr fontId="1" type="noConversion"/>
  </si>
  <si>
    <t>-</t>
    <phoneticPr fontId="1" type="noConversion"/>
  </si>
  <si>
    <t>구매</t>
    <phoneticPr fontId="1" type="noConversion"/>
  </si>
  <si>
    <t>기타</t>
    <phoneticPr fontId="1" type="noConversion"/>
  </si>
  <si>
    <t>Production H/C</t>
    <phoneticPr fontId="1" type="noConversion"/>
  </si>
  <si>
    <t>운송비</t>
    <phoneticPr fontId="1" type="noConversion"/>
  </si>
  <si>
    <t>$</t>
    <phoneticPr fontId="1" type="noConversion"/>
  </si>
  <si>
    <t>원</t>
    <phoneticPr fontId="1" type="noConversion"/>
  </si>
  <si>
    <t>결제완료</t>
    <phoneticPr fontId="1" type="noConversion"/>
  </si>
  <si>
    <t>달러</t>
    <phoneticPr fontId="1" type="noConversion"/>
  </si>
  <si>
    <t>환율</t>
    <phoneticPr fontId="1" type="noConversion"/>
  </si>
  <si>
    <t>네이버 게시판 자료, 환율(1259.25973), AUDIOCODES 지급</t>
    <phoneticPr fontId="1" type="noConversion"/>
  </si>
  <si>
    <t>부가세 및 공제 
(%)</t>
    <phoneticPr fontId="1" type="noConversion"/>
  </si>
  <si>
    <t>81</t>
  </si>
  <si>
    <t>82</t>
  </si>
  <si>
    <t>GIC CSP24-0524-2호</t>
    <phoneticPr fontId="1" type="noConversion"/>
  </si>
  <si>
    <t>1_BEUPSYS\5-1_업체구매요청서\1_부품구매요청서및계약서\㈜태신전자\GIC CSP24-0913-1호 NVRCTMMSR 3종생산\3_MOPSUB추가생산</t>
    <phoneticPr fontId="1" type="noConversion"/>
  </si>
  <si>
    <t>HK-MOP-SUB-A1 PCB</t>
    <phoneticPr fontId="1" type="noConversion"/>
  </si>
  <si>
    <t>구매</t>
    <phoneticPr fontId="1" type="noConversion"/>
  </si>
  <si>
    <t>원자재</t>
    <phoneticPr fontId="1" type="noConversion"/>
  </si>
  <si>
    <t>제BEUP JDS25-0116-2호</t>
    <phoneticPr fontId="1" type="noConversion"/>
  </si>
  <si>
    <t>지아이씨</t>
    <phoneticPr fontId="1" type="noConversion"/>
  </si>
  <si>
    <t>GIC CSP24-0524-1호</t>
    <phoneticPr fontId="1" type="noConversion"/>
  </si>
  <si>
    <t>원</t>
    <phoneticPr fontId="1" type="noConversion"/>
  </si>
  <si>
    <t>선금지급</t>
  </si>
  <si>
    <t>선금지급</t>
    <phoneticPr fontId="1" type="noConversion"/>
  </si>
  <si>
    <t>이송이엠씨</t>
    <phoneticPr fontId="1" type="noConversion"/>
  </si>
  <si>
    <t>-</t>
    <phoneticPr fontId="1" type="noConversion"/>
  </si>
  <si>
    <t>누락</t>
    <phoneticPr fontId="1" type="noConversion"/>
  </si>
  <si>
    <t>SM-W18B (1000mm*100M/RL)</t>
    <phoneticPr fontId="1" type="noConversion"/>
  </si>
  <si>
    <t>SF050020R-C-NB-A (W5*T2*L1000mm)</t>
    <phoneticPr fontId="1" type="noConversion"/>
  </si>
  <si>
    <t>도전성 원단 (먼지필터)</t>
    <phoneticPr fontId="1" type="noConversion"/>
  </si>
  <si>
    <t>첫거래 선금</t>
    <phoneticPr fontId="1" type="noConversion"/>
  </si>
  <si>
    <t>83</t>
  </si>
  <si>
    <t>84</t>
  </si>
  <si>
    <t>85</t>
  </si>
  <si>
    <t>Z:\1_BEUPSYS\5-1_업체구매요청서\1_부품구매요청서및계약서\㈜메카전자\GIC CSP24-0913-1호 NVRCTMMSR 3종생산\ZEUSCPU생산</t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</si>
  <si>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</si>
  <si>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</si>
  <si>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1_BEUPSYS\5-1_업체구매요청서\1_부품구매요청서및계약서\㈜메카전자\GIC CSP24-0913-1호_CTM 생산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</si>
  <si>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</si>
  <si>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EPDM SEALING FOAM (1T*5*500)</t>
    <phoneticPr fontId="1" type="noConversion"/>
  </si>
  <si>
    <t>(단위 원화, VAT 별도)</t>
    <phoneticPr fontId="1" type="noConversion"/>
  </si>
  <si>
    <t>2. 신규 업체 추가시 수동으로 목록 추가</t>
    <phoneticPr fontId="1" type="noConversion"/>
  </si>
  <si>
    <t>3. PO추가시 수동으로 목록 추가</t>
    <phoneticPr fontId="1" type="noConversion"/>
  </si>
  <si>
    <t>세금계산서
발행일</t>
    <phoneticPr fontId="1" type="noConversion"/>
  </si>
  <si>
    <t>구매</t>
    <phoneticPr fontId="1" type="noConversion"/>
  </si>
  <si>
    <t>파츠맨</t>
    <phoneticPr fontId="1" type="noConversion"/>
  </si>
  <si>
    <t>원</t>
    <phoneticPr fontId="1" type="noConversion"/>
  </si>
  <si>
    <t>-</t>
    <phoneticPr fontId="1" type="noConversion"/>
  </si>
  <si>
    <t>86</t>
  </si>
  <si>
    <t>NVR/CTM H/W개발 계약 선금 (40%)</t>
    <phoneticPr fontId="1" type="noConversion"/>
  </si>
  <si>
    <t>NVR/CTM H/W개발 계약 1차 (30%)</t>
    <phoneticPr fontId="1" type="noConversion"/>
  </si>
  <si>
    <t>NVR/CTM H/W개발 계약 2차 (30%)</t>
    <phoneticPr fontId="1" type="noConversion"/>
  </si>
  <si>
    <t>제BEUP JDS24-1216-1호</t>
    <phoneticPr fontId="1" type="noConversion"/>
  </si>
  <si>
    <t>거래명세서
수취 여부</t>
    <phoneticPr fontId="1" type="noConversion"/>
  </si>
  <si>
    <t>O</t>
    <phoneticPr fontId="1" type="noConversion"/>
  </si>
  <si>
    <t>21033712403 외</t>
    <phoneticPr fontId="1" type="noConversion"/>
  </si>
  <si>
    <t>M12 커넥터 외</t>
    <phoneticPr fontId="1" type="noConversion"/>
  </si>
  <si>
    <t>티엠에스</t>
    <phoneticPr fontId="1" type="noConversion"/>
  </si>
  <si>
    <t>구매</t>
    <phoneticPr fontId="1" type="noConversion"/>
  </si>
  <si>
    <t>외주</t>
    <phoneticPr fontId="1" type="noConversion"/>
  </si>
  <si>
    <t>합계</t>
    <phoneticPr fontId="1" type="noConversion"/>
  </si>
  <si>
    <t>CL10B104KB8NNNC 외</t>
    <phoneticPr fontId="1" type="noConversion"/>
  </si>
  <si>
    <t>0603B272K250CT 외</t>
    <phoneticPr fontId="1" type="noConversion"/>
  </si>
  <si>
    <t>1717831-2 외</t>
    <phoneticPr fontId="1" type="noConversion"/>
  </si>
  <si>
    <t>HK-MOP-LCD 75EA 사급자재</t>
    <phoneticPr fontId="1" type="noConversion"/>
  </si>
  <si>
    <t>DB9P-FEMALE-S 외</t>
    <phoneticPr fontId="1" type="noConversion"/>
  </si>
  <si>
    <t>HK-NVR PCB 조립 75EA 사급자재</t>
    <phoneticPr fontId="1" type="noConversion"/>
  </si>
  <si>
    <t>HK-CTM PCB 조립 75EA 사급자재</t>
    <phoneticPr fontId="1" type="noConversion"/>
  </si>
  <si>
    <t>HK-CTM 추가 자재</t>
    <phoneticPr fontId="1" type="noConversion"/>
  </si>
  <si>
    <t>HK-NVR, CTM 추가 자재</t>
    <phoneticPr fontId="1" type="noConversion"/>
  </si>
  <si>
    <t>CL32A226KAJNNNE 외</t>
    <phoneticPr fontId="1" type="noConversion"/>
  </si>
  <si>
    <t>제BEUP KNK24-1112-1호</t>
    <phoneticPr fontId="1" type="noConversion"/>
  </si>
  <si>
    <t>HK-PBX 추가 수리 자재</t>
    <phoneticPr fontId="1" type="noConversion"/>
  </si>
  <si>
    <t>FX10A-100S/10-SV 외</t>
    <phoneticPr fontId="1" type="noConversion"/>
  </si>
  <si>
    <t>금액 확인 요청 (발주금액 716,600원)</t>
    <phoneticPr fontId="1" type="noConversion"/>
  </si>
  <si>
    <t>SPX1117M3-L-3-3/TR 외</t>
    <phoneticPr fontId="1" type="noConversion"/>
  </si>
  <si>
    <t>HK-SSD PCB 조립 110EA 사급자재</t>
    <phoneticPr fontId="1" type="noConversion"/>
  </si>
  <si>
    <t>액체그리스 외</t>
    <phoneticPr fontId="1" type="noConversion"/>
  </si>
  <si>
    <t>스크류 외</t>
    <phoneticPr fontId="1" type="noConversion"/>
  </si>
  <si>
    <t>SHP0735-330 외</t>
    <phoneticPr fontId="1" type="noConversion"/>
  </si>
  <si>
    <t>HK-MOP PCB 조립 50EA 사급자재</t>
    <phoneticPr fontId="1" type="noConversion"/>
  </si>
  <si>
    <t>LM2596S-5 외</t>
    <phoneticPr fontId="1" type="noConversion"/>
  </si>
  <si>
    <t>NC7S08M5X 외</t>
    <phoneticPr fontId="1" type="noConversion"/>
  </si>
  <si>
    <t>VoIP Module PCB 조립 50EA 사급자재</t>
    <phoneticPr fontId="1" type="noConversion"/>
  </si>
  <si>
    <t>HK-MOP-LCD PCB 조립 70EA 생산</t>
    <phoneticPr fontId="1" type="noConversion"/>
  </si>
  <si>
    <t>MOPLCD_V1.1 PCB 외</t>
    <phoneticPr fontId="1" type="noConversion"/>
  </si>
  <si>
    <t>PCB FR-4 외</t>
    <phoneticPr fontId="1" type="noConversion"/>
  </si>
  <si>
    <t>MSR HUB PBA 제작 외</t>
    <phoneticPr fontId="1" type="noConversion"/>
  </si>
  <si>
    <t>홍콩 PBA 11종 조립 선금 (30%)</t>
    <phoneticPr fontId="1" type="noConversion"/>
  </si>
  <si>
    <t>홍콩 PBA 11종 조립 1차 납품 (40%)</t>
    <phoneticPr fontId="1" type="noConversion"/>
  </si>
  <si>
    <t>홍콩 PBA 11종 조립 2차 납품 (30%)</t>
    <phoneticPr fontId="1" type="noConversion"/>
  </si>
  <si>
    <t>홍콩 PBA 11종 조립</t>
    <phoneticPr fontId="1" type="noConversion"/>
  </si>
  <si>
    <t>아이닉스</t>
    <phoneticPr fontId="1" type="noConversion"/>
  </si>
  <si>
    <t>제BEUP JDS25-0116-1호</t>
  </si>
  <si>
    <t>지아이씨</t>
    <phoneticPr fontId="1" type="noConversion"/>
  </si>
  <si>
    <t>원</t>
    <phoneticPr fontId="1" type="noConversion"/>
  </si>
  <si>
    <t>1_BEUPSYS/5-1_업체구매요청서/1_부품구매요청서및계약서/아이닉스/GIC CSP24-0524-1호_MOP외2종생산/제BEUP JDS25-0116-1호</t>
    <phoneticPr fontId="1" type="noConversion"/>
  </si>
  <si>
    <t>아이리코</t>
    <phoneticPr fontId="1" type="noConversion"/>
  </si>
  <si>
    <t>RC16M23K 외</t>
    <phoneticPr fontId="1" type="noConversion"/>
  </si>
  <si>
    <t>HK MOP SUB PBA 사급자재 외</t>
    <phoneticPr fontId="1" type="noConversion"/>
  </si>
  <si>
    <t>HK MOP SUB PBA 사급자재 외</t>
    <phoneticPr fontId="1" type="noConversion"/>
  </si>
  <si>
    <t>원자재</t>
    <phoneticPr fontId="1" type="noConversion"/>
  </si>
  <si>
    <t>메카전자</t>
    <phoneticPr fontId="1" type="noConversion"/>
  </si>
  <si>
    <t>HK MOP CTM 자재</t>
    <phoneticPr fontId="1" type="noConversion"/>
  </si>
  <si>
    <t>MOP, CTM, MSR PCB 코팅 작업 외</t>
    <phoneticPr fontId="1" type="noConversion"/>
  </si>
  <si>
    <t>NVR 수리 자재</t>
    <phoneticPr fontId="1" type="noConversion"/>
  </si>
  <si>
    <t>TPS650061RUKT 외</t>
    <phoneticPr fontId="1" type="noConversion"/>
  </si>
  <si>
    <t>제BEUP LDJ25-0123-1호</t>
    <phoneticPr fontId="1" type="noConversion"/>
  </si>
  <si>
    <t>제BEUP LDJ25-0123-2호</t>
    <phoneticPr fontId="1" type="noConversion"/>
  </si>
  <si>
    <t>시험완료 보고서 완료시</t>
    <phoneticPr fontId="1" type="noConversion"/>
  </si>
  <si>
    <t>제BEUP JDS25-0122-1호</t>
    <phoneticPr fontId="1" type="noConversion"/>
  </si>
  <si>
    <t>개발</t>
    <phoneticPr fontId="1" type="noConversion"/>
  </si>
  <si>
    <t>시험</t>
    <phoneticPr fontId="1" type="noConversion"/>
  </si>
  <si>
    <t>티엠에스</t>
  </si>
  <si>
    <t>PAB 재작업 (배선작업)</t>
    <phoneticPr fontId="1" type="noConversion"/>
  </si>
  <si>
    <t>LAN 케이블 제작 (M12, 103EA)</t>
    <phoneticPr fontId="1" type="noConversion"/>
  </si>
  <si>
    <t>LAN 케이블 제작 (M12, 200EA)</t>
    <phoneticPr fontId="1" type="noConversion"/>
  </si>
  <si>
    <t>125,300원 절감</t>
    <phoneticPr fontId="1" type="noConversion"/>
  </si>
  <si>
    <t>제BEUP LDJ25-0124-1호</t>
    <phoneticPr fontId="1" type="noConversion"/>
  </si>
  <si>
    <t>MOP 수리자재 외</t>
    <phoneticPr fontId="1" type="noConversion"/>
  </si>
  <si>
    <t>90</t>
  </si>
  <si>
    <t>91</t>
  </si>
  <si>
    <t>92</t>
  </si>
  <si>
    <t>93</t>
  </si>
  <si>
    <t>SN74LVC1G3157DCKR 외</t>
    <phoneticPr fontId="1" type="noConversion"/>
  </si>
  <si>
    <t>2025년 1월 부자재류</t>
    <phoneticPr fontId="1" type="noConversion"/>
  </si>
  <si>
    <t>2024년 8월 부자재류</t>
  </si>
  <si>
    <t>2024년 9월 부자재류</t>
  </si>
  <si>
    <t>2024년 10월 부자재류</t>
  </si>
  <si>
    <t>2024년 11월 부자재류</t>
  </si>
  <si>
    <t>2024년 12월 부자재류</t>
  </si>
  <si>
    <t>WD-40 220mml 외</t>
    <phoneticPr fontId="1" type="noConversion"/>
  </si>
  <si>
    <t>1_BEUPSYS\5-1_업체구매요청서\1_부품구매요청서및계약서\아이리코(I RICCO)\240524_GIC CSP24-0524-1호_MOP외2종생산\제BEUP LDJ25-0123-1호</t>
  </si>
  <si>
    <t>1_BEUPSYS\5-1_업체구매요청서\1_부품구매요청서및계약서\㈜메카전자\GIC CSP24-0913-1호 NVRCTMMSR 3종생산\NVR 수리자재</t>
  </si>
  <si>
    <t>홍콩 MOP, CTM, MSR 환경시험</t>
    <phoneticPr fontId="1" type="noConversion"/>
  </si>
  <si>
    <t>1_BEUPSYS\5-1_업체구매요청서\1_부품구매요청서및계약서\파츠맨\GIC CSP24-0913-1호 NVRCTMMSR 3종생산\제BEUP LDJ25-0124-1호</t>
    <phoneticPr fontId="1" type="noConversion"/>
  </si>
  <si>
    <t>1_BEUPSYS\5-1_업체구매요청서\1_부품구매요청서및계약서\파츠맨\GIC CSP24-0913-1호 NVRCTMMSR 3종생산\제BEUP LDJ25-0124-2호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</si>
  <si>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</si>
  <si>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</si>
  <si>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매입 합계</t>
    <phoneticPr fontId="1" type="noConversion"/>
  </si>
  <si>
    <t>발주 후 2주내</t>
    <phoneticPr fontId="1" type="noConversion"/>
  </si>
  <si>
    <t>발주 후 4주내</t>
    <phoneticPr fontId="1" type="noConversion"/>
  </si>
  <si>
    <t>발주 후 6주내</t>
    <phoneticPr fontId="1" type="noConversion"/>
  </si>
  <si>
    <t>선금 40%</t>
    <phoneticPr fontId="1" type="noConversion"/>
  </si>
  <si>
    <t>잔금 30%</t>
    <phoneticPr fontId="1" type="noConversion"/>
  </si>
  <si>
    <t>잔금 70%</t>
    <phoneticPr fontId="1" type="noConversion"/>
  </si>
  <si>
    <t>선금 약 38%</t>
    <phoneticPr fontId="1" type="noConversion"/>
  </si>
  <si>
    <t>잔금 약 62%</t>
    <phoneticPr fontId="1" type="noConversion"/>
  </si>
  <si>
    <t>물품납기시</t>
    <phoneticPr fontId="1" type="noConversion"/>
  </si>
  <si>
    <t>제작완료시 지급</t>
    <phoneticPr fontId="1" type="noConversion"/>
  </si>
  <si>
    <t>납품 후 100% 지불</t>
    <phoneticPr fontId="1" type="noConversion"/>
  </si>
  <si>
    <t>납품 후 지급</t>
    <phoneticPr fontId="1" type="noConversion"/>
  </si>
  <si>
    <t>중도금(중간결과물  NVR 3대 전달)  30%</t>
    <phoneticPr fontId="1" type="noConversion"/>
  </si>
  <si>
    <t>제BEUP LDJ25-0124-2호</t>
    <phoneticPr fontId="1" type="noConversion"/>
  </si>
  <si>
    <t>제BEUP LDJ25-0206-1호</t>
    <phoneticPr fontId="1" type="noConversion"/>
  </si>
  <si>
    <t>발주 후 12주내</t>
    <phoneticPr fontId="1" type="noConversion"/>
  </si>
  <si>
    <t>발주 후 선금 100%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</si>
  <si>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</si>
  <si>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예상 
납기일</t>
    <phoneticPr fontId="1" type="noConversion"/>
  </si>
  <si>
    <t>캐드존</t>
    <phoneticPr fontId="1" type="noConversion"/>
  </si>
  <si>
    <t>제BEUP JDS24-1007-2호</t>
    <phoneticPr fontId="1" type="noConversion"/>
  </si>
  <si>
    <t>BEUPIDOM-20240502</t>
    <phoneticPr fontId="1" type="noConversion"/>
  </si>
  <si>
    <t>이노웍스코리아</t>
  </si>
  <si>
    <t>이노웍스코리아</t>
    <phoneticPr fontId="1" type="noConversion"/>
  </si>
  <si>
    <t>제BEUP LDJ25-0210-1호</t>
    <phoneticPr fontId="1" type="noConversion"/>
  </si>
  <si>
    <t>DDR3L, DDR4 메모리 구매건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</si>
  <si>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</si>
  <si>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</si>
  <si>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</si>
  <si>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구매</t>
  </si>
  <si>
    <t>원자재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</si>
  <si>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</si>
  <si>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</si>
  <si>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  <phoneticPr fontId="1" type="noConversion"/>
  </si>
  <si>
    <t>HK_CTM_A4_20250205 ARTWORK 외</t>
    <phoneticPr fontId="1" type="noConversion"/>
  </si>
  <si>
    <t>HK CTM 보드 추가 수정 및 작업건</t>
    <phoneticPr fontId="1" type="noConversion"/>
  </si>
  <si>
    <t>제BEUP LDJ25-0211-2호</t>
  </si>
  <si>
    <t>1_BEUPSYS\5-1_업체구매요청서\1_부품구매요청서및계약서\㈜메카전자\GIC CSP24-0913-1호_CTM 추가 수정 및 작업건</t>
    <phoneticPr fontId="1" type="noConversion"/>
  </si>
  <si>
    <t>임시-7호선CSC-241029</t>
  </si>
  <si>
    <t>임시-7호선표시기-250107</t>
  </si>
  <si>
    <t>난연 SILICONE 백색 (도번: R1D013805)</t>
  </si>
  <si>
    <t>EPDM SEALING FOAM 1T*5*614</t>
  </si>
  <si>
    <t>EPDM SEALING FOAM 1T*5*342</t>
  </si>
  <si>
    <t>SPEAKER EPDM GASKET 6T*41*71</t>
  </si>
  <si>
    <t>금형</t>
    <phoneticPr fontId="1" type="noConversion"/>
  </si>
  <si>
    <t>87</t>
  </si>
  <si>
    <t>88</t>
  </si>
  <si>
    <t>89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</si>
  <si>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</si>
  <si>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</si>
  <si>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</si>
  <si>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</si>
  <si>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</si>
  <si>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</si>
  <si>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</si>
  <si>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</si>
  <si>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</si>
  <si>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실리콘 시트</t>
    <phoneticPr fontId="1" type="noConversion"/>
  </si>
  <si>
    <t>EPDM SEALING FOAM</t>
    <phoneticPr fontId="1" type="noConversion"/>
  </si>
  <si>
    <t>SPK GASKET</t>
    <phoneticPr fontId="1" type="noConversion"/>
  </si>
  <si>
    <t>■ 업체-PO 구매비용 요약 (입고 금액 기준)</t>
    <phoneticPr fontId="1" type="noConversion"/>
  </si>
  <si>
    <r>
      <rPr>
        <sz val="14"/>
        <color theme="1"/>
        <rFont val="맑은 고딕"/>
        <family val="3"/>
        <charset val="129"/>
      </rPr>
      <t>■</t>
    </r>
    <r>
      <rPr>
        <sz val="14"/>
        <color theme="1"/>
        <rFont val="함초롬돋움"/>
        <family val="3"/>
        <charset val="129"/>
      </rPr>
      <t xml:space="preserve"> 업체-현황 구매비용 요약 (입고 금액 기준)</t>
    </r>
    <phoneticPr fontId="1" type="noConversion"/>
  </si>
  <si>
    <t>프리랜서</t>
    <phoneticPr fontId="1" type="noConversion"/>
  </si>
  <si>
    <t>인건비</t>
    <phoneticPr fontId="1" type="noConversion"/>
  </si>
  <si>
    <t>103</t>
  </si>
  <si>
    <t>104</t>
  </si>
  <si>
    <t>김민석</t>
    <phoneticPr fontId="1" type="noConversion"/>
  </si>
  <si>
    <t>이예준</t>
    <phoneticPr fontId="1" type="noConversion"/>
  </si>
  <si>
    <t>BEUPSYS_KNK_25020301</t>
    <phoneticPr fontId="1" type="noConversion"/>
  </si>
  <si>
    <t>BEUPSYS_KNK_25020302</t>
    <phoneticPr fontId="1" type="noConversion"/>
  </si>
  <si>
    <t>MSR, MOP 테스트 및 검수</t>
    <phoneticPr fontId="1" type="noConversion"/>
  </si>
  <si>
    <t>초도금 50% : ₩3,000,000(사업소득세 3.3% 공제)</t>
    <phoneticPr fontId="1" type="noConversion"/>
  </si>
  <si>
    <t>2025-3-5 (사업소득세 3.3% 공제)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</si>
  <si>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</si>
  <si>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2025년 2월 부자재류</t>
    <phoneticPr fontId="1" type="noConversion"/>
  </si>
  <si>
    <t>BEUPIDOM-20240602</t>
    <phoneticPr fontId="1" type="noConversion"/>
  </si>
  <si>
    <t>BEUPIDOM-20240704</t>
    <phoneticPr fontId="1" type="noConversion"/>
  </si>
  <si>
    <t>TC170/i5-6300U 외 (5SET)</t>
    <phoneticPr fontId="1" type="noConversion"/>
  </si>
  <si>
    <t>제BEUP LDJ25-0219-1호</t>
    <phoneticPr fontId="1" type="noConversion"/>
  </si>
  <si>
    <t>1_BEUPSYS\5-1_업체구매요청서\1_부품구매요청서및계약서\㈜메카전자\GIC CSP24-0913-1호_CTM 수삽자재 부족분</t>
    <phoneticPr fontId="1" type="noConversion"/>
  </si>
  <si>
    <t>HK_CTM_A4_20250205 수삽자재 부족분</t>
    <phoneticPr fontId="1" type="noConversion"/>
  </si>
  <si>
    <t>김재현</t>
    <phoneticPr fontId="1" type="noConversion"/>
  </si>
  <si>
    <r>
      <t xml:space="preserve">발주 일자
</t>
    </r>
    <r>
      <rPr>
        <sz val="8"/>
        <color theme="4"/>
        <rFont val="함초롬돋움"/>
        <family val="1"/>
        <charset val="129"/>
      </rPr>
      <t>(서명일 기준)</t>
    </r>
    <phoneticPr fontId="1" type="noConversion"/>
  </si>
  <si>
    <t>제BEUPSYS KNK24-1220</t>
    <phoneticPr fontId="1" type="noConversion"/>
  </si>
  <si>
    <t>105</t>
  </si>
  <si>
    <t>106</t>
  </si>
  <si>
    <r>
      <t xml:space="preserve">입고 일자
</t>
    </r>
    <r>
      <rPr>
        <sz val="7"/>
        <color theme="4"/>
        <rFont val="함초롬돋움"/>
        <family val="1"/>
        <charset val="129"/>
      </rPr>
      <t>(계약 종료일)</t>
    </r>
    <phoneticPr fontId="1" type="noConversion"/>
  </si>
  <si>
    <t>제BEUP LDJ25-0224-1호</t>
    <phoneticPr fontId="1" type="noConversion"/>
  </si>
  <si>
    <t>770-101 외 2종 구매</t>
    <phoneticPr fontId="1" type="noConversion"/>
  </si>
  <si>
    <t>770-101 외 2종</t>
    <phoneticPr fontId="1" type="noConversion"/>
  </si>
  <si>
    <t>MOP 하드웨어 생산관련 테스트 및 업데이트</t>
    <phoneticPr fontId="1" type="noConversion"/>
  </si>
  <si>
    <t>현대로템</t>
    <phoneticPr fontId="1" type="noConversion"/>
  </si>
  <si>
    <t>대현테크</t>
  </si>
  <si>
    <t>대현테크</t>
    <phoneticPr fontId="1" type="noConversion"/>
  </si>
  <si>
    <t>제BEUP LDJ25-0224-2호</t>
    <phoneticPr fontId="1" type="noConversion"/>
  </si>
  <si>
    <t>EAO Switch 2종 구매</t>
    <phoneticPr fontId="1" type="noConversion"/>
  </si>
  <si>
    <t>56-3113.2389 외</t>
    <phoneticPr fontId="1" type="noConversion"/>
  </si>
  <si>
    <t>발주 후 10주내</t>
    <phoneticPr fontId="1" type="noConversion"/>
  </si>
  <si>
    <t>물품 납품전 지급</t>
    <phoneticPr fontId="1" type="noConversion"/>
  </si>
  <si>
    <t>1_BEUPSYS\5-1_업체구매요청서\1_부품구매요청서및계약서\아이닉스\GIC CSP24-0524-1호_MOP외2종생산\제BEUP LDJ25-0224-1호</t>
    <phoneticPr fontId="1" type="noConversion"/>
  </si>
  <si>
    <t>브라더 12mm Tze-231 호환 흰색바탕/검정글씨 외</t>
    <phoneticPr fontId="1" type="noConversion"/>
  </si>
  <si>
    <t>제BEUP LDJ25-0228-1호</t>
    <phoneticPr fontId="1" type="noConversion"/>
  </si>
  <si>
    <t>1_BEUPSYS\5-1_업체구매요청서\1_부품구매요청서및계약서\파츠맨\GIC CSP24-0913-1호 NVRCTMMSR 3종생산\제BEUP LDJ25-0228-1호</t>
    <phoneticPr fontId="1" type="noConversion"/>
  </si>
  <si>
    <t>제BEUP LDJ25-0228-2호</t>
    <phoneticPr fontId="1" type="noConversion"/>
  </si>
  <si>
    <t>MOP LCD 코팅 재작업 외</t>
    <phoneticPr fontId="1" type="noConversion"/>
  </si>
  <si>
    <t xml:space="preserve">2025년 2월 임가공 </t>
    <phoneticPr fontId="1" type="noConversion"/>
  </si>
  <si>
    <t>HRCPO20250226-001</t>
    <phoneticPr fontId="1" type="noConversion"/>
  </si>
  <si>
    <t>수주 금액 (원)</t>
    <phoneticPr fontId="1" type="noConversion"/>
  </si>
  <si>
    <t>(수주-매입) 이익 (원)</t>
    <phoneticPr fontId="1" type="noConversion"/>
  </si>
  <si>
    <t>이익율 (%)</t>
    <phoneticPr fontId="1" type="noConversion"/>
  </si>
  <si>
    <t>수주 금액 (달러)</t>
    <phoneticPr fontId="1" type="noConversion"/>
  </si>
  <si>
    <t>적용 환율 (원)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</si>
  <si>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</si>
  <si>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텍시트코리아</t>
    <phoneticPr fontId="1" type="noConversion"/>
  </si>
  <si>
    <t>제BEUP LDJ25-0305-1호</t>
    <phoneticPr fontId="1" type="noConversion"/>
  </si>
  <si>
    <t>WM-DS-ZH-064x025-YW</t>
    <phoneticPr fontId="1" type="noConversion"/>
  </si>
  <si>
    <t>산업용 튜브 구매건</t>
    <phoneticPr fontId="1" type="noConversion"/>
  </si>
  <si>
    <t>1_BEUPSYS\5-1_업체구매요청서\1_부품구매요청서및계약서\텍시트코리아\제GIC CSP24-0409-1호\제BEUP LDJ25-0305-1호</t>
    <phoneticPr fontId="1" type="noConversion"/>
  </si>
  <si>
    <t>1_BEUPSYS\5-1_업체구매요청서\1_부품구매요청서및계약서\프리렌서계약_김민석\제GIC CSP24-0913-1호_MSR NVR 외 11종\1차_2502월</t>
    <phoneticPr fontId="1" type="noConversion"/>
  </si>
  <si>
    <t>111</t>
  </si>
  <si>
    <t>112</t>
  </si>
  <si>
    <t>BEUPSYS_KNK25030401</t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</si>
  <si>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</si>
  <si>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2025-4-4 (사업소득세 3.3% 공제)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</si>
  <si>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</si>
  <si>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BEUPSYS_KNK25030402</t>
  </si>
  <si>
    <t>고은효</t>
    <phoneticPr fontId="1" type="noConversion"/>
  </si>
  <si>
    <t>113</t>
  </si>
  <si>
    <t>1_BEUPSYS\5-1_업체구매요청서\1_부품구매요청서및계약서\프리렌서계약_김재현\제GIC CSP24-0913-1호_MSR NVR 외 11종\1차</t>
    <phoneticPr fontId="1" type="noConversion"/>
  </si>
  <si>
    <t>114</t>
  </si>
  <si>
    <t>제BEUP LDJ25-0310-1호</t>
    <phoneticPr fontId="1" type="noConversion"/>
  </si>
  <si>
    <t>107</t>
  </si>
  <si>
    <t>108</t>
  </si>
  <si>
    <t>109</t>
  </si>
  <si>
    <t>110</t>
  </si>
  <si>
    <t>115</t>
  </si>
  <si>
    <t>제BEUPSYS KNK25-0220</t>
    <phoneticPr fontId="1" type="noConversion"/>
  </si>
  <si>
    <t>방송장치 오디오 테스트 방법 수립</t>
    <phoneticPr fontId="1" type="noConversion"/>
  </si>
  <si>
    <t>1_BEUPSYS\5-1_업체구매요청서\1_부품구매요청서및계약서\프리렌서계약_김재현\제GIC CSP24-0913-1호_MSR NVR 외 11종\2차</t>
    <phoneticPr fontId="1" type="noConversion"/>
  </si>
  <si>
    <t>BRT (MOP USB COVER)  외</t>
    <phoneticPr fontId="1" type="noConversion"/>
  </si>
  <si>
    <t>1_BEUPSYS\5-1_업체구매요청서\1_부품구매요청서및계약서\㈜세일엔지니어링\241104_GIC CSP24-0524-1호_MOP외2종\제BEUP JDS24-1106-1호</t>
    <phoneticPr fontId="1" type="noConversion"/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</si>
  <si>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</si>
  <si>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</si>
  <si>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제BEUP LDJ25-0314-1호</t>
    <phoneticPr fontId="1" type="noConversion"/>
  </si>
  <si>
    <t>033014-E</t>
    <phoneticPr fontId="1" type="noConversion"/>
  </si>
  <si>
    <t>제BEUP LDJ25-0319-1호</t>
    <phoneticPr fontId="1" type="noConversion"/>
  </si>
  <si>
    <t>임시-홍콩-시험기</t>
    <phoneticPr fontId="1" type="noConversion"/>
  </si>
  <si>
    <t>Power Supply</t>
    <phoneticPr fontId="1" type="noConversion"/>
  </si>
  <si>
    <t>EA-PS-3200-10-C (1output, 200V, 10A)</t>
    <phoneticPr fontId="1" type="noConversion"/>
  </si>
  <si>
    <t>1_BEUPSYS\5-1_업체구매요청서\1_부품구매요청서및계약서\아이닉스\임시-홍콩-시험기\제BEUP LDJ25-0319-1호</t>
    <phoneticPr fontId="1" type="noConversion"/>
  </si>
  <si>
    <t>물품공급요청서 작성중</t>
  </si>
  <si>
    <t>물품공급요청서 서명 확인 완료</t>
  </si>
  <si>
    <t>발주 이후 취소된 경우</t>
  </si>
  <si>
    <t>물품이 입고되고 거래명세서가 접수되어야함</t>
  </si>
  <si>
    <t>입고 및 대금 지급 완료 (최종 완료)</t>
  </si>
  <si>
    <t>1. 원자재 : 자재 비용</t>
    <phoneticPr fontId="1" type="noConversion"/>
  </si>
  <si>
    <t>2. 임가공 : 생산품및 개발품에 대한 인건비</t>
    <phoneticPr fontId="1" type="noConversion"/>
  </si>
  <si>
    <t>3. 장비 : 생산 및 개발에 사용되는 장비, 공구, TOOL (납품X)</t>
    <phoneticPr fontId="1" type="noConversion"/>
  </si>
  <si>
    <t>4. 개발 : 개발,연구에 대한 작업비용 및 기타 작업비용</t>
    <phoneticPr fontId="1" type="noConversion"/>
  </si>
  <si>
    <t>5. 시험 : 환경시험 등</t>
    <phoneticPr fontId="1" type="noConversion"/>
  </si>
  <si>
    <t>계정과목 설명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</si>
  <si>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</si>
  <si>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제BEUP LDJ25-0320-1호</t>
    <phoneticPr fontId="1" type="noConversion"/>
  </si>
  <si>
    <t>FERRULE 2종</t>
    <phoneticPr fontId="1" type="noConversion"/>
  </si>
  <si>
    <t>WAGO 216-244 외</t>
    <phoneticPr fontId="1" type="noConversion"/>
  </si>
  <si>
    <t>사업소득세 3.3% 공제, 기간 연장</t>
    <phoneticPr fontId="1" type="noConversion"/>
  </si>
  <si>
    <t>2025년 3월 부자재류</t>
    <phoneticPr fontId="1" type="noConversion"/>
  </si>
  <si>
    <t>미래로</t>
    <phoneticPr fontId="1" type="noConversion"/>
  </si>
  <si>
    <t>텍시트코리아</t>
  </si>
  <si>
    <t>2025년 3월 임가공</t>
    <phoneticPr fontId="1" type="noConversion"/>
  </si>
  <si>
    <t>임시-IDN- 보수품</t>
    <phoneticPr fontId="1" type="noConversion"/>
  </si>
  <si>
    <t>고은효</t>
  </si>
  <si>
    <t>김민석</t>
  </si>
  <si>
    <t>김재현</t>
  </si>
  <si>
    <t>이예준</t>
  </si>
  <si>
    <t>카메라 2종</t>
    <phoneticPr fontId="1" type="noConversion"/>
  </si>
  <si>
    <t>MD9582-H 외</t>
    <phoneticPr fontId="1" type="noConversion"/>
  </si>
  <si>
    <t>제BEUP LDJ25-0320-2호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</si>
  <si>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</si>
  <si>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지엠테크</t>
    <phoneticPr fontId="1" type="noConversion"/>
  </si>
  <si>
    <t>USD</t>
    <phoneticPr fontId="1" type="noConversion"/>
  </si>
  <si>
    <t>제BEUP LDJ25-0327-1호</t>
    <phoneticPr fontId="1" type="noConversion"/>
  </si>
  <si>
    <t>제BEUP LDJ25-0326-1호</t>
    <phoneticPr fontId="1" type="noConversion"/>
  </si>
  <si>
    <t>NVR LED 교체 작업 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</si>
  <si>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</si>
  <si>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116</t>
  </si>
  <si>
    <t>117</t>
  </si>
  <si>
    <t>118</t>
  </si>
  <si>
    <t>119</t>
  </si>
  <si>
    <t>120</t>
  </si>
  <si>
    <t>121</t>
  </si>
  <si>
    <t>1_BEUPSYS\5-1_업체구매요청서\1_부품구매요청서및계약서\파츠맨\GIC CSP24-0913-1호 NVRCTMMSR 3종생산\제BEUP LDJ25-0327-1호</t>
    <phoneticPr fontId="1" type="noConversion"/>
  </si>
  <si>
    <t>35155-0700 외</t>
    <phoneticPr fontId="1" type="noConversion"/>
  </si>
  <si>
    <t>선지불 후입고 (지불후 1주내 입고)</t>
    <phoneticPr fontId="1" type="noConversion"/>
  </si>
  <si>
    <t>BEUPSYS_KNK20250331-1</t>
    <phoneticPr fontId="1" type="noConversion"/>
  </si>
  <si>
    <t>2025-5-2 (사업소득세 3.3% 공제)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</si>
  <si>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</si>
  <si>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선금지급+결제완료 (B)</t>
    <phoneticPr fontId="1" type="noConversion"/>
  </si>
  <si>
    <t>선금 또는 중도금을 지급해야 되는 경우 (선결제 후입고)</t>
    <phoneticPr fontId="1" type="noConversion"/>
  </si>
  <si>
    <t>미래로</t>
  </si>
  <si>
    <t>25/3/31 묶음 (20250331410001080jdz0001)</t>
    <phoneticPr fontId="1" type="noConversion"/>
  </si>
  <si>
    <t>1_BEUPSYS\5-1_업체구매요청서\1_부품구매요청서및계약서\대현테크\HRCPO20250226-001\제BEUP LDJ25-0224-2호</t>
    <phoneticPr fontId="1" type="noConversion"/>
  </si>
  <si>
    <t>2025년 4월 부자재류</t>
    <phoneticPr fontId="1" type="noConversion"/>
  </si>
  <si>
    <t>제BEUP LDJ25-0428-1호</t>
    <phoneticPr fontId="1" type="noConversion"/>
  </si>
  <si>
    <t>ANEX ANH-S1 외</t>
    <phoneticPr fontId="1" type="noConversion"/>
  </si>
  <si>
    <t>1_BEUPSYS\5-1_업체구매요청서\1_부품구매요청서및계약서\파츠맨\GIC CSP24-0913-1호 NVRCTMMSR 3종생산\제BEUP LDJ25-0428-1호</t>
    <phoneticPr fontId="1" type="noConversion"/>
  </si>
  <si>
    <t>인터모빌리티</t>
    <phoneticPr fontId="1" type="noConversion"/>
  </si>
  <si>
    <t>IM-INT 3종 PCB 아트웍 외</t>
    <phoneticPr fontId="1" type="noConversion"/>
  </si>
  <si>
    <t>인터모빌리티 보드 아트웍 설계 및 PCB 제작 비용</t>
    <phoneticPr fontId="1" type="noConversion"/>
  </si>
  <si>
    <t>제BEUP LDJ25-0508-1호</t>
    <phoneticPr fontId="1" type="noConversion"/>
  </si>
  <si>
    <t>위존</t>
    <phoneticPr fontId="1" type="noConversion"/>
  </si>
  <si>
    <t xml:space="preserve">MOXA 8-Port Ethernet switch </t>
    <phoneticPr fontId="1" type="noConversion"/>
  </si>
  <si>
    <t>TN-5508A-WV-T</t>
    <phoneticPr fontId="1" type="noConversion"/>
  </si>
  <si>
    <t>제BEUP LDJ25-0515-1호</t>
    <phoneticPr fontId="1" type="noConversion"/>
  </si>
  <si>
    <t>발주 후 16주내</t>
    <phoneticPr fontId="1" type="noConversion"/>
  </si>
  <si>
    <t>선적 전 결제</t>
    <phoneticPr fontId="1" type="noConversion"/>
  </si>
  <si>
    <t>제BEUP LDJ25-0516-1호</t>
    <phoneticPr fontId="1" type="noConversion"/>
  </si>
  <si>
    <t>ANSM, MIC 기구물</t>
    <phoneticPr fontId="1" type="noConversion"/>
  </si>
  <si>
    <t>ANSM BRACKET 외</t>
    <phoneticPr fontId="1" type="noConversion"/>
  </si>
  <si>
    <t>1_BEUPSYS\5-1_업체구매요청서\1_부품구매요청서및계약서\㈜세일엔지니어링\241104_GIC CSP24-0524-1호_MOP외2종\제BEUP LDJ25-0516-1호</t>
    <phoneticPr fontId="1" type="noConversion"/>
  </si>
  <si>
    <t>1_BEUPSYS\5-1_업체구매요청서\1_부품구매요청서및계약서\위존\GIC CSP24-0524-1호\제BEUP LDJ25-0515-1호</t>
    <phoneticPr fontId="1" type="noConversion"/>
  </si>
  <si>
    <t>2DIB1411FXUMA1 외</t>
    <phoneticPr fontId="1" type="noConversion"/>
  </si>
  <si>
    <t>128</t>
  </si>
  <si>
    <t>123</t>
  </si>
  <si>
    <t>124</t>
  </si>
  <si>
    <t>125</t>
  </si>
  <si>
    <t>126</t>
  </si>
  <si>
    <t>127</t>
  </si>
  <si>
    <t>2025-5-21 (사업소득세 3.3% 공제)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</si>
  <si>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</si>
  <si>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IM-INT 3종 PCB, CABLE 사급자재, 부자재</t>
    <phoneticPr fontId="1" type="noConversion"/>
  </si>
  <si>
    <t>유로</t>
    <phoneticPr fontId="1" type="noConversion"/>
  </si>
  <si>
    <t>IM-INT 3종 PCB 조립 건</t>
    <phoneticPr fontId="1" type="noConversion"/>
  </si>
  <si>
    <t>IM-INT-MAIN PCB 조립 외</t>
    <phoneticPr fontId="1" type="noConversion"/>
  </si>
  <si>
    <t>제BEUP LDJ25-0627-1호</t>
    <phoneticPr fontId="1" type="noConversion"/>
  </si>
  <si>
    <t>제BEUP LDJ25-0627-2호</t>
  </si>
  <si>
    <t>나무</t>
    <phoneticPr fontId="1" type="noConversion"/>
  </si>
  <si>
    <t>제BEUP LDJ25-0714-1호</t>
    <phoneticPr fontId="1" type="noConversion"/>
  </si>
  <si>
    <t>ISELED MCU 구매건</t>
    <phoneticPr fontId="1" type="noConversion"/>
  </si>
  <si>
    <t>ATSAME51G19A-MZT510</t>
    <phoneticPr fontId="1" type="noConversion"/>
  </si>
  <si>
    <t>납품 후 1주내</t>
    <phoneticPr fontId="1" type="noConversion"/>
  </si>
  <si>
    <t>첫거래, 납품후 1주내 지급 예정</t>
    <phoneticPr fontId="1" type="noConversion"/>
  </si>
  <si>
    <t>122</t>
  </si>
  <si>
    <t>129</t>
  </si>
  <si>
    <t>130</t>
  </si>
  <si>
    <t>131</t>
  </si>
  <si>
    <t>133</t>
  </si>
  <si>
    <t xml:space="preserve"> </t>
    <phoneticPr fontId="1" type="noConversion"/>
  </si>
  <si>
    <t>제BEUP LDJ25-0722-1호</t>
    <phoneticPr fontId="1" type="noConversion"/>
  </si>
  <si>
    <t xml:space="preserve">IM-INT 2종 보드 PCB 조립건 </t>
    <phoneticPr fontId="1" type="noConversion"/>
  </si>
  <si>
    <t>2종 보드 PCB 조립건</t>
    <phoneticPr fontId="1" type="noConversion"/>
  </si>
  <si>
    <t>IM-6U-A0 PCB 조립 외</t>
    <phoneticPr fontId="1" type="noConversion"/>
  </si>
  <si>
    <t>74HC7540PW 외</t>
    <phoneticPr fontId="1" type="noConversion"/>
  </si>
  <si>
    <t>134</t>
  </si>
  <si>
    <t>135</t>
  </si>
  <si>
    <t>136</t>
  </si>
  <si>
    <t>만능</t>
    <phoneticPr fontId="1" type="noConversion"/>
  </si>
  <si>
    <t>대성프로파일</t>
    <phoneticPr fontId="1" type="noConversion"/>
  </si>
  <si>
    <t>발주 후 3주내</t>
    <phoneticPr fontId="1" type="noConversion"/>
  </si>
  <si>
    <t>발주 후 7주내</t>
    <phoneticPr fontId="1" type="noConversion"/>
  </si>
  <si>
    <t>신촌시험장치_20250728</t>
    <phoneticPr fontId="1" type="noConversion"/>
  </si>
  <si>
    <t>GIC</t>
    <phoneticPr fontId="1" type="noConversion"/>
  </si>
  <si>
    <t>독자모델</t>
    <phoneticPr fontId="1" type="noConversion"/>
  </si>
  <si>
    <t>발주시 50%, 설치완료후 50%</t>
    <phoneticPr fontId="1" type="noConversion"/>
  </si>
  <si>
    <t>제BEUP LDJ25-0729-1호</t>
    <phoneticPr fontId="1" type="noConversion"/>
  </si>
  <si>
    <t>제BEUP LDJ25-0729-2호</t>
    <phoneticPr fontId="1" type="noConversion"/>
  </si>
  <si>
    <t>1_BEUPSYS\5-1_업체구매요청서\1_부품구매요청서및계약서\대성프로파일\신촌시험장치_20250728\제BEUP LDJ25-0729-1호</t>
    <phoneticPr fontId="1" type="noConversion"/>
  </si>
  <si>
    <t>1_BEUPSYS\5-1_업체구매요청서\1_부품구매요청서및계약서\만능\신촌시험장치_20250728\제BEUP LDJ25-0729-2호</t>
    <phoneticPr fontId="1" type="noConversion"/>
  </si>
  <si>
    <t>EX150-12 외</t>
    <phoneticPr fontId="1" type="noConversion"/>
  </si>
  <si>
    <t>공급업체  \  PO</t>
    <phoneticPr fontId="1" type="noConversion"/>
  </si>
  <si>
    <t>공급업체  \  현황</t>
    <phoneticPr fontId="1" type="noConversion"/>
  </si>
  <si>
    <t>아인시스템</t>
    <phoneticPr fontId="1" type="noConversion"/>
  </si>
  <si>
    <t>IM-6U PANEL 기구물 제작건</t>
    <phoneticPr fontId="1" type="noConversion"/>
  </si>
  <si>
    <t>납품 전 지급</t>
    <phoneticPr fontId="1" type="noConversion"/>
  </si>
  <si>
    <t>Face Plate 1종 외</t>
    <phoneticPr fontId="1" type="noConversion"/>
  </si>
  <si>
    <t>고객사 PO번호
(계약번호)</t>
    <phoneticPr fontId="1" type="noConversion"/>
  </si>
  <si>
    <t>물품공급요청서 계약번호</t>
    <phoneticPr fontId="1" type="noConversion"/>
  </si>
  <si>
    <t>20250711001 (현대자동차)</t>
  </si>
  <si>
    <t>20250711001 (현대자동차)</t>
    <phoneticPr fontId="1" type="noConversion"/>
  </si>
  <si>
    <t>20250728001 (포스코)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</si>
  <si>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</si>
  <si>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</si>
  <si>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</si>
  <si>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</si>
  <si>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IM-INT 2종 PCB</t>
    <phoneticPr fontId="1" type="noConversion"/>
  </si>
  <si>
    <t>IM-INT-MAIN PCB 외</t>
    <phoneticPr fontId="1" type="noConversion"/>
  </si>
  <si>
    <t>제BEUP LDJ25-0722-1호</t>
  </si>
  <si>
    <t>132</t>
  </si>
  <si>
    <t>137</t>
  </si>
  <si>
    <t>138</t>
  </si>
  <si>
    <t>IM-6U-A0 아트웍 설계 및 PCB 제작 비용</t>
    <phoneticPr fontId="1" type="noConversion"/>
  </si>
  <si>
    <t>IM-6U-A0 PCB 아트웍 외</t>
    <phoneticPr fontId="1" type="noConversion"/>
  </si>
  <si>
    <t>1_BEUPSYS\5-1_업체구매요청서\1_부품구매요청서및계약서\캐드존\20250728001 (포스코)\제BEUP LDJ25-0722-1호</t>
    <phoneticPr fontId="1" type="noConversion"/>
  </si>
  <si>
    <t>139</t>
  </si>
  <si>
    <t>정전기제전매트 유광 2T, 80센치(폭), 10미터 외</t>
    <phoneticPr fontId="1" type="noConversion"/>
  </si>
  <si>
    <t>IM-6U, PLC PCB 사급자재 구매건</t>
    <phoneticPr fontId="1" type="noConversion"/>
  </si>
  <si>
    <t>2025년 7월 부자재 구매건</t>
    <phoneticPr fontId="1" type="noConversion"/>
  </si>
  <si>
    <t>아인시스템</t>
  </si>
  <si>
    <t>DH-비업시스-250731-1</t>
    <phoneticPr fontId="1" type="noConversion"/>
  </si>
  <si>
    <t>동화FA</t>
    <phoneticPr fontId="1" type="noConversion"/>
  </si>
  <si>
    <t>물품공급요청서 묶음 진행</t>
    <phoneticPr fontId="1" type="noConversion"/>
  </si>
  <si>
    <t>1_BEUPSYS\5-1_업체구매요청서\1_부품구매요청서및계약서\캐드존\20250711001 (현대자동차)\제BEUP LDJ25-0722-1호</t>
    <phoneticPr fontId="1" type="noConversion"/>
  </si>
  <si>
    <t>제BEUP LDJ25-0811-1호</t>
    <phoneticPr fontId="1" type="noConversion"/>
  </si>
  <si>
    <t>제BEUP LDJ25-0811-3호</t>
  </si>
  <si>
    <t>1_BEUPSYS\5-1_업체구매요청서\1_부품구매요청서및계약서\유로\20250711001 (현대자동차)\제BEUP LDJ25-0811-1호</t>
    <phoneticPr fontId="1" type="noConversion"/>
  </si>
  <si>
    <t>제BEUP LDJ25-0811-2호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</si>
  <si>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</si>
  <si>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</si>
  <si>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제BEUP LDJ25-0811-4호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</si>
  <si>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</si>
  <si>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제BEUP LDJ25-0811-5호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</si>
  <si>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</si>
  <si>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첫거래, 선금 50% 8/8 지급 완료,  잔금 8/18 예정</t>
    <phoneticPr fontId="1" type="noConversion"/>
  </si>
  <si>
    <t>박진호</t>
    <phoneticPr fontId="1" type="noConversion"/>
  </si>
  <si>
    <t>제BEUP KNK24-1211-1호</t>
    <phoneticPr fontId="1" type="noConversion"/>
  </si>
  <si>
    <t>CSC/운행기록장치 소프트웨어 개발</t>
    <phoneticPr fontId="1" type="noConversion"/>
  </si>
  <si>
    <t>사업소득세 3.3% 공제</t>
    <phoneticPr fontId="1" type="noConversion"/>
  </si>
  <si>
    <t>외주</t>
  </si>
  <si>
    <t>장비</t>
  </si>
  <si>
    <t>대성프로파일</t>
  </si>
  <si>
    <t>제BEUP LDJ25-0729-1호</t>
  </si>
  <si>
    <t>GIC</t>
  </si>
  <si>
    <t>신촌시험장치_20250728</t>
  </si>
  <si>
    <t>독자모델</t>
  </si>
  <si>
    <t>알루미늄 프로파일 선반 외 (선금 50%)</t>
    <phoneticPr fontId="1" type="noConversion"/>
  </si>
  <si>
    <t>알루미늄 프로파일 선반 외 (잔금 50%)</t>
    <phoneticPr fontId="1" type="noConversion"/>
  </si>
  <si>
    <t>140</t>
    <phoneticPr fontId="1" type="noConversion"/>
  </si>
  <si>
    <t>발주 후 3주내</t>
  </si>
  <si>
    <t>발주시 50%, 설치완료후 50%</t>
  </si>
  <si>
    <t>1_BEUPSYS\5-1_업체구매요청서\1_부품구매요청서및계약서\대성프로파일\신촌시험장치_20250728\제BEUP LDJ25-0729-1호</t>
  </si>
  <si>
    <t>첫거래, 선금 50% 8/8 지급 완료,  잔금 8/18 예정</t>
  </si>
  <si>
    <t>141</t>
    <phoneticPr fontId="1" type="noConversion"/>
  </si>
  <si>
    <t>신촌 사무실 PAPIS 시험장치 개발-부자재</t>
    <phoneticPr fontId="1" type="noConversion"/>
  </si>
  <si>
    <t>첫거래, 선금, 실입고 8/26</t>
    <phoneticPr fontId="1" type="noConversion"/>
  </si>
  <si>
    <t>142</t>
    <phoneticPr fontId="1" type="noConversion"/>
  </si>
  <si>
    <t>CTM 재작업 외</t>
    <phoneticPr fontId="1" type="noConversion"/>
  </si>
  <si>
    <t>제BEUP LDJ25-0828-1호</t>
    <phoneticPr fontId="1" type="noConversion"/>
  </si>
  <si>
    <t>1_BEUPSYS\5-1_업체구매요청서\1_부품구매요청서및계약서\아이리코(I RICCO)\240524_GIC CSP24-0524-1호_MOP외2종생산\제BEUP LDJ25-0829-1호</t>
    <phoneticPr fontId="1" type="noConversion"/>
  </si>
  <si>
    <t>9월 5일 작업 마무리 예정 / 8월 마감으로</t>
    <phoneticPr fontId="1" type="noConversion"/>
  </si>
  <si>
    <t>WAGO 2001-1401 외</t>
    <phoneticPr fontId="1" type="noConversion"/>
  </si>
  <si>
    <t>제BEUP LDJ25-0911-1호</t>
    <phoneticPr fontId="1" type="noConversion"/>
  </si>
  <si>
    <t>1_BEUPSYS\5-1_업체구매요청서\1_부품구매요청서및계약서\파츠맨\신촌시험장치_20250728\제BEUP LDJ25-0911-1호</t>
    <phoneticPr fontId="1" type="noConversion"/>
  </si>
  <si>
    <t>신촌 사무실 PAPIS 시험장치 개발-선반</t>
    <phoneticPr fontId="1" type="noConversion"/>
  </si>
  <si>
    <t>신촌 사무실 PAPIS 시험장치 개발-파워</t>
    <phoneticPr fontId="1" type="noConversion"/>
  </si>
  <si>
    <t>제GAT LDJ25-1103-1호</t>
    <phoneticPr fontId="1" type="noConversion"/>
  </si>
  <si>
    <t>143</t>
    <phoneticPr fontId="1" type="noConversion"/>
  </si>
  <si>
    <t>144</t>
    <phoneticPr fontId="1" type="noConversion"/>
  </si>
  <si>
    <t>제GAT LDJ25-1103-2호</t>
    <phoneticPr fontId="1" type="noConversion"/>
  </si>
  <si>
    <t>인터모빌리티</t>
  </si>
  <si>
    <t>20250728001 (포스코)</t>
  </si>
  <si>
    <t>Face Plate 외</t>
    <phoneticPr fontId="1" type="noConversion"/>
  </si>
  <si>
    <t>IM-6U-A1 PCB 수정 및 제작 비용</t>
    <phoneticPr fontId="1" type="noConversion"/>
  </si>
  <si>
    <t>IM-6U-A1 PCB 수정 외</t>
    <phoneticPr fontId="1" type="noConversion"/>
  </si>
  <si>
    <t>1_BEUPSYS\5-1_업체구매요청서\1_부품구매요청서및계약서\캐드존\20250728001 (포스코)\제GAT LDJ25-1103-1호</t>
    <phoneticPr fontId="1" type="noConversion"/>
  </si>
  <si>
    <t>1_BEUPSYS\5-1_업체구매요청서\1_부품구매요청서및계약서\아인시스템\20250728001 (포스코)\제GAT LDJ25-1103-2호</t>
    <phoneticPr fontId="1" type="noConversion"/>
  </si>
  <si>
    <t>IM-6U-A1 PCB 부품 조립</t>
    <phoneticPr fontId="1" type="noConversion"/>
  </si>
  <si>
    <t>IM-6U-A1 사급자재</t>
    <phoneticPr fontId="1" type="noConversion"/>
  </si>
  <si>
    <t>제GAT LDJ25-1111-1호</t>
    <phoneticPr fontId="1" type="noConversion"/>
  </si>
  <si>
    <t>OS02</t>
    <phoneticPr fontId="1" type="noConversion"/>
  </si>
  <si>
    <t>인도네시아 경전철</t>
    <phoneticPr fontId="1" type="noConversion"/>
  </si>
  <si>
    <t>인도네시아 경전철 보수품 CPU 구매</t>
    <phoneticPr fontId="1" type="noConversion"/>
  </si>
  <si>
    <t>1_BEUPSYS\5-1_업체구매요청서\1_부품구매요청서및계약서\이엔엠테크놀러지\OS02\제GAT LDJ25-1111-1호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</si>
</sst>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[$-F800]dddd\,\ mmmm\ dd\,\ yyyy"/>
    <numFmt numFmtId="178" formatCode="0.0%"/>
    <numFmt numFmtId="179" formatCode="&quot;US$&quot;#,##0_);\(&quot;US$&quot;#,##0\)"/>
    <numFmt numFmtId="180" formatCode="_-\$* #,##0.0_ ;_-\$* \-#,##0.0\ ;_-\$* &quot;-&quot;?_ ;_-@_ "/>
    <numFmt numFmtId="181" formatCode="_-* #,##0.000000_-;\-* #,##0.000000_-;_-* &quot;-&quot;??????_-;_-@_-"/>
    <numFmt numFmtId="182" formatCode="_-* #,##0.000_-;\-* #,##0.000_-;_-* &quot;-&quot;???_-;_-@_-"/>
    <numFmt numFmtId="183" formatCode="_-* #,##0.00000000_-;\-* #,##0.00000000_-;_-* &quot;-&quot;????????_-;_-@_-"/>
    <numFmt numFmtId="184" formatCode="_-\$* #,##0.00_ ;_-\$* \-#,##0.00\ ;_-\$* &quot;-&quot;??_ ;_-@_ "/>
  </numFmts>
  <fonts count="38" x14ac:knownFonts="1">
    <font>
      <sz val="8"/>
      <color theme="1"/>
      <name val="함초롬돋움"/>
      <family val="2"/>
      <charset val="129"/>
    </font>
    <font>
      <sz val="8"/>
      <name val="함초롬돋움"/>
      <family val="2"/>
      <charset val="129"/>
    </font>
    <font>
      <b/>
      <sz val="8"/>
      <color theme="1"/>
      <name val="함초롬돋움"/>
      <family val="3"/>
      <charset val="129"/>
    </font>
    <font>
      <b/>
      <sz val="8"/>
      <name val="함초롬돋움"/>
      <family val="3"/>
      <charset val="129"/>
    </font>
    <font>
      <sz val="11"/>
      <name val="돋움"/>
      <family val="3"/>
      <charset val="129"/>
    </font>
    <font>
      <sz val="8"/>
      <color theme="1"/>
      <name val="함초롬돋움"/>
      <family val="3"/>
      <charset val="129"/>
    </font>
    <font>
      <b/>
      <sz val="8"/>
      <color rgb="FFC00000"/>
      <name val="함초롬돋움"/>
      <family val="3"/>
      <charset val="129"/>
    </font>
    <font>
      <b/>
      <strike/>
      <sz val="8"/>
      <color rgb="FFC00000"/>
      <name val="함초롬돋움"/>
      <family val="3"/>
      <charset val="129"/>
    </font>
    <font>
      <sz val="8"/>
      <name val="함초롬돋움"/>
      <family val="3"/>
      <charset val="129"/>
    </font>
    <font>
      <strike/>
      <sz val="8"/>
      <color rgb="FFC00000"/>
      <name val="함초롬돋움"/>
      <family val="3"/>
      <charset val="129"/>
    </font>
    <font>
      <sz val="8"/>
      <color rgb="FFC00000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0"/>
      <color theme="4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b/>
      <sz val="10"/>
      <color rgb="FFC00000"/>
      <name val="함초롬돋움"/>
      <family val="3"/>
      <charset val="129"/>
    </font>
    <font>
      <b/>
      <sz val="8"/>
      <color indexed="81"/>
      <name val="맑은 고딕"/>
      <family val="3"/>
      <charset val="129"/>
    </font>
    <font>
      <sz val="8"/>
      <color theme="1"/>
      <name val="함초롬돋움"/>
      <family val="1"/>
      <charset val="129"/>
    </font>
    <font>
      <sz val="10"/>
      <color theme="1"/>
      <name val="함초롬돋움"/>
      <family val="1"/>
      <charset val="129"/>
    </font>
    <font>
      <sz val="10"/>
      <color rgb="FFC00000"/>
      <name val="함초롬돋움"/>
      <family val="1"/>
      <charset val="129"/>
    </font>
    <font>
      <u/>
      <sz val="8"/>
      <color theme="10"/>
      <name val="함초롬돋움"/>
      <family val="2"/>
      <charset val="129"/>
    </font>
    <font>
      <sz val="9"/>
      <color theme="1"/>
      <name val="함초롬돋움"/>
      <family val="1"/>
      <charset val="129"/>
    </font>
    <font>
      <b/>
      <sz val="8"/>
      <color theme="1"/>
      <name val="함초롬돋움"/>
      <family val="1"/>
      <charset val="129"/>
    </font>
    <font>
      <sz val="9"/>
      <color theme="1"/>
      <name val="함초롬돋움"/>
      <family val="3"/>
      <charset val="129"/>
    </font>
    <font>
      <sz val="14"/>
      <color theme="4"/>
      <name val="함초롬돋움"/>
      <family val="1"/>
      <charset val="129"/>
    </font>
    <font>
      <sz val="9"/>
      <color theme="0"/>
      <name val="함초롬돋움"/>
      <family val="1"/>
      <charset val="129"/>
    </font>
    <font>
      <sz val="9"/>
      <color theme="4"/>
      <name val="함초롬돋움"/>
      <family val="1"/>
      <charset val="129"/>
    </font>
    <font>
      <sz val="8"/>
      <color theme="4"/>
      <name val="함초롬돋움"/>
      <family val="1"/>
      <charset val="129"/>
    </font>
    <font>
      <sz val="8"/>
      <color rgb="FFC00000"/>
      <name val="함초롬돋움"/>
      <family val="1"/>
      <charset val="129"/>
    </font>
    <font>
      <sz val="14"/>
      <color theme="1"/>
      <name val="함초롬돋움"/>
      <family val="3"/>
      <charset val="129"/>
    </font>
    <font>
      <sz val="14"/>
      <color theme="1"/>
      <name val="맑은 고딕"/>
      <family val="3"/>
      <charset val="129"/>
    </font>
    <font>
      <b/>
      <sz val="8"/>
      <color indexed="81"/>
      <name val="함초롬돋움"/>
      <family val="1"/>
      <charset val="129"/>
    </font>
    <font>
      <sz val="7"/>
      <color theme="4"/>
      <name val="함초롬돋움"/>
      <family val="1"/>
      <charset val="129"/>
    </font>
    <font>
      <sz val="8"/>
      <color theme="6"/>
      <name val="함초롬돋움"/>
      <family val="1"/>
      <charset val="129"/>
    </font>
    <font>
      <sz val="12"/>
      <color theme="1"/>
      <name val="함초롬돋움"/>
      <family val="1"/>
      <charset val="129"/>
    </font>
    <font>
      <sz val="8"/>
      <color rgb="FFFF0000"/>
      <name val="함초롬돋움"/>
      <family val="2"/>
      <charset val="129"/>
    </font>
    <font>
      <sz val="10"/>
      <color rgb="FFC00000"/>
      <name val="함초롬돋움"/>
      <family val="3"/>
      <charset val="129"/>
    </font>
    <font>
      <b/>
      <sz val="10"/>
      <color rgb="FF0070C0"/>
      <name val="함초롬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theme="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20" fillId="0" borderId="0" applyNumberForma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0" fillId="2" borderId="0" xfId="0" applyFill="1" applyAlignment="1">
      <alignment vertical="center" shrinkToFit="1"/>
    </xf>
    <xf numFmtId="0" fontId="0" fillId="2" borderId="0" xfId="0" applyFill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176" fontId="0" fillId="2" borderId="1" xfId="0" applyNumberForma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vertical="center" shrinkToFit="1"/>
    </xf>
    <xf numFmtId="41" fontId="0" fillId="2" borderId="1" xfId="0" applyNumberFormat="1" applyFill="1" applyBorder="1" applyAlignment="1">
      <alignment vertical="center" shrinkToFit="1"/>
    </xf>
    <xf numFmtId="14" fontId="0" fillId="2" borderId="0" xfId="0" applyNumberFormat="1" applyFill="1" applyAlignment="1">
      <alignment horizontal="center" vertical="center" shrinkToFit="1"/>
    </xf>
    <xf numFmtId="0" fontId="0" fillId="2" borderId="2" xfId="0" applyFill="1" applyBorder="1" applyAlignment="1">
      <alignment vertical="center" shrinkToFit="1"/>
    </xf>
    <xf numFmtId="0" fontId="3" fillId="2" borderId="0" xfId="0" applyFont="1" applyFill="1" applyAlignment="1">
      <alignment horizontal="center" vertical="center" shrinkToFit="1"/>
    </xf>
    <xf numFmtId="0" fontId="3" fillId="4" borderId="0" xfId="0" applyFont="1" applyFill="1" applyAlignment="1">
      <alignment horizontal="center" vertical="center" shrinkToFit="1"/>
    </xf>
    <xf numFmtId="0" fontId="3" fillId="6" borderId="0" xfId="0" applyFont="1" applyFill="1" applyAlignment="1">
      <alignment horizontal="center" vertical="center" shrinkToFit="1"/>
    </xf>
    <xf numFmtId="0" fontId="3" fillId="7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0" fillId="2" borderId="0" xfId="0" applyFill="1">
      <alignment vertical="center"/>
    </xf>
    <xf numFmtId="176" fontId="0" fillId="2" borderId="0" xfId="0" applyNumberFormat="1" applyFill="1" applyAlignment="1">
      <alignment horizontal="center" vertical="center"/>
    </xf>
    <xf numFmtId="41" fontId="0" fillId="2" borderId="0" xfId="0" applyNumberFormat="1" applyFill="1">
      <alignment vertical="center"/>
    </xf>
    <xf numFmtId="0" fontId="0" fillId="2" borderId="4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41" fontId="0" fillId="2" borderId="5" xfId="0" applyNumberFormat="1" applyFill="1" applyBorder="1" applyAlignment="1">
      <alignment horizontal="center" vertical="center"/>
    </xf>
    <xf numFmtId="41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1" fontId="0" fillId="2" borderId="8" xfId="0" applyNumberFormat="1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41" fontId="0" fillId="2" borderId="10" xfId="0" applyNumberFormat="1" applyFill="1" applyBorder="1">
      <alignment vertical="center"/>
    </xf>
    <xf numFmtId="41" fontId="0" fillId="2" borderId="11" xfId="0" applyNumberFormat="1" applyFill="1" applyBorder="1">
      <alignment vertical="center"/>
    </xf>
    <xf numFmtId="41" fontId="0" fillId="2" borderId="5" xfId="0" applyNumberFormat="1" applyFill="1" applyBorder="1">
      <alignment vertical="center"/>
    </xf>
    <xf numFmtId="41" fontId="0" fillId="2" borderId="6" xfId="0" applyNumberFormat="1" applyFill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41" fontId="0" fillId="2" borderId="13" xfId="0" applyNumberFormat="1" applyFill="1" applyBorder="1">
      <alignment vertical="center"/>
    </xf>
    <xf numFmtId="41" fontId="0" fillId="2" borderId="14" xfId="0" applyNumberFormat="1" applyFill="1" applyBorder="1">
      <alignment vertical="center"/>
    </xf>
    <xf numFmtId="0" fontId="2" fillId="3" borderId="18" xfId="0" applyFont="1" applyFill="1" applyBorder="1" applyAlignment="1">
      <alignment horizontal="center" vertical="center" shrinkToFit="1"/>
    </xf>
    <xf numFmtId="41" fontId="2" fillId="3" borderId="15" xfId="0" applyNumberFormat="1" applyFont="1" applyFill="1" applyBorder="1" applyAlignment="1">
      <alignment vertical="center" shrinkToFit="1"/>
    </xf>
    <xf numFmtId="41" fontId="2" fillId="3" borderId="21" xfId="0" applyNumberFormat="1" applyFont="1" applyFill="1" applyBorder="1" applyAlignment="1">
      <alignment vertical="center" shrinkToFit="1"/>
    </xf>
    <xf numFmtId="0" fontId="6" fillId="3" borderId="18" xfId="0" applyFont="1" applyFill="1" applyBorder="1" applyAlignment="1">
      <alignment horizontal="right" vertical="center" indent="1" shrinkToFit="1"/>
    </xf>
    <xf numFmtId="41" fontId="6" fillId="3" borderId="18" xfId="0" applyNumberFormat="1" applyFont="1" applyFill="1" applyBorder="1" applyAlignment="1">
      <alignment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41" fontId="5" fillId="2" borderId="16" xfId="0" applyNumberFormat="1" applyFont="1" applyFill="1" applyBorder="1" applyAlignment="1">
      <alignment vertical="center" shrinkToFit="1"/>
    </xf>
    <xf numFmtId="41" fontId="5" fillId="2" borderId="19" xfId="0" applyNumberFormat="1" applyFont="1" applyFill="1" applyBorder="1" applyAlignment="1">
      <alignment vertical="center" shrinkToFit="1"/>
    </xf>
    <xf numFmtId="0" fontId="8" fillId="7" borderId="17" xfId="0" applyFont="1" applyFill="1" applyBorder="1" applyAlignment="1">
      <alignment horizontal="center" vertical="center" shrinkToFit="1"/>
    </xf>
    <xf numFmtId="41" fontId="5" fillId="7" borderId="17" xfId="0" applyNumberFormat="1" applyFont="1" applyFill="1" applyBorder="1" applyAlignment="1">
      <alignment vertical="center" shrinkToFit="1"/>
    </xf>
    <xf numFmtId="41" fontId="5" fillId="7" borderId="20" xfId="0" applyNumberFormat="1" applyFont="1" applyFill="1" applyBorder="1" applyAlignment="1">
      <alignment vertical="center" shrinkToFit="1"/>
    </xf>
    <xf numFmtId="0" fontId="9" fillId="2" borderId="17" xfId="0" applyFont="1" applyFill="1" applyBorder="1" applyAlignment="1">
      <alignment horizontal="center" vertical="center" shrinkToFit="1"/>
    </xf>
    <xf numFmtId="41" fontId="10" fillId="2" borderId="17" xfId="0" applyNumberFormat="1" applyFont="1" applyFill="1" applyBorder="1" applyAlignment="1">
      <alignment vertical="center" shrinkToFit="1"/>
    </xf>
    <xf numFmtId="41" fontId="10" fillId="2" borderId="20" xfId="0" applyNumberFormat="1" applyFont="1" applyFill="1" applyBorder="1" applyAlignment="1">
      <alignment vertical="center" shrinkToFit="1"/>
    </xf>
    <xf numFmtId="0" fontId="8" fillId="4" borderId="17" xfId="0" applyFont="1" applyFill="1" applyBorder="1" applyAlignment="1">
      <alignment horizontal="center" vertical="center" shrinkToFit="1"/>
    </xf>
    <xf numFmtId="41" fontId="5" fillId="4" borderId="17" xfId="0" applyNumberFormat="1" applyFont="1" applyFill="1" applyBorder="1" applyAlignment="1">
      <alignment vertical="center" shrinkToFit="1"/>
    </xf>
    <xf numFmtId="41" fontId="5" fillId="4" borderId="20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right" vertical="center" indent="1" shrinkToFit="1"/>
    </xf>
    <xf numFmtId="41" fontId="2" fillId="4" borderId="16" xfId="0" applyNumberFormat="1" applyFont="1" applyFill="1" applyBorder="1" applyAlignment="1">
      <alignment vertical="center" shrinkToFit="1"/>
    </xf>
    <xf numFmtId="14" fontId="2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14" fontId="0" fillId="5" borderId="23" xfId="0" applyNumberFormat="1" applyFill="1" applyBorder="1" applyAlignment="1">
      <alignment horizontal="center" vertical="center" shrinkToFit="1"/>
    </xf>
    <xf numFmtId="0" fontId="0" fillId="5" borderId="24" xfId="0" applyFill="1" applyBorder="1" applyAlignment="1">
      <alignment horizontal="center" vertical="center" shrinkToFit="1"/>
    </xf>
    <xf numFmtId="0" fontId="5" fillId="5" borderId="24" xfId="0" applyFont="1" applyFill="1" applyBorder="1" applyAlignment="1">
      <alignment vertical="center" shrinkToFit="1"/>
    </xf>
    <xf numFmtId="41" fontId="0" fillId="5" borderId="24" xfId="0" applyNumberFormat="1" applyFill="1" applyBorder="1" applyAlignment="1">
      <alignment horizontal="center" vertical="center" shrinkToFit="1"/>
    </xf>
    <xf numFmtId="176" fontId="0" fillId="5" borderId="24" xfId="0" applyNumberFormat="1" applyFill="1" applyBorder="1" applyAlignment="1">
      <alignment horizontal="center" vertical="center" shrinkToFit="1"/>
    </xf>
    <xf numFmtId="41" fontId="0" fillId="5" borderId="24" xfId="0" applyNumberFormat="1" applyFill="1" applyBorder="1" applyAlignment="1">
      <alignment vertical="center" shrinkToFit="1"/>
    </xf>
    <xf numFmtId="0" fontId="0" fillId="5" borderId="25" xfId="0" applyFill="1" applyBorder="1" applyAlignment="1">
      <alignment horizontal="center" vertical="center" shrinkToFit="1"/>
    </xf>
    <xf numFmtId="0" fontId="0" fillId="5" borderId="23" xfId="0" applyFill="1" applyBorder="1" applyAlignment="1">
      <alignment horizontal="center" vertical="center" shrinkToFit="1"/>
    </xf>
    <xf numFmtId="14" fontId="0" fillId="2" borderId="33" xfId="0" applyNumberFormat="1" applyFill="1" applyBorder="1" applyAlignment="1">
      <alignment horizontal="center" vertical="center" shrinkToFit="1"/>
    </xf>
    <xf numFmtId="41" fontId="0" fillId="2" borderId="30" xfId="0" applyNumberFormat="1" applyFill="1" applyBorder="1" applyAlignment="1">
      <alignment vertical="center" shrinkToFit="1"/>
    </xf>
    <xf numFmtId="0" fontId="0" fillId="5" borderId="34" xfId="0" applyFill="1" applyBorder="1" applyAlignment="1">
      <alignment horizontal="center" vertical="center" shrinkToFit="1"/>
    </xf>
    <xf numFmtId="41" fontId="0" fillId="5" borderId="31" xfId="0" applyNumberFormat="1" applyFill="1" applyBorder="1" applyAlignment="1">
      <alignment vertical="center" shrinkToFit="1"/>
    </xf>
    <xf numFmtId="14" fontId="0" fillId="2" borderId="2" xfId="0" applyNumberFormat="1" applyFill="1" applyBorder="1" applyAlignment="1">
      <alignment horizontal="center" vertical="center" shrinkToFit="1"/>
    </xf>
    <xf numFmtId="178" fontId="0" fillId="2" borderId="3" xfId="0" applyNumberFormat="1" applyFill="1" applyBorder="1" applyAlignment="1">
      <alignment horizontal="center" vertical="center" shrinkToFit="1"/>
    </xf>
    <xf numFmtId="49" fontId="0" fillId="2" borderId="3" xfId="0" applyNumberFormat="1" applyFill="1" applyBorder="1" applyAlignment="1">
      <alignment horizontal="center" vertical="center" shrinkToFit="1"/>
    </xf>
    <xf numFmtId="0" fontId="0" fillId="5" borderId="25" xfId="0" applyFill="1" applyBorder="1" applyAlignment="1">
      <alignment vertical="center" shrinkToFit="1"/>
    </xf>
    <xf numFmtId="0" fontId="8" fillId="10" borderId="18" xfId="0" applyFont="1" applyFill="1" applyBorder="1" applyAlignment="1">
      <alignment horizontal="center" vertical="center" shrinkToFit="1"/>
    </xf>
    <xf numFmtId="41" fontId="5" fillId="10" borderId="17" xfId="0" applyNumberFormat="1" applyFont="1" applyFill="1" applyBorder="1" applyAlignment="1">
      <alignment vertical="center" shrinkToFit="1"/>
    </xf>
    <xf numFmtId="41" fontId="5" fillId="10" borderId="20" xfId="0" applyNumberFormat="1" applyFont="1" applyFill="1" applyBorder="1" applyAlignment="1">
      <alignment vertical="center" shrinkToFit="1"/>
    </xf>
    <xf numFmtId="0" fontId="2" fillId="10" borderId="17" xfId="0" applyFont="1" applyFill="1" applyBorder="1" applyAlignment="1">
      <alignment horizontal="right" vertical="center" indent="1" shrinkToFit="1"/>
    </xf>
    <xf numFmtId="41" fontId="2" fillId="10" borderId="17" xfId="0" applyNumberFormat="1" applyFont="1" applyFill="1" applyBorder="1" applyAlignment="1">
      <alignment vertical="center" shrinkToFit="1"/>
    </xf>
    <xf numFmtId="0" fontId="11" fillId="2" borderId="0" xfId="0" applyFont="1" applyFill="1">
      <alignment vertical="center"/>
    </xf>
    <xf numFmtId="0" fontId="11" fillId="11" borderId="37" xfId="0" applyFont="1" applyFill="1" applyBorder="1" applyAlignment="1">
      <alignment horizontal="right" vertical="center" indent="1"/>
    </xf>
    <xf numFmtId="41" fontId="11" fillId="11" borderId="36" xfId="0" applyNumberFormat="1" applyFont="1" applyFill="1" applyBorder="1">
      <alignment vertical="center"/>
    </xf>
    <xf numFmtId="0" fontId="13" fillId="2" borderId="0" xfId="0" applyFont="1" applyFill="1">
      <alignment vertical="center"/>
    </xf>
    <xf numFmtId="10" fontId="0" fillId="2" borderId="0" xfId="0" applyNumberForma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80" fontId="0" fillId="2" borderId="1" xfId="0" applyNumberFormat="1" applyFill="1" applyBorder="1" applyAlignment="1">
      <alignment vertical="center" shrinkToFit="1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/>
    <xf numFmtId="0" fontId="0" fillId="2" borderId="0" xfId="0" applyFill="1" applyAlignment="1">
      <alignment vertical="center" wrapText="1" shrinkToFit="1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4" fillId="2" borderId="0" xfId="0" applyFont="1" applyFill="1" applyAlignment="1">
      <alignment horizontal="right" vertical="center" indent="1"/>
    </xf>
    <xf numFmtId="41" fontId="14" fillId="2" borderId="0" xfId="0" applyNumberFormat="1" applyFont="1" applyFill="1">
      <alignment vertical="center"/>
    </xf>
    <xf numFmtId="41" fontId="15" fillId="2" borderId="0" xfId="0" applyNumberFormat="1" applyFont="1" applyFill="1">
      <alignment vertical="center"/>
    </xf>
    <xf numFmtId="10" fontId="14" fillId="2" borderId="0" xfId="0" applyNumberFormat="1" applyFont="1" applyFill="1" applyAlignment="1">
      <alignment horizontal="center" vertical="center"/>
    </xf>
    <xf numFmtId="181" fontId="0" fillId="2" borderId="0" xfId="0" applyNumberFormat="1" applyFill="1">
      <alignment vertical="center"/>
    </xf>
    <xf numFmtId="182" fontId="0" fillId="2" borderId="0" xfId="0" applyNumberFormat="1" applyFill="1">
      <alignment vertical="center"/>
    </xf>
    <xf numFmtId="183" fontId="0" fillId="2" borderId="0" xfId="0" applyNumberFormat="1" applyFill="1">
      <alignment vertical="center"/>
    </xf>
    <xf numFmtId="43" fontId="0" fillId="2" borderId="1" xfId="0" applyNumberFormat="1" applyFill="1" applyBorder="1" applyAlignment="1">
      <alignment horizontal="center" vertical="center" shrinkToFit="1"/>
    </xf>
    <xf numFmtId="43" fontId="0" fillId="2" borderId="1" xfId="0" applyNumberFormat="1" applyFill="1" applyBorder="1" applyAlignment="1">
      <alignment vertical="center" shrinkToFit="1"/>
    </xf>
    <xf numFmtId="0" fontId="0" fillId="2" borderId="3" xfId="0" applyFill="1" applyBorder="1" applyAlignment="1">
      <alignment vertical="center" shrinkToFit="1"/>
    </xf>
    <xf numFmtId="179" fontId="0" fillId="2" borderId="3" xfId="0" applyNumberFormat="1" applyFill="1" applyBorder="1" applyAlignment="1">
      <alignment vertical="center" shrinkToFit="1"/>
    </xf>
    <xf numFmtId="0" fontId="18" fillId="7" borderId="0" xfId="0" applyFont="1" applyFill="1" applyAlignment="1">
      <alignment horizontal="right" vertical="center" indent="1"/>
    </xf>
    <xf numFmtId="41" fontId="18" fillId="7" borderId="0" xfId="0" applyNumberFormat="1" applyFont="1" applyFill="1">
      <alignment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horizontal="right" vertical="center" indent="1"/>
    </xf>
    <xf numFmtId="41" fontId="18" fillId="2" borderId="0" xfId="0" applyNumberFormat="1" applyFont="1" applyFill="1">
      <alignment vertical="center"/>
    </xf>
    <xf numFmtId="41" fontId="19" fillId="2" borderId="0" xfId="0" applyNumberFormat="1" applyFont="1" applyFill="1">
      <alignment vertical="center"/>
    </xf>
    <xf numFmtId="10" fontId="18" fillId="2" borderId="0" xfId="0" applyNumberFormat="1" applyFont="1" applyFill="1" applyAlignment="1">
      <alignment horizontal="center" vertical="center"/>
    </xf>
    <xf numFmtId="0" fontId="18" fillId="4" borderId="39" xfId="0" applyFont="1" applyFill="1" applyBorder="1" applyAlignment="1">
      <alignment horizontal="right" vertical="center" indent="1"/>
    </xf>
    <xf numFmtId="41" fontId="18" fillId="4" borderId="40" xfId="0" applyNumberFormat="1" applyFont="1" applyFill="1" applyBorder="1">
      <alignment vertical="center"/>
    </xf>
    <xf numFmtId="41" fontId="19" fillId="4" borderId="41" xfId="0" applyNumberFormat="1" applyFont="1" applyFill="1" applyBorder="1">
      <alignment vertical="center"/>
    </xf>
    <xf numFmtId="0" fontId="18" fillId="9" borderId="39" xfId="0" applyFont="1" applyFill="1" applyBorder="1" applyAlignment="1">
      <alignment horizontal="right" vertical="center" indent="1" shrinkToFit="1"/>
    </xf>
    <xf numFmtId="41" fontId="18" fillId="9" borderId="40" xfId="0" applyNumberFormat="1" applyFont="1" applyFill="1" applyBorder="1">
      <alignment vertical="center"/>
    </xf>
    <xf numFmtId="41" fontId="19" fillId="9" borderId="41" xfId="0" applyNumberFormat="1" applyFont="1" applyFill="1" applyBorder="1">
      <alignment vertical="center"/>
    </xf>
    <xf numFmtId="0" fontId="18" fillId="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right" vertical="center" wrapText="1" indent="1"/>
    </xf>
    <xf numFmtId="41" fontId="0" fillId="2" borderId="30" xfId="0" applyNumberFormat="1" applyFill="1" applyBorder="1" applyAlignment="1">
      <alignment horizontal="center" vertical="center" shrinkToFit="1"/>
    </xf>
    <xf numFmtId="41" fontId="0" fillId="5" borderId="34" xfId="0" applyNumberFormat="1" applyFill="1" applyBorder="1" applyAlignment="1">
      <alignment vertical="center" shrinkToFit="1"/>
    </xf>
    <xf numFmtId="41" fontId="0" fillId="5" borderId="31" xfId="0" applyNumberFormat="1" applyFill="1" applyBorder="1" applyAlignment="1">
      <alignment horizontal="center" vertical="center" shrinkToFit="1"/>
    </xf>
    <xf numFmtId="0" fontId="8" fillId="12" borderId="17" xfId="0" applyFont="1" applyFill="1" applyBorder="1" applyAlignment="1">
      <alignment horizontal="center" vertical="center" shrinkToFit="1"/>
    </xf>
    <xf numFmtId="41" fontId="5" fillId="12" borderId="17" xfId="0" applyNumberFormat="1" applyFont="1" applyFill="1" applyBorder="1" applyAlignment="1">
      <alignment vertical="center" shrinkToFit="1"/>
    </xf>
    <xf numFmtId="41" fontId="8" fillId="12" borderId="17" xfId="0" applyNumberFormat="1" applyFont="1" applyFill="1" applyBorder="1" applyAlignment="1">
      <alignment vertical="center" shrinkToFit="1"/>
    </xf>
    <xf numFmtId="41" fontId="8" fillId="12" borderId="20" xfId="0" applyNumberFormat="1" applyFont="1" applyFill="1" applyBorder="1" applyAlignment="1">
      <alignment vertical="center" shrinkToFit="1"/>
    </xf>
    <xf numFmtId="0" fontId="20" fillId="2" borderId="0" xfId="2" applyFill="1">
      <alignment vertical="center"/>
    </xf>
    <xf numFmtId="0" fontId="21" fillId="2" borderId="0" xfId="0" applyFont="1" applyFill="1" applyAlignment="1">
      <alignment vertical="center" shrinkToFit="1"/>
    </xf>
    <xf numFmtId="0" fontId="17" fillId="2" borderId="2" xfId="0" applyFont="1" applyFill="1" applyBorder="1">
      <alignment vertical="center"/>
    </xf>
    <xf numFmtId="0" fontId="17" fillId="5" borderId="2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shrinkToFit="1"/>
    </xf>
    <xf numFmtId="0" fontId="22" fillId="2" borderId="0" xfId="0" applyFont="1" applyFill="1" applyAlignment="1">
      <alignment horizontal="center" vertical="center" shrinkToFit="1"/>
    </xf>
    <xf numFmtId="0" fontId="24" fillId="5" borderId="2" xfId="0" applyFont="1" applyFill="1" applyBorder="1" applyAlignment="1">
      <alignment horizontal="left" vertical="top" indent="1"/>
    </xf>
    <xf numFmtId="0" fontId="24" fillId="5" borderId="0" xfId="0" applyFont="1" applyFill="1" applyAlignment="1">
      <alignment vertical="top" wrapText="1" shrinkToFit="1"/>
    </xf>
    <xf numFmtId="177" fontId="25" fillId="5" borderId="0" xfId="0" applyNumberFormat="1" applyFont="1" applyFill="1" applyAlignment="1">
      <alignment horizontal="right" vertical="center" indent="1" shrinkToFit="1"/>
    </xf>
    <xf numFmtId="0" fontId="21" fillId="5" borderId="0" xfId="0" applyFont="1" applyFill="1" applyAlignment="1">
      <alignment vertical="center" shrinkToFit="1"/>
    </xf>
    <xf numFmtId="0" fontId="21" fillId="2" borderId="0" xfId="0" applyFont="1" applyFill="1" applyAlignment="1">
      <alignment horizontal="center" vertical="center" shrinkToFit="1"/>
    </xf>
    <xf numFmtId="0" fontId="24" fillId="5" borderId="25" xfId="0" applyFont="1" applyFill="1" applyBorder="1" applyAlignment="1">
      <alignment vertical="top" wrapText="1" shrinkToFit="1"/>
    </xf>
    <xf numFmtId="0" fontId="24" fillId="5" borderId="35" xfId="0" applyFont="1" applyFill="1" applyBorder="1" applyAlignment="1">
      <alignment vertical="top" wrapText="1" shrinkToFit="1"/>
    </xf>
    <xf numFmtId="177" fontId="26" fillId="5" borderId="0" xfId="0" applyNumberFormat="1" applyFont="1" applyFill="1" applyAlignment="1">
      <alignment horizontal="right" vertical="center" indent="1" shrinkToFit="1"/>
    </xf>
    <xf numFmtId="0" fontId="27" fillId="5" borderId="0" xfId="0" applyFont="1" applyFill="1" applyAlignment="1">
      <alignment horizontal="center" vertical="center" shrinkToFit="1"/>
    </xf>
    <xf numFmtId="0" fontId="27" fillId="2" borderId="0" xfId="0" applyFont="1" applyFill="1" applyAlignment="1">
      <alignment horizontal="center" vertical="center" shrinkToFit="1"/>
    </xf>
    <xf numFmtId="176" fontId="28" fillId="3" borderId="22" xfId="0" applyNumberFormat="1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right" vertical="center" shrinkToFit="1"/>
    </xf>
    <xf numFmtId="41" fontId="28" fillId="3" borderId="22" xfId="0" applyNumberFormat="1" applyFont="1" applyFill="1" applyBorder="1" applyAlignment="1">
      <alignment vertical="center" shrinkToFit="1"/>
    </xf>
    <xf numFmtId="0" fontId="28" fillId="2" borderId="0" xfId="0" applyFont="1" applyFill="1" applyAlignment="1">
      <alignment horizontal="center" vertical="center" shrinkToFit="1"/>
    </xf>
    <xf numFmtId="14" fontId="26" fillId="5" borderId="26" xfId="0" applyNumberFormat="1" applyFont="1" applyFill="1" applyBorder="1" applyAlignment="1">
      <alignment horizontal="center" vertical="top" wrapText="1" shrinkToFit="1"/>
    </xf>
    <xf numFmtId="0" fontId="26" fillId="5" borderId="27" xfId="0" applyFont="1" applyFill="1" applyBorder="1" applyAlignment="1">
      <alignment horizontal="center" vertical="top" wrapText="1" shrinkToFit="1"/>
    </xf>
    <xf numFmtId="0" fontId="26" fillId="5" borderId="27" xfId="0" applyFont="1" applyFill="1" applyBorder="1" applyAlignment="1">
      <alignment horizontal="center" vertical="top" shrinkToFit="1"/>
    </xf>
    <xf numFmtId="0" fontId="26" fillId="5" borderId="28" xfId="0" applyFont="1" applyFill="1" applyBorder="1" applyAlignment="1">
      <alignment horizontal="center" vertical="top" shrinkToFit="1"/>
    </xf>
    <xf numFmtId="0" fontId="26" fillId="5" borderId="32" xfId="0" applyFont="1" applyFill="1" applyBorder="1" applyAlignment="1">
      <alignment horizontal="center" vertical="top" wrapText="1" shrinkToFit="1"/>
    </xf>
    <xf numFmtId="0" fontId="26" fillId="5" borderId="29" xfId="0" applyFont="1" applyFill="1" applyBorder="1" applyAlignment="1">
      <alignment horizontal="center" vertical="top" wrapText="1" shrinkToFit="1"/>
    </xf>
    <xf numFmtId="0" fontId="26" fillId="5" borderId="28" xfId="0" applyFont="1" applyFill="1" applyBorder="1" applyAlignment="1">
      <alignment horizontal="center" vertical="top" wrapText="1" shrinkToFit="1"/>
    </xf>
    <xf numFmtId="0" fontId="27" fillId="5" borderId="26" xfId="0" applyFont="1" applyFill="1" applyBorder="1" applyAlignment="1">
      <alignment horizontal="center" vertical="top" wrapText="1" shrinkToFit="1"/>
    </xf>
    <xf numFmtId="0" fontId="26" fillId="5" borderId="26" xfId="0" applyFont="1" applyFill="1" applyBorder="1" applyAlignment="1">
      <alignment horizontal="center" vertical="top" shrinkToFit="1"/>
    </xf>
    <xf numFmtId="0" fontId="26" fillId="5" borderId="28" xfId="0" applyFont="1" applyFill="1" applyBorder="1" applyAlignment="1">
      <alignment horizontal="left" vertical="top" indent="2" shrinkToFit="1"/>
    </xf>
    <xf numFmtId="0" fontId="21" fillId="2" borderId="0" xfId="0" applyFont="1" applyFill="1" applyAlignment="1">
      <alignment horizontal="center" vertical="top" shrinkToFit="1"/>
    </xf>
    <xf numFmtId="0" fontId="23" fillId="2" borderId="0" xfId="0" applyFont="1" applyFill="1" applyAlignment="1">
      <alignment horizontal="right"/>
    </xf>
    <xf numFmtId="0" fontId="18" fillId="9" borderId="39" xfId="0" applyFont="1" applyFill="1" applyBorder="1" applyAlignment="1">
      <alignment horizontal="right" vertical="center" indent="1"/>
    </xf>
    <xf numFmtId="0" fontId="29" fillId="2" borderId="0" xfId="0" applyFont="1" applyFill="1" applyAlignment="1"/>
    <xf numFmtId="0" fontId="0" fillId="2" borderId="33" xfId="0" applyFill="1" applyBorder="1" applyAlignment="1">
      <alignment horizontal="center" vertical="center" shrinkToFit="1"/>
    </xf>
    <xf numFmtId="0" fontId="0" fillId="5" borderId="35" xfId="0" applyFill="1" applyBorder="1" applyAlignment="1">
      <alignment horizontal="center" vertical="center" shrinkToFit="1"/>
    </xf>
    <xf numFmtId="0" fontId="26" fillId="5" borderId="26" xfId="0" applyFont="1" applyFill="1" applyBorder="1" applyAlignment="1">
      <alignment horizontal="center" vertical="top" wrapText="1" shrinkToFit="1"/>
    </xf>
    <xf numFmtId="14" fontId="0" fillId="2" borderId="3" xfId="0" applyNumberFormat="1" applyFill="1" applyBorder="1" applyAlignment="1">
      <alignment horizontal="center" vertical="center" shrinkToFit="1"/>
    </xf>
    <xf numFmtId="0" fontId="26" fillId="8" borderId="43" xfId="0" applyFont="1" applyFill="1" applyBorder="1" applyAlignment="1">
      <alignment horizontal="center" vertical="top" shrinkToFit="1"/>
    </xf>
    <xf numFmtId="41" fontId="0" fillId="2" borderId="44" xfId="0" applyNumberFormat="1" applyFill="1" applyBorder="1" applyAlignment="1">
      <alignment horizontal="center" vertical="center" shrinkToFit="1"/>
    </xf>
    <xf numFmtId="41" fontId="0" fillId="5" borderId="45" xfId="0" applyNumberFormat="1" applyFill="1" applyBorder="1" applyAlignment="1">
      <alignment horizontal="center" vertical="center" shrinkToFit="1"/>
    </xf>
    <xf numFmtId="0" fontId="32" fillId="5" borderId="42" xfId="0" applyFont="1" applyFill="1" applyBorder="1" applyAlignment="1">
      <alignment horizontal="center" vertical="top" wrapText="1" shrinkToFit="1"/>
    </xf>
    <xf numFmtId="0" fontId="0" fillId="2" borderId="0" xfId="0" applyFill="1" applyAlignment="1">
      <alignment horizontal="center" vertical="center"/>
    </xf>
    <xf numFmtId="41" fontId="33" fillId="2" borderId="0" xfId="0" applyNumberFormat="1" applyFont="1" applyFill="1">
      <alignment vertical="center"/>
    </xf>
    <xf numFmtId="178" fontId="18" fillId="9" borderId="40" xfId="0" applyNumberFormat="1" applyFont="1" applyFill="1" applyBorder="1" applyAlignment="1">
      <alignment horizontal="center" vertical="center"/>
    </xf>
    <xf numFmtId="178" fontId="19" fillId="9" borderId="41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horizontal="right" vertical="center" indent="1"/>
    </xf>
    <xf numFmtId="0" fontId="18" fillId="13" borderId="46" xfId="0" applyFont="1" applyFill="1" applyBorder="1" applyAlignment="1">
      <alignment horizontal="right" vertical="center" indent="1"/>
    </xf>
    <xf numFmtId="41" fontId="18" fillId="13" borderId="22" xfId="0" applyNumberFormat="1" applyFont="1" applyFill="1" applyBorder="1">
      <alignment vertical="center"/>
    </xf>
    <xf numFmtId="184" fontId="18" fillId="13" borderId="22" xfId="0" applyNumberFormat="1" applyFont="1" applyFill="1" applyBorder="1">
      <alignment vertical="center"/>
    </xf>
    <xf numFmtId="41" fontId="19" fillId="13" borderId="47" xfId="0" applyNumberFormat="1" applyFont="1" applyFill="1" applyBorder="1">
      <alignment vertical="center"/>
    </xf>
    <xf numFmtId="0" fontId="18" fillId="13" borderId="48" xfId="0" applyFont="1" applyFill="1" applyBorder="1" applyAlignment="1">
      <alignment horizontal="right" vertical="center" indent="1"/>
    </xf>
    <xf numFmtId="41" fontId="18" fillId="13" borderId="49" xfId="0" applyNumberFormat="1" applyFont="1" applyFill="1" applyBorder="1">
      <alignment vertical="center"/>
    </xf>
    <xf numFmtId="42" fontId="18" fillId="13" borderId="49" xfId="0" applyNumberFormat="1" applyFont="1" applyFill="1" applyBorder="1">
      <alignment vertical="center"/>
    </xf>
    <xf numFmtId="41" fontId="19" fillId="13" borderId="50" xfId="0" applyNumberFormat="1" applyFont="1" applyFill="1" applyBorder="1">
      <alignment vertical="center"/>
    </xf>
    <xf numFmtId="0" fontId="35" fillId="2" borderId="3" xfId="0" applyFont="1" applyFill="1" applyBorder="1" applyAlignment="1">
      <alignment vertical="center" shrinkToFit="1"/>
    </xf>
    <xf numFmtId="41" fontId="13" fillId="2" borderId="0" xfId="0" applyNumberFormat="1" applyFont="1" applyFill="1">
      <alignment vertical="center"/>
    </xf>
    <xf numFmtId="0" fontId="1" fillId="2" borderId="3" xfId="0" applyFont="1" applyFill="1" applyBorder="1" applyAlignment="1">
      <alignment vertical="center" shrinkToFit="1"/>
    </xf>
    <xf numFmtId="0" fontId="8" fillId="2" borderId="3" xfId="0" applyFont="1" applyFill="1" applyBorder="1" applyAlignment="1">
      <alignment vertical="center" shrinkToFit="1"/>
    </xf>
    <xf numFmtId="0" fontId="0" fillId="3" borderId="1" xfId="0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4" fillId="7" borderId="0" xfId="0" applyFont="1" applyFill="1" applyAlignment="1">
      <alignment horizontal="right" vertical="center" indent="1"/>
    </xf>
    <xf numFmtId="0" fontId="14" fillId="7" borderId="0" xfId="0" applyFont="1" applyFill="1" applyAlignment="1">
      <alignment horizontal="center" vertical="center"/>
    </xf>
    <xf numFmtId="41" fontId="14" fillId="11" borderId="36" xfId="0" applyNumberFormat="1" applyFont="1" applyFill="1" applyBorder="1">
      <alignment vertical="center"/>
    </xf>
    <xf numFmtId="10" fontId="14" fillId="11" borderId="38" xfId="0" applyNumberFormat="1" applyFont="1" applyFill="1" applyBorder="1" applyAlignment="1">
      <alignment horizontal="center" vertical="center"/>
    </xf>
    <xf numFmtId="41" fontId="15" fillId="3" borderId="0" xfId="0" applyNumberFormat="1" applyFont="1" applyFill="1">
      <alignment vertical="center"/>
    </xf>
    <xf numFmtId="10" fontId="14" fillId="7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 indent="1"/>
    </xf>
    <xf numFmtId="41" fontId="37" fillId="2" borderId="0" xfId="0" applyNumberFormat="1" applyFont="1" applyFill="1" applyAlignment="1">
      <alignment horizontal="center" vertical="center" shrinkToFit="1"/>
    </xf>
    <xf numFmtId="41" fontId="37" fillId="2" borderId="0" xfId="0" applyNumberFormat="1" applyFont="1" applyFill="1" applyAlignment="1">
      <alignment vertical="center" shrinkToFit="1"/>
    </xf>
    <xf numFmtId="10" fontId="11" fillId="2" borderId="0" xfId="0" applyNumberFormat="1" applyFont="1" applyFill="1" applyAlignment="1">
      <alignment horizontal="center" vertical="center"/>
    </xf>
    <xf numFmtId="41" fontId="11" fillId="2" borderId="0" xfId="0" applyNumberFormat="1" applyFont="1" applyFill="1">
      <alignment vertical="center"/>
    </xf>
    <xf numFmtId="41" fontId="36" fillId="2" borderId="0" xfId="0" applyNumberFormat="1" applyFont="1" applyFill="1">
      <alignment vertical="center"/>
    </xf>
    <xf numFmtId="0" fontId="8" fillId="2" borderId="33" xfId="0" applyFont="1" applyFill="1" applyBorder="1" applyAlignment="1">
      <alignment horizontal="center" vertical="center" shrinkToFit="1"/>
    </xf>
    <xf numFmtId="0" fontId="2" fillId="4" borderId="16" xfId="0" applyFont="1" applyFill="1" applyBorder="1" applyAlignment="1">
      <alignment horizontal="right" vertical="center" indent="1" shrinkToFit="1"/>
    </xf>
    <xf numFmtId="0" fontId="2" fillId="10" borderId="17" xfId="0" applyFont="1" applyFill="1" applyBorder="1" applyAlignment="1">
      <alignment horizontal="right" vertical="center" indent="1" shrinkToFit="1"/>
    </xf>
    <xf numFmtId="0" fontId="6" fillId="3" borderId="18" xfId="0" applyFont="1" applyFill="1" applyBorder="1" applyAlignment="1">
      <alignment horizontal="right" vertical="center" indent="1" shrinkToFit="1"/>
    </xf>
  </cellXfs>
  <cellStyles count="3">
    <cellStyle name="표준" xfId="0" builtinId="0"/>
    <cellStyle name="표준 12" xfId="1" xr:uid="{EBFFE967-E616-4A6E-A033-2B460E63ADD9}"/>
    <cellStyle name="하이퍼링크" xfId="2" builtinId="8"/>
  </cellStyles>
  <dxfs count="12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&#12828;&#47700;&#52852;&#51204;&#51088;/GIC%20CSP24-0913-1&#54840;%20NVRCTMMSR%203&#51333;&#49373;&#49328;/ZEUSCPU&#49373;&#49328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FDDF-4218-414B-8AD6-333FCEAD444B}">
  <sheetPr>
    <tabColor theme="4"/>
  </sheetPr>
  <dimension ref="A1:AF67"/>
  <sheetViews>
    <sheetView zoomScale="85" zoomScaleNormal="85" workbookViewId="0">
      <pane ySplit="2" topLeftCell="A15" activePane="bottomLeft" state="frozen"/>
      <selection pane="bottomLeft" activeCell="M42" sqref="M42"/>
    </sheetView>
  </sheetViews>
  <sheetFormatPr defaultColWidth="9.33203125" defaultRowHeight="20.149999999999999" customHeight="1" outlineLevelCol="1" x14ac:dyDescent="0.3"/>
  <cols>
    <col min="1" max="1" width="6.77734375" style="82" customWidth="1"/>
    <col min="2" max="2" width="30.77734375" style="77" customWidth="1" outlineLevel="1"/>
    <col min="3" max="20" width="16.77734375" style="77" customWidth="1" outlineLevel="1"/>
    <col min="21" max="21" width="18.77734375" style="77" customWidth="1" outlineLevel="1"/>
    <col min="22" max="22" width="15.77734375" style="77" customWidth="1" outlineLevel="1"/>
    <col min="23" max="23" width="6.77734375" style="77" customWidth="1"/>
    <col min="24" max="24" width="30.77734375" style="77" customWidth="1"/>
    <col min="25" max="30" width="16.77734375" style="77" customWidth="1"/>
    <col min="31" max="31" width="18.77734375" style="77" customWidth="1"/>
    <col min="32" max="32" width="15.77734375" style="77" customWidth="1"/>
    <col min="33" max="16384" width="9.33203125" style="77"/>
  </cols>
  <sheetData>
    <row r="1" spans="1:32" s="86" customFormat="1" ht="35.15" customHeight="1" x14ac:dyDescent="0.55000000000000004">
      <c r="A1" s="85"/>
      <c r="B1" s="156" t="s">
        <v>637</v>
      </c>
      <c r="U1" s="154" t="s">
        <v>477</v>
      </c>
      <c r="X1" s="156" t="s">
        <v>638</v>
      </c>
      <c r="AE1" s="154" t="s">
        <v>477</v>
      </c>
    </row>
    <row r="2" spans="1:32" s="103" customFormat="1" ht="65" customHeight="1" x14ac:dyDescent="0.3">
      <c r="A2" s="114"/>
      <c r="B2" s="169" t="s">
        <v>846</v>
      </c>
      <c r="C2" s="115" t="s">
        <v>138</v>
      </c>
      <c r="D2" s="115" t="s">
        <v>284</v>
      </c>
      <c r="E2" s="115" t="s">
        <v>70</v>
      </c>
      <c r="F2" s="115" t="s">
        <v>9</v>
      </c>
      <c r="G2" s="115" t="s">
        <v>105</v>
      </c>
      <c r="H2" s="115" t="s">
        <v>109</v>
      </c>
      <c r="I2" s="115" t="s">
        <v>98</v>
      </c>
      <c r="J2" s="115" t="s">
        <v>285</v>
      </c>
      <c r="K2" s="115" t="s">
        <v>615</v>
      </c>
      <c r="L2" s="115" t="s">
        <v>616</v>
      </c>
      <c r="M2" s="115" t="s">
        <v>683</v>
      </c>
      <c r="N2" s="115" t="s">
        <v>723</v>
      </c>
      <c r="O2" s="115" t="s">
        <v>747</v>
      </c>
      <c r="P2" s="115" t="s">
        <v>855</v>
      </c>
      <c r="Q2" s="115" t="s">
        <v>837</v>
      </c>
      <c r="R2" s="115" t="s">
        <v>856</v>
      </c>
      <c r="S2" s="115" t="s">
        <v>875</v>
      </c>
      <c r="T2" s="115" t="s">
        <v>282</v>
      </c>
      <c r="U2" s="184" t="s">
        <v>275</v>
      </c>
      <c r="V2" s="185" t="s">
        <v>281</v>
      </c>
      <c r="X2" s="169" t="s">
        <v>847</v>
      </c>
      <c r="Y2" s="101" t="s">
        <v>278</v>
      </c>
      <c r="Z2" s="101" t="s">
        <v>179</v>
      </c>
      <c r="AA2" s="101" t="s">
        <v>279</v>
      </c>
      <c r="AB2" s="101" t="s">
        <v>459</v>
      </c>
      <c r="AC2" s="101" t="s">
        <v>189</v>
      </c>
      <c r="AD2" s="101" t="s">
        <v>215</v>
      </c>
      <c r="AE2" s="184" t="s">
        <v>275</v>
      </c>
      <c r="AF2" s="185" t="s">
        <v>281</v>
      </c>
    </row>
    <row r="3" spans="1:32" ht="20.149999999999999" customHeight="1" x14ac:dyDescent="0.3">
      <c r="A3" s="82">
        <v>1</v>
      </c>
      <c r="B3" s="78" t="s">
        <v>748</v>
      </c>
      <c r="C3" s="79">
        <f>SUMIFS('구매 입고 현황'!$U$4:$U$189,'구매 입고 현황'!$E$4:$E$189,$B3,'구매 입고 현황'!$H$4:$H$189,C$2)</f>
        <v>0</v>
      </c>
      <c r="D3" s="79">
        <f>SUMIFS('구매 입고 현황'!$U$4:$U$189,'구매 입고 현황'!$E$4:$E$189,$B3,'구매 입고 현황'!$H$4:$H$189,D$2)</f>
        <v>0</v>
      </c>
      <c r="E3" s="79">
        <f>SUMIFS('구매 입고 현황'!$U$4:$U$189,'구매 입고 현황'!$E$4:$E$189,$B3,'구매 입고 현황'!$H$4:$H$189,E$2)</f>
        <v>0</v>
      </c>
      <c r="F3" s="79">
        <f>SUMIFS('구매 입고 현황'!$U$4:$U$189,'구매 입고 현황'!$E$4:$E$189,$B3,'구매 입고 현황'!$H$4:$H$189,F$2)</f>
        <v>0</v>
      </c>
      <c r="G3" s="79">
        <f>SUMIFS('구매 입고 현황'!$U$4:$U$189,'구매 입고 현황'!$E$4:$E$189,$B3,'구매 입고 현황'!$H$4:$H$189,G$2)</f>
        <v>800000</v>
      </c>
      <c r="H3" s="79">
        <f>SUMIFS('구매 입고 현황'!$U$4:$U$189,'구매 입고 현황'!$E$4:$E$189,$B3,'구매 입고 현황'!$H$4:$H$189,H$2)</f>
        <v>0</v>
      </c>
      <c r="I3" s="79">
        <f>SUMIFS('구매 입고 현황'!$U$4:$U$189,'구매 입고 현황'!$E$4:$E$189,$B3,'구매 입고 현황'!$H$4:$H$189,I$2)</f>
        <v>0</v>
      </c>
      <c r="J3" s="79">
        <f>SUMIFS('구매 입고 현황'!$U$4:$U$189,'구매 입고 현황'!$E$4:$E$189,$B3,'구매 입고 현황'!$H$4:$H$189,J$2)</f>
        <v>0</v>
      </c>
      <c r="K3" s="79">
        <f>SUMIFS('구매 입고 현황'!$U$4:$U$189,'구매 입고 현황'!$E$4:$E$189,$B3,'구매 입고 현황'!$H$4:$H$189,K$2)</f>
        <v>0</v>
      </c>
      <c r="L3" s="79">
        <f>SUMIFS('구매 입고 현황'!$U$4:$U$189,'구매 입고 현황'!$E$4:$E$189,$B3,'구매 입고 현황'!$H$4:$H$189,L$2)</f>
        <v>0</v>
      </c>
      <c r="M3" s="79">
        <f>SUMIFS('구매 입고 현황'!$U$4:$U$189,'구매 입고 현황'!$E$4:$E$189,$B3,'구매 입고 현황'!$H$4:$H$189,M$2)</f>
        <v>0</v>
      </c>
      <c r="N3" s="79">
        <f>SUMIFS('구매 입고 현황'!$U$4:$U$189,'구매 입고 현황'!$E$4:$E$189,$B3,'구매 입고 현황'!$H$4:$H$189,N$2)</f>
        <v>0</v>
      </c>
      <c r="O3" s="79">
        <f>SUMIFS('구매 입고 현황'!$U$4:$U$189,'구매 입고 현황'!$E$4:$E$189,$B3,'구매 입고 현황'!$H$4:$H$189,O$2)</f>
        <v>0</v>
      </c>
      <c r="P3" s="79">
        <f>SUMIFS('구매 입고 현황'!$U$4:$U$189,'구매 입고 현황'!$E$4:$E$189,$B3,'구매 입고 현황'!$H$4:$H$189,P$2)</f>
        <v>0</v>
      </c>
      <c r="Q3" s="79">
        <f>SUMIFS('구매 입고 현황'!$U$4:$U$189,'구매 입고 현황'!$E$4:$E$189,$B3,'구매 입고 현황'!$H$4:$H$189,Q$2)</f>
        <v>0</v>
      </c>
      <c r="R3" s="79">
        <f>SUMIFS('구매 입고 현황'!$U$4:$U$189,'구매 입고 현황'!$E$4:$E$189,$B3,'구매 입고 현황'!$H$4:$H$189,R$2)</f>
        <v>0</v>
      </c>
      <c r="S3" s="79">
        <f>SUMIFS('구매 입고 현황'!$U$4:$U$189,'구매 입고 현황'!$E$4:$E$189,$B3,'구매 입고 현황'!$H$4:$H$189,S$2)</f>
        <v>0</v>
      </c>
      <c r="T3" s="79">
        <f>SUMIFS('구매 입고 현황'!$U$4:$U$189,'구매 입고 현황'!$E$4:$E$189,$B3,'구매 입고 현황'!$H$4:$H$189,T$2)</f>
        <v>0</v>
      </c>
      <c r="U3" s="186">
        <f t="shared" ref="U3:U45" si="0">SUM(C3:T3)</f>
        <v>800000</v>
      </c>
      <c r="V3" s="187">
        <f t="shared" ref="V3:V23" si="1">U3/$U$46</f>
        <v>1.1551975988579038E-3</v>
      </c>
      <c r="W3" s="82">
        <v>1</v>
      </c>
      <c r="X3" s="78" t="s">
        <v>748</v>
      </c>
      <c r="Y3" s="79">
        <f>SUMIFS('구매 입고 현황'!$U$4:$U$189,'구매 입고 현황'!$E$4:$E$189,$X3,'구매 입고 현황'!$L$4:$L$189,Y$2)</f>
        <v>0</v>
      </c>
      <c r="Z3" s="79">
        <f>SUMIFS('구매 입고 현황'!$U$4:$U$189,'구매 입고 현황'!$E$4:$E$189,$X3,'구매 입고 현황'!$L$4:$L$189,Z$2)</f>
        <v>0</v>
      </c>
      <c r="AA3" s="79">
        <f>SUMIFS('구매 입고 현황'!$U$4:$U$189,'구매 입고 현황'!$E$4:$E$189,$X3,'구매 입고 현황'!$L$4:$L$189,AA$2)</f>
        <v>0</v>
      </c>
      <c r="AB3" s="79">
        <f>SUMIFS('구매 입고 현황'!$U$4:$U$189,'구매 입고 현황'!$E$4:$E$189,$X3,'구매 입고 현황'!$L$4:$L$189,AB$2)</f>
        <v>0</v>
      </c>
      <c r="AC3" s="79">
        <f>SUMIFS('구매 입고 현황'!$U$4:$U$189,'구매 입고 현황'!$E$4:$E$189,$X3,'구매 입고 현황'!$L$4:$L$189,AC$2)</f>
        <v>0</v>
      </c>
      <c r="AD3" s="79">
        <f>SUMIFS('구매 입고 현황'!$U$4:$U$189,'구매 입고 현황'!$E$4:$E$189,$X3,'구매 입고 현황'!$L$4:$L$189,AD$2)</f>
        <v>800000</v>
      </c>
      <c r="AE3" s="186">
        <f>SUM(Y3:AD3)</f>
        <v>800000</v>
      </c>
      <c r="AF3" s="187">
        <f t="shared" ref="AF3:AF33" si="2">AE3/$AE$46</f>
        <v>1.1498627389790943E-3</v>
      </c>
    </row>
    <row r="4" spans="1:32" ht="20.149999999999999" customHeight="1" x14ac:dyDescent="0.3">
      <c r="A4" s="82">
        <v>2</v>
      </c>
      <c r="B4" s="78" t="s">
        <v>749</v>
      </c>
      <c r="C4" s="79">
        <f>SUMIFS('구매 입고 현황'!$U$4:$U$189,'구매 입고 현황'!$E$4:$E$189,$B4,'구매 입고 현황'!$H$4:$H$189,C$2)</f>
        <v>0</v>
      </c>
      <c r="D4" s="79">
        <f>SUMIFS('구매 입고 현황'!$U$4:$U$189,'구매 입고 현황'!$E$4:$E$189,$B4,'구매 입고 현황'!$H$4:$H$189,D$2)</f>
        <v>0</v>
      </c>
      <c r="E4" s="79">
        <f>SUMIFS('구매 입고 현황'!$U$4:$U$189,'구매 입고 현황'!$E$4:$E$189,$B4,'구매 입고 현황'!$H$4:$H$189,E$2)</f>
        <v>0</v>
      </c>
      <c r="F4" s="79">
        <f>SUMIFS('구매 입고 현황'!$U$4:$U$189,'구매 입고 현황'!$E$4:$E$189,$B4,'구매 입고 현황'!$H$4:$H$189,F$2)</f>
        <v>0</v>
      </c>
      <c r="G4" s="79">
        <f>SUMIFS('구매 입고 현황'!$U$4:$U$189,'구매 입고 현황'!$E$4:$E$189,$B4,'구매 입고 현황'!$H$4:$H$189,G$2)</f>
        <v>5400000</v>
      </c>
      <c r="H4" s="79">
        <f>SUMIFS('구매 입고 현황'!$U$4:$U$189,'구매 입고 현황'!$E$4:$E$189,$B4,'구매 입고 현황'!$H$4:$H$189,H$2)</f>
        <v>0</v>
      </c>
      <c r="I4" s="79">
        <f>SUMIFS('구매 입고 현황'!$U$4:$U$189,'구매 입고 현황'!$E$4:$E$189,$B4,'구매 입고 현황'!$H$4:$H$189,I$2)</f>
        <v>0</v>
      </c>
      <c r="J4" s="79">
        <f>SUMIFS('구매 입고 현황'!$U$4:$U$189,'구매 입고 현황'!$E$4:$E$189,$B4,'구매 입고 현황'!$H$4:$H$189,J$2)</f>
        <v>0</v>
      </c>
      <c r="K4" s="79">
        <f>SUMIFS('구매 입고 현황'!$U$4:$U$189,'구매 입고 현황'!$E$4:$E$189,$B4,'구매 입고 현황'!$H$4:$H$189,K$2)</f>
        <v>0</v>
      </c>
      <c r="L4" s="79">
        <f>SUMIFS('구매 입고 현황'!$U$4:$U$189,'구매 입고 현황'!$E$4:$E$189,$B4,'구매 입고 현황'!$H$4:$H$189,L$2)</f>
        <v>0</v>
      </c>
      <c r="M4" s="79">
        <f>SUMIFS('구매 입고 현황'!$U$4:$U$189,'구매 입고 현황'!$E$4:$E$189,$B4,'구매 입고 현황'!$H$4:$H$189,M$2)</f>
        <v>0</v>
      </c>
      <c r="N4" s="79">
        <f>SUMIFS('구매 입고 현황'!$U$4:$U$189,'구매 입고 현황'!$E$4:$E$189,$B4,'구매 입고 현황'!$H$4:$H$189,N$2)</f>
        <v>0</v>
      </c>
      <c r="O4" s="79">
        <f>SUMIFS('구매 입고 현황'!$U$4:$U$189,'구매 입고 현황'!$E$4:$E$189,$B4,'구매 입고 현황'!$H$4:$H$189,O$2)</f>
        <v>0</v>
      </c>
      <c r="P4" s="79">
        <f>SUMIFS('구매 입고 현황'!$U$4:$U$189,'구매 입고 현황'!$E$4:$E$189,$B4,'구매 입고 현황'!$H$4:$H$189,P$2)</f>
        <v>0</v>
      </c>
      <c r="Q4" s="79">
        <f>SUMIFS('구매 입고 현황'!$U$4:$U$189,'구매 입고 현황'!$E$4:$E$189,$B4,'구매 입고 현황'!$H$4:$H$189,Q$2)</f>
        <v>0</v>
      </c>
      <c r="R4" s="79">
        <f>SUMIFS('구매 입고 현황'!$U$4:$U$189,'구매 입고 현황'!$E$4:$E$189,$B4,'구매 입고 현황'!$H$4:$H$189,R$2)</f>
        <v>0</v>
      </c>
      <c r="S4" s="79">
        <f>SUMIFS('구매 입고 현황'!$U$4:$U$189,'구매 입고 현황'!$E$4:$E$189,$B4,'구매 입고 현황'!$H$4:$H$189,S$2)</f>
        <v>0</v>
      </c>
      <c r="T4" s="79">
        <f>SUMIFS('구매 입고 현황'!$U$4:$U$189,'구매 입고 현황'!$E$4:$E$189,$B4,'구매 입고 현황'!$H$4:$H$189,T$2)</f>
        <v>0</v>
      </c>
      <c r="U4" s="186">
        <f t="shared" si="0"/>
        <v>5400000</v>
      </c>
      <c r="V4" s="187">
        <f t="shared" si="1"/>
        <v>7.7975837922908504E-3</v>
      </c>
      <c r="W4" s="82">
        <v>2</v>
      </c>
      <c r="X4" s="78" t="s">
        <v>749</v>
      </c>
      <c r="Y4" s="79">
        <f>SUMIFS('구매 입고 현황'!$U$4:$U$189,'구매 입고 현황'!$E$4:$E$189,$X4,'구매 입고 현황'!$L$4:$L$189,Y$2)</f>
        <v>0</v>
      </c>
      <c r="Z4" s="79">
        <f>SUMIFS('구매 입고 현황'!$U$4:$U$189,'구매 입고 현황'!$E$4:$E$189,$X4,'구매 입고 현황'!$L$4:$L$189,Z$2)</f>
        <v>0</v>
      </c>
      <c r="AA4" s="79">
        <f>SUMIFS('구매 입고 현황'!$U$4:$U$189,'구매 입고 현황'!$E$4:$E$189,$X4,'구매 입고 현황'!$L$4:$L$189,AA$2)</f>
        <v>0</v>
      </c>
      <c r="AB4" s="79">
        <f>SUMIFS('구매 입고 현황'!$U$4:$U$189,'구매 입고 현황'!$E$4:$E$189,$X4,'구매 입고 현황'!$L$4:$L$189,AB$2)</f>
        <v>0</v>
      </c>
      <c r="AC4" s="79">
        <f>SUMIFS('구매 입고 현황'!$U$4:$U$189,'구매 입고 현황'!$E$4:$E$189,$X4,'구매 입고 현황'!$L$4:$L$189,AC$2)</f>
        <v>0</v>
      </c>
      <c r="AD4" s="79">
        <f>SUMIFS('구매 입고 현황'!$U$4:$U$189,'구매 입고 현황'!$E$4:$E$189,$X4,'구매 입고 현황'!$L$4:$L$189,AD$2)</f>
        <v>5400000</v>
      </c>
      <c r="AE4" s="186">
        <f>SUM(Y4:AD4)</f>
        <v>5400000</v>
      </c>
      <c r="AF4" s="187">
        <f t="shared" si="2"/>
        <v>7.7615734881088866E-3</v>
      </c>
    </row>
    <row r="5" spans="1:32" ht="20.149999999999999" customHeight="1" x14ac:dyDescent="0.3">
      <c r="A5" s="82">
        <v>3</v>
      </c>
      <c r="B5" s="78" t="s">
        <v>750</v>
      </c>
      <c r="C5" s="79">
        <f>SUMIFS('구매 입고 현황'!$U$4:$U$189,'구매 입고 현황'!$E$4:$E$189,$B5,'구매 입고 현황'!$H$4:$H$189,C$2)</f>
        <v>0</v>
      </c>
      <c r="D5" s="79">
        <f>SUMIFS('구매 입고 현황'!$U$4:$U$189,'구매 입고 현황'!$E$4:$E$189,$B5,'구매 입고 현황'!$H$4:$H$189,D$2)</f>
        <v>0</v>
      </c>
      <c r="E5" s="79">
        <f>SUMIFS('구매 입고 현황'!$U$4:$U$189,'구매 입고 현황'!$E$4:$E$189,$B5,'구매 입고 현황'!$H$4:$H$189,E$2)</f>
        <v>0</v>
      </c>
      <c r="F5" s="79">
        <f>SUMIFS('구매 입고 현황'!$U$4:$U$189,'구매 입고 현황'!$E$4:$E$189,$B5,'구매 입고 현황'!$H$4:$H$189,F$2)</f>
        <v>0</v>
      </c>
      <c r="G5" s="79">
        <f>SUMIFS('구매 입고 현황'!$U$4:$U$189,'구매 입고 현황'!$E$4:$E$189,$B5,'구매 입고 현황'!$H$4:$H$189,G$2)</f>
        <v>20000000</v>
      </c>
      <c r="H5" s="79">
        <f>SUMIFS('구매 입고 현황'!$U$4:$U$189,'구매 입고 현황'!$E$4:$E$189,$B5,'구매 입고 현황'!$H$4:$H$189,H$2)</f>
        <v>0</v>
      </c>
      <c r="I5" s="79">
        <f>SUMIFS('구매 입고 현황'!$U$4:$U$189,'구매 입고 현황'!$E$4:$E$189,$B5,'구매 입고 현황'!$H$4:$H$189,I$2)</f>
        <v>0</v>
      </c>
      <c r="J5" s="79">
        <f>SUMIFS('구매 입고 현황'!$U$4:$U$189,'구매 입고 현황'!$E$4:$E$189,$B5,'구매 입고 현황'!$H$4:$H$189,J$2)</f>
        <v>0</v>
      </c>
      <c r="K5" s="79">
        <f>SUMIFS('구매 입고 현황'!$U$4:$U$189,'구매 입고 현황'!$E$4:$E$189,$B5,'구매 입고 현황'!$H$4:$H$189,K$2)</f>
        <v>0</v>
      </c>
      <c r="L5" s="79">
        <f>SUMIFS('구매 입고 현황'!$U$4:$U$189,'구매 입고 현황'!$E$4:$E$189,$B5,'구매 입고 현황'!$H$4:$H$189,L$2)</f>
        <v>0</v>
      </c>
      <c r="M5" s="79">
        <f>SUMIFS('구매 입고 현황'!$U$4:$U$189,'구매 입고 현황'!$E$4:$E$189,$B5,'구매 입고 현황'!$H$4:$H$189,M$2)</f>
        <v>0</v>
      </c>
      <c r="N5" s="79">
        <f>SUMIFS('구매 입고 현황'!$U$4:$U$189,'구매 입고 현황'!$E$4:$E$189,$B5,'구매 입고 현황'!$H$4:$H$189,N$2)</f>
        <v>0</v>
      </c>
      <c r="O5" s="79">
        <f>SUMIFS('구매 입고 현황'!$U$4:$U$189,'구매 입고 현황'!$E$4:$E$189,$B5,'구매 입고 현황'!$H$4:$H$189,O$2)</f>
        <v>0</v>
      </c>
      <c r="P5" s="79">
        <f>SUMIFS('구매 입고 현황'!$U$4:$U$189,'구매 입고 현황'!$E$4:$E$189,$B5,'구매 입고 현황'!$H$4:$H$189,P$2)</f>
        <v>0</v>
      </c>
      <c r="Q5" s="79">
        <f>SUMIFS('구매 입고 현황'!$U$4:$U$189,'구매 입고 현황'!$E$4:$E$189,$B5,'구매 입고 현황'!$H$4:$H$189,Q$2)</f>
        <v>0</v>
      </c>
      <c r="R5" s="79">
        <f>SUMIFS('구매 입고 현황'!$U$4:$U$189,'구매 입고 현황'!$E$4:$E$189,$B5,'구매 입고 현황'!$H$4:$H$189,R$2)</f>
        <v>0</v>
      </c>
      <c r="S5" s="79">
        <f>SUMIFS('구매 입고 현황'!$U$4:$U$189,'구매 입고 현황'!$E$4:$E$189,$B5,'구매 입고 현황'!$H$4:$H$189,S$2)</f>
        <v>0</v>
      </c>
      <c r="T5" s="79">
        <f>SUMIFS('구매 입고 현황'!$U$4:$U$189,'구매 입고 현황'!$E$4:$E$189,$B5,'구매 입고 현황'!$H$4:$H$189,T$2)</f>
        <v>0</v>
      </c>
      <c r="U5" s="186">
        <f t="shared" si="0"/>
        <v>20000000</v>
      </c>
      <c r="V5" s="187">
        <f t="shared" si="1"/>
        <v>2.8879939971447593E-2</v>
      </c>
      <c r="W5" s="82">
        <v>3</v>
      </c>
      <c r="X5" s="78" t="s">
        <v>750</v>
      </c>
      <c r="Y5" s="79">
        <f>SUMIFS('구매 입고 현황'!$U$4:$U$189,'구매 입고 현황'!$E$4:$E$189,$X5,'구매 입고 현황'!$L$4:$L$189,Y$2)</f>
        <v>0</v>
      </c>
      <c r="Z5" s="79">
        <f>SUMIFS('구매 입고 현황'!$U$4:$U$189,'구매 입고 현황'!$E$4:$E$189,$X5,'구매 입고 현황'!$L$4:$L$189,Z$2)</f>
        <v>0</v>
      </c>
      <c r="AA5" s="79">
        <f>SUMIFS('구매 입고 현황'!$U$4:$U$189,'구매 입고 현황'!$E$4:$E$189,$X5,'구매 입고 현황'!$L$4:$L$189,AA$2)</f>
        <v>0</v>
      </c>
      <c r="AB5" s="79">
        <f>SUMIFS('구매 입고 현황'!$U$4:$U$189,'구매 입고 현황'!$E$4:$E$189,$X5,'구매 입고 현황'!$L$4:$L$189,AB$2)</f>
        <v>0</v>
      </c>
      <c r="AC5" s="79">
        <f>SUMIFS('구매 입고 현황'!$U$4:$U$189,'구매 입고 현황'!$E$4:$E$189,$X5,'구매 입고 현황'!$L$4:$L$189,AC$2)</f>
        <v>0</v>
      </c>
      <c r="AD5" s="79">
        <f>SUMIFS('구매 입고 현황'!$U$4:$U$189,'구매 입고 현황'!$E$4:$E$189,$X5,'구매 입고 현황'!$L$4:$L$189,AD$2)</f>
        <v>20000000</v>
      </c>
      <c r="AE5" s="186">
        <f t="shared" ref="AE5:AE15" si="3">SUM(Y5:AD5)</f>
        <v>20000000</v>
      </c>
      <c r="AF5" s="187">
        <f t="shared" si="2"/>
        <v>2.8746568474477357E-2</v>
      </c>
    </row>
    <row r="6" spans="1:32" ht="20.149999999999999" customHeight="1" x14ac:dyDescent="0.3">
      <c r="A6" s="82">
        <v>4</v>
      </c>
      <c r="B6" s="78" t="s">
        <v>813</v>
      </c>
      <c r="C6" s="79">
        <f>SUMIFS('구매 입고 현황'!$U$4:$U$189,'구매 입고 현황'!$E$4:$E$189,$B6,'구매 입고 현황'!$H$4:$H$189,C$2)</f>
        <v>0</v>
      </c>
      <c r="D6" s="79">
        <f>SUMIFS('구매 입고 현황'!$U$4:$U$189,'구매 입고 현황'!$E$4:$E$189,$B6,'구매 입고 현황'!$H$4:$H$189,D$2)</f>
        <v>0</v>
      </c>
      <c r="E6" s="79">
        <f>SUMIFS('구매 입고 현황'!$U$4:$U$189,'구매 입고 현황'!$E$4:$E$189,$B6,'구매 입고 현황'!$H$4:$H$189,E$2)</f>
        <v>0</v>
      </c>
      <c r="F6" s="79">
        <f>SUMIFS('구매 입고 현황'!$U$4:$U$189,'구매 입고 현황'!$E$4:$E$189,$B6,'구매 입고 현황'!$H$4:$H$189,F$2)</f>
        <v>0</v>
      </c>
      <c r="G6" s="79">
        <f>SUMIFS('구매 입고 현황'!$U$4:$U$189,'구매 입고 현황'!$E$4:$E$189,$B6,'구매 입고 현황'!$H$4:$H$189,G$2)</f>
        <v>0</v>
      </c>
      <c r="H6" s="79">
        <f>SUMIFS('구매 입고 현황'!$U$4:$U$189,'구매 입고 현황'!$E$4:$E$189,$B6,'구매 입고 현황'!$H$4:$H$189,H$2)</f>
        <v>0</v>
      </c>
      <c r="I6" s="79">
        <f>SUMIFS('구매 입고 현황'!$U$4:$U$189,'구매 입고 현황'!$E$4:$E$189,$B6,'구매 입고 현황'!$H$4:$H$189,I$2)</f>
        <v>0</v>
      </c>
      <c r="J6" s="79">
        <f>SUMIFS('구매 입고 현황'!$U$4:$U$189,'구매 입고 현황'!$E$4:$E$189,$B6,'구매 입고 현황'!$H$4:$H$189,J$2)</f>
        <v>0</v>
      </c>
      <c r="K6" s="79">
        <f>SUMIFS('구매 입고 현황'!$U$4:$U$189,'구매 입고 현황'!$E$4:$E$189,$B6,'구매 입고 현황'!$H$4:$H$189,K$2)</f>
        <v>0</v>
      </c>
      <c r="L6" s="79">
        <f>SUMIFS('구매 입고 현황'!$U$4:$U$189,'구매 입고 현황'!$E$4:$E$189,$B6,'구매 입고 현황'!$H$4:$H$189,L$2)</f>
        <v>0</v>
      </c>
      <c r="M6" s="79">
        <f>SUMIFS('구매 입고 현황'!$U$4:$U$189,'구매 입고 현황'!$E$4:$E$189,$B6,'구매 입고 현황'!$H$4:$H$189,M$2)</f>
        <v>0</v>
      </c>
      <c r="N6" s="79">
        <f>SUMIFS('구매 입고 현황'!$U$4:$U$189,'구매 입고 현황'!$E$4:$E$189,$B6,'구매 입고 현황'!$H$4:$H$189,N$2)</f>
        <v>0</v>
      </c>
      <c r="O6" s="79">
        <f>SUMIFS('구매 입고 현황'!$U$4:$U$189,'구매 입고 현황'!$E$4:$E$189,$B6,'구매 입고 현황'!$H$4:$H$189,O$2)</f>
        <v>0</v>
      </c>
      <c r="P6" s="79">
        <f>SUMIFS('구매 입고 현황'!$U$4:$U$189,'구매 입고 현황'!$E$4:$E$189,$B6,'구매 입고 현황'!$H$4:$H$189,P$2)</f>
        <v>224250</v>
      </c>
      <c r="Q6" s="79">
        <f>SUMIFS('구매 입고 현황'!$U$4:$U$189,'구매 입고 현황'!$E$4:$E$189,$B6,'구매 입고 현황'!$H$4:$H$189,Q$2)</f>
        <v>0</v>
      </c>
      <c r="R6" s="79">
        <f>SUMIFS('구매 입고 현황'!$U$4:$U$189,'구매 입고 현황'!$E$4:$E$189,$B6,'구매 입고 현황'!$H$4:$H$189,R$2)</f>
        <v>0</v>
      </c>
      <c r="S6" s="79">
        <f>SUMIFS('구매 입고 현황'!$U$4:$U$189,'구매 입고 현황'!$E$4:$E$189,$B6,'구매 입고 현황'!$H$4:$H$189,S$2)</f>
        <v>0</v>
      </c>
      <c r="T6" s="79">
        <f>SUMIFS('구매 입고 현황'!$U$4:$U$189,'구매 입고 현황'!$E$4:$E$189,$B6,'구매 입고 현황'!$H$4:$H$189,T$2)</f>
        <v>0</v>
      </c>
      <c r="U6" s="186">
        <f t="shared" si="0"/>
        <v>224250</v>
      </c>
      <c r="V6" s="187">
        <f t="shared" si="1"/>
        <v>3.2381632692985617E-4</v>
      </c>
      <c r="W6" s="82">
        <v>4</v>
      </c>
      <c r="X6" s="78" t="s">
        <v>813</v>
      </c>
      <c r="Y6" s="79">
        <f>SUMIFS('구매 입고 현황'!$U$4:$U$189,'구매 입고 현황'!$E$4:$E$189,$X6,'구매 입고 현황'!$L$4:$L$189,Y$2)</f>
        <v>0</v>
      </c>
      <c r="Z6" s="79">
        <f>SUMIFS('구매 입고 현황'!$U$4:$U$189,'구매 입고 현황'!$E$4:$E$189,$X6,'구매 입고 현황'!$L$4:$L$189,Z$2)</f>
        <v>0</v>
      </c>
      <c r="AA6" s="79">
        <f>SUMIFS('구매 입고 현황'!$U$4:$U$189,'구매 입고 현황'!$E$4:$E$189,$X6,'구매 입고 현황'!$L$4:$L$189,AA$2)</f>
        <v>0</v>
      </c>
      <c r="AB6" s="79">
        <f>SUMIFS('구매 입고 현황'!$U$4:$U$189,'구매 입고 현황'!$E$4:$E$189,$X6,'구매 입고 현황'!$L$4:$L$189,AB$2)</f>
        <v>0</v>
      </c>
      <c r="AC6" s="79">
        <f>SUMIFS('구매 입고 현황'!$U$4:$U$189,'구매 입고 현황'!$E$4:$E$189,$X6,'구매 입고 현황'!$L$4:$L$189,AC$2)</f>
        <v>0</v>
      </c>
      <c r="AD6" s="79">
        <f>SUMIFS('구매 입고 현황'!$U$4:$U$189,'구매 입고 현황'!$E$4:$E$189,$X6,'구매 입고 현황'!$L$4:$L$189,AD$2)</f>
        <v>224250</v>
      </c>
      <c r="AE6" s="186">
        <f t="shared" ref="AE6" si="4">SUM(Y6:AD6)</f>
        <v>224250</v>
      </c>
      <c r="AF6" s="187">
        <f t="shared" si="2"/>
        <v>3.2232089902007737E-4</v>
      </c>
    </row>
    <row r="7" spans="1:32" ht="20.149999999999999" customHeight="1" x14ac:dyDescent="0.3">
      <c r="A7" s="82">
        <v>5</v>
      </c>
      <c r="B7" s="78" t="s">
        <v>834</v>
      </c>
      <c r="C7" s="79">
        <f>SUMIFS('구매 입고 현황'!$U$4:$U$189,'구매 입고 현황'!$E$4:$E$189,$B7,'구매 입고 현황'!$H$4:$H$189,C$2)</f>
        <v>0</v>
      </c>
      <c r="D7" s="79">
        <f>SUMIFS('구매 입고 현황'!$U$4:$U$189,'구매 입고 현황'!$E$4:$E$189,$B7,'구매 입고 현황'!$H$4:$H$189,D$2)</f>
        <v>0</v>
      </c>
      <c r="E7" s="79">
        <f>SUMIFS('구매 입고 현황'!$U$4:$U$189,'구매 입고 현황'!$E$4:$E$189,$B7,'구매 입고 현황'!$H$4:$H$189,E$2)</f>
        <v>0</v>
      </c>
      <c r="F7" s="79">
        <f>SUMIFS('구매 입고 현황'!$U$4:$U$189,'구매 입고 현황'!$E$4:$E$189,$B7,'구매 입고 현황'!$H$4:$H$189,F$2)</f>
        <v>0</v>
      </c>
      <c r="G7" s="79">
        <f>SUMIFS('구매 입고 현황'!$U$4:$U$189,'구매 입고 현황'!$E$4:$E$189,$B7,'구매 입고 현황'!$H$4:$H$189,G$2)</f>
        <v>0</v>
      </c>
      <c r="H7" s="79">
        <f>SUMIFS('구매 입고 현황'!$U$4:$U$189,'구매 입고 현황'!$E$4:$E$189,$B7,'구매 입고 현황'!$H$4:$H$189,H$2)</f>
        <v>0</v>
      </c>
      <c r="I7" s="79">
        <f>SUMIFS('구매 입고 현황'!$U$4:$U$189,'구매 입고 현황'!$E$4:$E$189,$B7,'구매 입고 현황'!$H$4:$H$189,I$2)</f>
        <v>0</v>
      </c>
      <c r="J7" s="79">
        <f>SUMIFS('구매 입고 현황'!$U$4:$U$189,'구매 입고 현황'!$E$4:$E$189,$B7,'구매 입고 현황'!$H$4:$H$189,J$2)</f>
        <v>0</v>
      </c>
      <c r="K7" s="79">
        <f>SUMIFS('구매 입고 현황'!$U$4:$U$189,'구매 입고 현황'!$E$4:$E$189,$B7,'구매 입고 현황'!$H$4:$H$189,K$2)</f>
        <v>0</v>
      </c>
      <c r="L7" s="79">
        <f>SUMIFS('구매 입고 현황'!$U$4:$U$189,'구매 입고 현황'!$E$4:$E$189,$B7,'구매 입고 현황'!$H$4:$H$189,L$2)</f>
        <v>0</v>
      </c>
      <c r="M7" s="79">
        <f>SUMIFS('구매 입고 현황'!$U$4:$U$189,'구매 입고 현황'!$E$4:$E$189,$B7,'구매 입고 현황'!$H$4:$H$189,M$2)</f>
        <v>0</v>
      </c>
      <c r="N7" s="79">
        <f>SUMIFS('구매 입고 현황'!$U$4:$U$189,'구매 입고 현황'!$E$4:$E$189,$B7,'구매 입고 현황'!$H$4:$H$189,N$2)</f>
        <v>0</v>
      </c>
      <c r="O7" s="79">
        <f>SUMIFS('구매 입고 현황'!$U$4:$U$189,'구매 입고 현황'!$E$4:$E$189,$B7,'구매 입고 현황'!$H$4:$H$189,O$2)</f>
        <v>0</v>
      </c>
      <c r="P7" s="79">
        <f>SUMIFS('구매 입고 현황'!$U$4:$U$189,'구매 입고 현황'!$E$4:$E$189,$B7,'구매 입고 현황'!$H$4:$H$189,P$2)</f>
        <v>0</v>
      </c>
      <c r="Q7" s="79">
        <f>SUMIFS('구매 입고 현황'!$U$4:$U$189,'구매 입고 현황'!$E$4:$E$189,$B7,'구매 입고 현황'!$H$4:$H$189,Q$2)</f>
        <v>1300000</v>
      </c>
      <c r="R7" s="79">
        <f>SUMIFS('구매 입고 현황'!$U$4:$U$189,'구매 입고 현황'!$E$4:$E$189,$B7,'구매 입고 현황'!$H$4:$H$189,R$2)</f>
        <v>0</v>
      </c>
      <c r="S7" s="79">
        <f>SUMIFS('구매 입고 현황'!$U$4:$U$189,'구매 입고 현황'!$E$4:$E$189,$B7,'구매 입고 현황'!$H$4:$H$189,S$2)</f>
        <v>0</v>
      </c>
      <c r="T7" s="79">
        <f>SUMIFS('구매 입고 현황'!$U$4:$U$189,'구매 입고 현황'!$E$4:$E$189,$B7,'구매 입고 현황'!$H$4:$H$189,T$2)</f>
        <v>0</v>
      </c>
      <c r="U7" s="186">
        <f t="shared" si="0"/>
        <v>1300000</v>
      </c>
      <c r="V7" s="187">
        <f t="shared" si="1"/>
        <v>1.8771960981440936E-3</v>
      </c>
      <c r="W7" s="82">
        <v>5</v>
      </c>
      <c r="X7" s="78" t="s">
        <v>834</v>
      </c>
      <c r="Y7" s="79">
        <f>SUMIFS('구매 입고 현황'!$U$4:$U$189,'구매 입고 현황'!$E$4:$E$189,$X7,'구매 입고 현황'!$L$4:$L$189,Y$2)</f>
        <v>0</v>
      </c>
      <c r="Z7" s="79">
        <f>SUMIFS('구매 입고 현황'!$U$4:$U$189,'구매 입고 현황'!$E$4:$E$189,$X7,'구매 입고 현황'!$L$4:$L$189,Z$2)</f>
        <v>0</v>
      </c>
      <c r="AA7" s="79">
        <f>SUMIFS('구매 입고 현황'!$U$4:$U$189,'구매 입고 현황'!$E$4:$E$189,$X7,'구매 입고 현황'!$L$4:$L$189,AA$2)</f>
        <v>0</v>
      </c>
      <c r="AB7" s="79">
        <f>SUMIFS('구매 입고 현황'!$U$4:$U$189,'구매 입고 현황'!$E$4:$E$189,$X7,'구매 입고 현황'!$L$4:$L$189,AB$2)</f>
        <v>0</v>
      </c>
      <c r="AC7" s="79">
        <f>SUMIFS('구매 입고 현황'!$U$4:$U$189,'구매 입고 현황'!$E$4:$E$189,$X7,'구매 입고 현황'!$L$4:$L$189,AC$2)</f>
        <v>0</v>
      </c>
      <c r="AD7" s="79">
        <f>SUMIFS('구매 입고 현황'!$U$4:$U$189,'구매 입고 현황'!$E$4:$E$189,$X7,'구매 입고 현황'!$L$4:$L$189,AD$2)</f>
        <v>1300000</v>
      </c>
      <c r="AE7" s="186">
        <f t="shared" ref="AE7" si="5">SUM(Y7:AD7)</f>
        <v>1300000</v>
      </c>
      <c r="AF7" s="187">
        <f t="shared" si="2"/>
        <v>1.8685269508410282E-3</v>
      </c>
    </row>
    <row r="8" spans="1:32" ht="20.149999999999999" customHeight="1" x14ac:dyDescent="0.3">
      <c r="A8" s="82">
        <v>6</v>
      </c>
      <c r="B8" s="78" t="s">
        <v>669</v>
      </c>
      <c r="C8" s="79">
        <f>SUMIFS('구매 입고 현황'!$U$4:$U$189,'구매 입고 현황'!$E$4:$E$189,$B8,'구매 입고 현황'!$H$4:$H$189,C$2)</f>
        <v>0</v>
      </c>
      <c r="D8" s="79">
        <f>SUMIFS('구매 입고 현황'!$U$4:$U$189,'구매 입고 현황'!$E$4:$E$189,$B8,'구매 입고 현황'!$H$4:$H$189,D$2)</f>
        <v>0</v>
      </c>
      <c r="E8" s="79">
        <f>SUMIFS('구매 입고 현황'!$U$4:$U$189,'구매 입고 현황'!$E$4:$E$189,$B8,'구매 입고 현황'!$H$4:$H$189,E$2)</f>
        <v>0</v>
      </c>
      <c r="F8" s="79">
        <f>SUMIFS('구매 입고 현황'!$U$4:$U$189,'구매 입고 현황'!$E$4:$E$189,$B8,'구매 입고 현황'!$H$4:$H$189,F$2)</f>
        <v>0</v>
      </c>
      <c r="G8" s="79">
        <f>SUMIFS('구매 입고 현황'!$U$4:$U$189,'구매 입고 현황'!$E$4:$E$189,$B8,'구매 입고 현황'!$H$4:$H$189,G$2)</f>
        <v>0</v>
      </c>
      <c r="H8" s="79">
        <f>SUMIFS('구매 입고 현황'!$U$4:$U$189,'구매 입고 현황'!$E$4:$E$189,$B8,'구매 입고 현황'!$H$4:$H$189,H$2)</f>
        <v>0</v>
      </c>
      <c r="I8" s="79">
        <f>SUMIFS('구매 입고 현황'!$U$4:$U$189,'구매 입고 현황'!$E$4:$E$189,$B8,'구매 입고 현황'!$H$4:$H$189,I$2)</f>
        <v>0</v>
      </c>
      <c r="J8" s="79">
        <f>SUMIFS('구매 입고 현황'!$U$4:$U$189,'구매 입고 현황'!$E$4:$E$189,$B8,'구매 입고 현황'!$H$4:$H$189,J$2)</f>
        <v>0</v>
      </c>
      <c r="K8" s="79">
        <f>SUMIFS('구매 입고 현황'!$U$4:$U$189,'구매 입고 현황'!$E$4:$E$189,$B8,'구매 입고 현황'!$H$4:$H$189,K$2)</f>
        <v>0</v>
      </c>
      <c r="L8" s="79">
        <f>SUMIFS('구매 입고 현황'!$U$4:$U$189,'구매 입고 현황'!$E$4:$E$189,$B8,'구매 입고 현황'!$H$4:$H$189,L$2)</f>
        <v>0</v>
      </c>
      <c r="M8" s="79">
        <f>SUMIFS('구매 입고 현황'!$U$4:$U$189,'구매 입고 현황'!$E$4:$E$189,$B8,'구매 입고 현황'!$H$4:$H$189,M$2)</f>
        <v>2611000</v>
      </c>
      <c r="N8" s="79">
        <f>SUMIFS('구매 입고 현황'!$U$4:$U$189,'구매 입고 현황'!$E$4:$E$189,$B8,'구매 입고 현황'!$H$4:$H$189,N$2)</f>
        <v>0</v>
      </c>
      <c r="O8" s="79">
        <f>SUMIFS('구매 입고 현황'!$U$4:$U$189,'구매 입고 현황'!$E$4:$E$189,$B8,'구매 입고 현황'!$H$4:$H$189,O$2)</f>
        <v>0</v>
      </c>
      <c r="P8" s="79">
        <f>SUMIFS('구매 입고 현황'!$U$4:$U$189,'구매 입고 현황'!$E$4:$E$189,$B8,'구매 입고 현황'!$H$4:$H$189,P$2)</f>
        <v>0</v>
      </c>
      <c r="Q8" s="79">
        <f>SUMIFS('구매 입고 현황'!$U$4:$U$189,'구매 입고 현황'!$E$4:$E$189,$B8,'구매 입고 현황'!$H$4:$H$189,Q$2)</f>
        <v>0</v>
      </c>
      <c r="R8" s="79">
        <f>SUMIFS('구매 입고 현황'!$U$4:$U$189,'구매 입고 현황'!$E$4:$E$189,$B8,'구매 입고 현황'!$H$4:$H$189,R$2)</f>
        <v>0</v>
      </c>
      <c r="S8" s="79">
        <f>SUMIFS('구매 입고 현황'!$U$4:$U$189,'구매 입고 현황'!$E$4:$E$189,$B8,'구매 입고 현황'!$H$4:$H$189,S$2)</f>
        <v>0</v>
      </c>
      <c r="T8" s="79">
        <f>SUMIFS('구매 입고 현황'!$U$4:$U$189,'구매 입고 현황'!$E$4:$E$189,$B8,'구매 입고 현황'!$H$4:$H$189,T$2)</f>
        <v>0</v>
      </c>
      <c r="U8" s="186">
        <f t="shared" si="0"/>
        <v>2611000</v>
      </c>
      <c r="V8" s="187">
        <f t="shared" si="1"/>
        <v>3.7702761632724836E-3</v>
      </c>
      <c r="W8" s="82">
        <v>6</v>
      </c>
      <c r="X8" s="78" t="s">
        <v>669</v>
      </c>
      <c r="Y8" s="79">
        <f>SUMIFS('구매 입고 현황'!$U$4:$U$189,'구매 입고 현황'!$E$4:$E$189,$X8,'구매 입고 현황'!$L$4:$L$189,Y$2)</f>
        <v>0</v>
      </c>
      <c r="Z8" s="79">
        <f>SUMIFS('구매 입고 현황'!$U$4:$U$189,'구매 입고 현황'!$E$4:$E$189,$X8,'구매 입고 현황'!$L$4:$L$189,Z$2)</f>
        <v>0</v>
      </c>
      <c r="AA8" s="79">
        <f>SUMIFS('구매 입고 현황'!$U$4:$U$189,'구매 입고 현황'!$E$4:$E$189,$X8,'구매 입고 현황'!$L$4:$L$189,AA$2)</f>
        <v>0</v>
      </c>
      <c r="AB8" s="79">
        <f>SUMIFS('구매 입고 현황'!$U$4:$U$189,'구매 입고 현황'!$E$4:$E$189,$X8,'구매 입고 현황'!$L$4:$L$189,AB$2)</f>
        <v>0</v>
      </c>
      <c r="AC8" s="79">
        <f>SUMIFS('구매 입고 현황'!$U$4:$U$189,'구매 입고 현황'!$E$4:$E$189,$X8,'구매 입고 현황'!$L$4:$L$189,AC$2)</f>
        <v>0</v>
      </c>
      <c r="AD8" s="79">
        <f>SUMIFS('구매 입고 현황'!$U$4:$U$189,'구매 입고 현황'!$E$4:$E$189,$X8,'구매 입고 현황'!$L$4:$L$189,AD$2)</f>
        <v>2611000</v>
      </c>
      <c r="AE8" s="186">
        <f t="shared" si="3"/>
        <v>2611000</v>
      </c>
      <c r="AF8" s="187">
        <f t="shared" si="2"/>
        <v>3.752864514343019E-3</v>
      </c>
    </row>
    <row r="9" spans="1:32" ht="20.149999999999999" customHeight="1" x14ac:dyDescent="0.3">
      <c r="A9" s="82">
        <v>7</v>
      </c>
      <c r="B9" s="78" t="s">
        <v>68</v>
      </c>
      <c r="C9" s="79">
        <f>SUMIFS('구매 입고 현황'!$U$4:$U$189,'구매 입고 현황'!$E$4:$E$189,$B9,'구매 입고 현황'!$H$4:$H$189,C$2)</f>
        <v>0</v>
      </c>
      <c r="D9" s="79">
        <f>SUMIFS('구매 입고 현황'!$U$4:$U$189,'구매 입고 현황'!$E$4:$E$189,$B9,'구매 입고 현황'!$H$4:$H$189,D$2)</f>
        <v>0</v>
      </c>
      <c r="E9" s="79">
        <f>SUMIFS('구매 입고 현황'!$U$4:$U$189,'구매 입고 현황'!$E$4:$E$189,$B9,'구매 입고 현황'!$H$4:$H$189,E$2)</f>
        <v>80000000</v>
      </c>
      <c r="F9" s="79">
        <f>SUMIFS('구매 입고 현황'!$U$4:$U$189,'구매 입고 현황'!$E$4:$E$189,$B9,'구매 입고 현황'!$H$4:$H$189,F$2)</f>
        <v>0</v>
      </c>
      <c r="G9" s="79">
        <f>SUMIFS('구매 입고 현황'!$U$4:$U$189,'구매 입고 현황'!$E$4:$E$189,$B9,'구매 입고 현황'!$H$4:$H$189,G$2)</f>
        <v>0</v>
      </c>
      <c r="H9" s="79">
        <f>SUMIFS('구매 입고 현황'!$U$4:$U$189,'구매 입고 현황'!$E$4:$E$189,$B9,'구매 입고 현황'!$H$4:$H$189,H$2)</f>
        <v>0</v>
      </c>
      <c r="I9" s="79">
        <f>SUMIFS('구매 입고 현황'!$U$4:$U$189,'구매 입고 현황'!$E$4:$E$189,$B9,'구매 입고 현황'!$H$4:$H$189,I$2)</f>
        <v>0</v>
      </c>
      <c r="J9" s="79">
        <f>SUMIFS('구매 입고 현황'!$U$4:$U$189,'구매 입고 현황'!$E$4:$E$189,$B9,'구매 입고 현황'!$H$4:$H$189,J$2)</f>
        <v>0</v>
      </c>
      <c r="K9" s="79">
        <f>SUMIFS('구매 입고 현황'!$U$4:$U$189,'구매 입고 현황'!$E$4:$E$189,$B9,'구매 입고 현황'!$H$4:$H$189,K$2)</f>
        <v>0</v>
      </c>
      <c r="L9" s="79">
        <f>SUMIFS('구매 입고 현황'!$U$4:$U$189,'구매 입고 현황'!$E$4:$E$189,$B9,'구매 입고 현황'!$H$4:$H$189,L$2)</f>
        <v>0</v>
      </c>
      <c r="M9" s="79">
        <f>SUMIFS('구매 입고 현황'!$U$4:$U$189,'구매 입고 현황'!$E$4:$E$189,$B9,'구매 입고 현황'!$H$4:$H$189,M$2)</f>
        <v>0</v>
      </c>
      <c r="N9" s="79">
        <f>SUMIFS('구매 입고 현황'!$U$4:$U$189,'구매 입고 현황'!$E$4:$E$189,$B9,'구매 입고 현황'!$H$4:$H$189,N$2)</f>
        <v>0</v>
      </c>
      <c r="O9" s="79">
        <f>SUMIFS('구매 입고 현황'!$U$4:$U$189,'구매 입고 현황'!$E$4:$E$189,$B9,'구매 입고 현황'!$H$4:$H$189,O$2)</f>
        <v>0</v>
      </c>
      <c r="P9" s="79">
        <f>SUMIFS('구매 입고 현황'!$U$4:$U$189,'구매 입고 현황'!$E$4:$E$189,$B9,'구매 입고 현황'!$H$4:$H$189,P$2)</f>
        <v>0</v>
      </c>
      <c r="Q9" s="79">
        <f>SUMIFS('구매 입고 현황'!$U$4:$U$189,'구매 입고 현황'!$E$4:$E$189,$B9,'구매 입고 현황'!$H$4:$H$189,Q$2)</f>
        <v>0</v>
      </c>
      <c r="R9" s="79">
        <f>SUMIFS('구매 입고 현황'!$U$4:$U$189,'구매 입고 현황'!$E$4:$E$189,$B9,'구매 입고 현황'!$H$4:$H$189,R$2)</f>
        <v>0</v>
      </c>
      <c r="S9" s="79">
        <f>SUMIFS('구매 입고 현황'!$U$4:$U$189,'구매 입고 현황'!$E$4:$E$189,$B9,'구매 입고 현황'!$H$4:$H$189,S$2)</f>
        <v>0</v>
      </c>
      <c r="T9" s="79">
        <f>SUMIFS('구매 입고 현황'!$U$4:$U$189,'구매 입고 현황'!$E$4:$E$189,$B9,'구매 입고 현황'!$H$4:$H$189,T$2)</f>
        <v>0</v>
      </c>
      <c r="U9" s="186">
        <f t="shared" si="0"/>
        <v>80000000</v>
      </c>
      <c r="V9" s="187">
        <f t="shared" si="1"/>
        <v>0.11551975988579037</v>
      </c>
      <c r="W9" s="82">
        <v>7</v>
      </c>
      <c r="X9" s="78" t="s">
        <v>68</v>
      </c>
      <c r="Y9" s="79">
        <f>SUMIFS('구매 입고 현황'!$U$4:$U$189,'구매 입고 현황'!$E$4:$E$189,$X9,'구매 입고 현황'!$L$4:$L$189,Y$2)</f>
        <v>0</v>
      </c>
      <c r="Z9" s="79">
        <f>SUMIFS('구매 입고 현황'!$U$4:$U$189,'구매 입고 현황'!$E$4:$E$189,$X9,'구매 입고 현황'!$L$4:$L$189,Z$2)</f>
        <v>0</v>
      </c>
      <c r="AA9" s="79">
        <f>SUMIFS('구매 입고 현황'!$U$4:$U$189,'구매 입고 현황'!$E$4:$E$189,$X9,'구매 입고 현황'!$L$4:$L$189,AA$2)</f>
        <v>0</v>
      </c>
      <c r="AB9" s="79">
        <f>SUMIFS('구매 입고 현황'!$U$4:$U$189,'구매 입고 현황'!$E$4:$E$189,$X9,'구매 입고 현황'!$L$4:$L$189,AB$2)</f>
        <v>0</v>
      </c>
      <c r="AC9" s="79">
        <f>SUMIFS('구매 입고 현황'!$U$4:$U$189,'구매 입고 현황'!$E$4:$E$189,$X9,'구매 입고 현황'!$L$4:$L$189,AC$2)</f>
        <v>0</v>
      </c>
      <c r="AD9" s="79">
        <f>SUMIFS('구매 입고 현황'!$U$4:$U$189,'구매 입고 현황'!$E$4:$E$189,$X9,'구매 입고 현황'!$L$4:$L$189,AD$2)</f>
        <v>80000000</v>
      </c>
      <c r="AE9" s="186">
        <f t="shared" ref="AE9" si="6">SUM(Y9:AD9)</f>
        <v>80000000</v>
      </c>
      <c r="AF9" s="187">
        <f t="shared" si="2"/>
        <v>0.11498627389790943</v>
      </c>
    </row>
    <row r="10" spans="1:32" ht="20.149999999999999" customHeight="1" x14ac:dyDescent="0.3">
      <c r="A10" s="82">
        <v>8</v>
      </c>
      <c r="B10" s="78" t="s">
        <v>277</v>
      </c>
      <c r="C10" s="79">
        <f>SUMIFS('구매 입고 현황'!$U$4:$U$189,'구매 입고 현황'!$E$4:$E$189,$B10,'구매 입고 현황'!$H$4:$H$189,C$2)</f>
        <v>0</v>
      </c>
      <c r="D10" s="79">
        <f>SUMIFS('구매 입고 현황'!$U$4:$U$189,'구매 입고 현황'!$E$4:$E$189,$B10,'구매 입고 현황'!$H$4:$H$189,D$2)</f>
        <v>0</v>
      </c>
      <c r="E10" s="79">
        <f>SUMIFS('구매 입고 현황'!$U$4:$U$189,'구매 입고 현황'!$E$4:$E$189,$B10,'구매 입고 현황'!$H$4:$H$189,E$2)</f>
        <v>0</v>
      </c>
      <c r="F10" s="79">
        <f>SUMIFS('구매 입고 현황'!$U$4:$U$189,'구매 입고 현황'!$E$4:$E$189,$B10,'구매 입고 현황'!$H$4:$H$189,F$2)</f>
        <v>0</v>
      </c>
      <c r="G10" s="79">
        <f>SUMIFS('구매 입고 현황'!$U$4:$U$189,'구매 입고 현황'!$E$4:$E$189,$B10,'구매 입고 현황'!$H$4:$H$189,G$2)</f>
        <v>0</v>
      </c>
      <c r="H10" s="79">
        <f>SUMIFS('구매 입고 현황'!$U$4:$U$189,'구매 입고 현황'!$E$4:$E$189,$B10,'구매 입고 현황'!$H$4:$H$189,H$2)</f>
        <v>3300000</v>
      </c>
      <c r="I10" s="79">
        <f>SUMIFS('구매 입고 현황'!$U$4:$U$189,'구매 입고 현황'!$E$4:$E$189,$B10,'구매 입고 현황'!$H$4:$H$189,I$2)</f>
        <v>0</v>
      </c>
      <c r="J10" s="79">
        <f>SUMIFS('구매 입고 현황'!$U$4:$U$189,'구매 입고 현황'!$E$4:$E$189,$B10,'구매 입고 현황'!$H$4:$H$189,J$2)</f>
        <v>0</v>
      </c>
      <c r="K10" s="79">
        <f>SUMIFS('구매 입고 현황'!$U$4:$U$189,'구매 입고 현황'!$E$4:$E$189,$B10,'구매 입고 현황'!$H$4:$H$189,K$2)</f>
        <v>0</v>
      </c>
      <c r="L10" s="79">
        <f>SUMIFS('구매 입고 현황'!$U$4:$U$189,'구매 입고 현황'!$E$4:$E$189,$B10,'구매 입고 현황'!$H$4:$H$189,L$2)</f>
        <v>0</v>
      </c>
      <c r="M10" s="79">
        <f>SUMIFS('구매 입고 현황'!$U$4:$U$189,'구매 입고 현황'!$E$4:$E$189,$B10,'구매 입고 현황'!$H$4:$H$189,M$2)</f>
        <v>0</v>
      </c>
      <c r="N10" s="79">
        <f>SUMIFS('구매 입고 현황'!$U$4:$U$189,'구매 입고 현황'!$E$4:$E$189,$B10,'구매 입고 현황'!$H$4:$H$189,N$2)</f>
        <v>0</v>
      </c>
      <c r="O10" s="79">
        <f>SUMIFS('구매 입고 현황'!$U$4:$U$189,'구매 입고 현황'!$E$4:$E$189,$B10,'구매 입고 현황'!$H$4:$H$189,O$2)</f>
        <v>0</v>
      </c>
      <c r="P10" s="79">
        <f>SUMIFS('구매 입고 현황'!$U$4:$U$189,'구매 입고 현황'!$E$4:$E$189,$B10,'구매 입고 현황'!$H$4:$H$189,P$2)</f>
        <v>0</v>
      </c>
      <c r="Q10" s="79">
        <f>SUMIFS('구매 입고 현황'!$U$4:$U$189,'구매 입고 현황'!$E$4:$E$189,$B10,'구매 입고 현황'!$H$4:$H$189,Q$2)</f>
        <v>0</v>
      </c>
      <c r="R10" s="79">
        <f>SUMIFS('구매 입고 현황'!$U$4:$U$189,'구매 입고 현황'!$E$4:$E$189,$B10,'구매 입고 현황'!$H$4:$H$189,R$2)</f>
        <v>0</v>
      </c>
      <c r="S10" s="79">
        <f>SUMIFS('구매 입고 현황'!$U$4:$U$189,'구매 입고 현황'!$E$4:$E$189,$B10,'구매 입고 현황'!$H$4:$H$189,S$2)</f>
        <v>0</v>
      </c>
      <c r="T10" s="79">
        <f>SUMIFS('구매 입고 현황'!$U$4:$U$189,'구매 입고 현황'!$E$4:$E$189,$B10,'구매 입고 현황'!$H$4:$H$189,T$2)</f>
        <v>0</v>
      </c>
      <c r="U10" s="186">
        <f t="shared" si="0"/>
        <v>3300000</v>
      </c>
      <c r="V10" s="187">
        <f t="shared" si="1"/>
        <v>4.7651900952888531E-3</v>
      </c>
      <c r="W10" s="82">
        <v>8</v>
      </c>
      <c r="X10" s="78" t="s">
        <v>277</v>
      </c>
      <c r="Y10" s="79">
        <f>SUMIFS('구매 입고 현황'!$U$4:$U$189,'구매 입고 현황'!$E$4:$E$189,$X10,'구매 입고 현황'!$L$4:$L$189,Y$2)</f>
        <v>0</v>
      </c>
      <c r="Z10" s="79">
        <f>SUMIFS('구매 입고 현황'!$U$4:$U$189,'구매 입고 현황'!$E$4:$E$189,$X10,'구매 입고 현황'!$L$4:$L$189,Z$2)</f>
        <v>0</v>
      </c>
      <c r="AA10" s="79">
        <f>SUMIFS('구매 입고 현황'!$U$4:$U$189,'구매 입고 현황'!$E$4:$E$189,$X10,'구매 입고 현황'!$L$4:$L$189,AA$2)</f>
        <v>0</v>
      </c>
      <c r="AB10" s="79">
        <f>SUMIFS('구매 입고 현황'!$U$4:$U$189,'구매 입고 현황'!$E$4:$E$189,$X10,'구매 입고 현황'!$L$4:$L$189,AB$2)</f>
        <v>0</v>
      </c>
      <c r="AC10" s="79">
        <f>SUMIFS('구매 입고 현황'!$U$4:$U$189,'구매 입고 현황'!$E$4:$E$189,$X10,'구매 입고 현황'!$L$4:$L$189,AC$2)</f>
        <v>0</v>
      </c>
      <c r="AD10" s="79">
        <f>SUMIFS('구매 입고 현황'!$U$4:$U$189,'구매 입고 현황'!$E$4:$E$189,$X10,'구매 입고 현황'!$L$4:$L$189,AD$2)</f>
        <v>3300000</v>
      </c>
      <c r="AE10" s="186">
        <f t="shared" si="3"/>
        <v>3300000</v>
      </c>
      <c r="AF10" s="187">
        <f t="shared" si="2"/>
        <v>4.7431837982887639E-3</v>
      </c>
    </row>
    <row r="11" spans="1:32" ht="20.149999999999999" customHeight="1" x14ac:dyDescent="0.3">
      <c r="A11" s="82">
        <v>9</v>
      </c>
      <c r="B11" s="78" t="s">
        <v>833</v>
      </c>
      <c r="C11" s="79">
        <f>SUMIFS('구매 입고 현황'!$U$4:$U$189,'구매 입고 현황'!$E$4:$E$189,$B11,'구매 입고 현황'!$H$4:$H$189,C$2)</f>
        <v>0</v>
      </c>
      <c r="D11" s="79">
        <f>SUMIFS('구매 입고 현황'!$U$4:$U$189,'구매 입고 현황'!$E$4:$E$189,$B11,'구매 입고 현황'!$H$4:$H$189,D$2)</f>
        <v>0</v>
      </c>
      <c r="E11" s="79">
        <f>SUMIFS('구매 입고 현황'!$U$4:$U$189,'구매 입고 현황'!$E$4:$E$189,$B11,'구매 입고 현황'!$H$4:$H$189,E$2)</f>
        <v>0</v>
      </c>
      <c r="F11" s="79">
        <f>SUMIFS('구매 입고 현황'!$U$4:$U$189,'구매 입고 현황'!$E$4:$E$189,$B11,'구매 입고 현황'!$H$4:$H$189,F$2)</f>
        <v>0</v>
      </c>
      <c r="G11" s="79">
        <f>SUMIFS('구매 입고 현황'!$U$4:$U$189,'구매 입고 현황'!$E$4:$E$189,$B11,'구매 입고 현황'!$H$4:$H$189,G$2)</f>
        <v>0</v>
      </c>
      <c r="H11" s="79">
        <f>SUMIFS('구매 입고 현황'!$U$4:$U$189,'구매 입고 현황'!$E$4:$E$189,$B11,'구매 입고 현황'!$H$4:$H$189,H$2)</f>
        <v>0</v>
      </c>
      <c r="I11" s="79">
        <f>SUMIFS('구매 입고 현황'!$U$4:$U$189,'구매 입고 현황'!$E$4:$E$189,$B11,'구매 입고 현황'!$H$4:$H$189,I$2)</f>
        <v>0</v>
      </c>
      <c r="J11" s="79">
        <f>SUMIFS('구매 입고 현황'!$U$4:$U$189,'구매 입고 현황'!$E$4:$E$189,$B11,'구매 입고 현황'!$H$4:$H$189,J$2)</f>
        <v>0</v>
      </c>
      <c r="K11" s="79">
        <f>SUMIFS('구매 입고 현황'!$U$4:$U$189,'구매 입고 현황'!$E$4:$E$189,$B11,'구매 입고 현황'!$H$4:$H$189,K$2)</f>
        <v>0</v>
      </c>
      <c r="L11" s="79">
        <f>SUMIFS('구매 입고 현황'!$U$4:$U$189,'구매 입고 현황'!$E$4:$E$189,$B11,'구매 입고 현황'!$H$4:$H$189,L$2)</f>
        <v>0</v>
      </c>
      <c r="M11" s="79">
        <f>SUMIFS('구매 입고 현황'!$U$4:$U$189,'구매 입고 현황'!$E$4:$E$189,$B11,'구매 입고 현황'!$H$4:$H$189,M$2)</f>
        <v>0</v>
      </c>
      <c r="N11" s="79">
        <f>SUMIFS('구매 입고 현황'!$U$4:$U$189,'구매 입고 현황'!$E$4:$E$189,$B11,'구매 입고 현황'!$H$4:$H$189,N$2)</f>
        <v>0</v>
      </c>
      <c r="O11" s="79">
        <f>SUMIFS('구매 입고 현황'!$U$4:$U$189,'구매 입고 현황'!$E$4:$E$189,$B11,'구매 입고 현황'!$H$4:$H$189,O$2)</f>
        <v>0</v>
      </c>
      <c r="P11" s="79">
        <f>SUMIFS('구매 입고 현황'!$U$4:$U$189,'구매 입고 현황'!$E$4:$E$189,$B11,'구매 입고 현황'!$H$4:$H$189,P$2)</f>
        <v>0</v>
      </c>
      <c r="Q11" s="79">
        <f>SUMIFS('구매 입고 현황'!$U$4:$U$189,'구매 입고 현황'!$E$4:$E$189,$B11,'구매 입고 현황'!$H$4:$H$189,Q$2)</f>
        <v>1939000</v>
      </c>
      <c r="R11" s="79">
        <f>SUMIFS('구매 입고 현황'!$U$4:$U$189,'구매 입고 현황'!$E$4:$E$189,$B11,'구매 입고 현황'!$H$4:$H$189,R$2)</f>
        <v>0</v>
      </c>
      <c r="S11" s="79">
        <f>SUMIFS('구매 입고 현황'!$U$4:$U$189,'구매 입고 현황'!$E$4:$E$189,$B11,'구매 입고 현황'!$H$4:$H$189,S$2)</f>
        <v>0</v>
      </c>
      <c r="T11" s="79">
        <f>SUMIFS('구매 입고 현황'!$U$4:$U$189,'구매 입고 현황'!$E$4:$E$189,$B11,'구매 입고 현황'!$H$4:$H$189,T$2)</f>
        <v>0</v>
      </c>
      <c r="U11" s="186">
        <f t="shared" si="0"/>
        <v>1939000</v>
      </c>
      <c r="V11" s="187">
        <f t="shared" si="1"/>
        <v>2.7999101802318443E-3</v>
      </c>
      <c r="W11" s="82">
        <v>9</v>
      </c>
      <c r="X11" s="78" t="s">
        <v>833</v>
      </c>
      <c r="Y11" s="79">
        <f>SUMIFS('구매 입고 현황'!$U$4:$U$189,'구매 입고 현황'!$E$4:$E$189,$X11,'구매 입고 현황'!$L$4:$L$189,Y$2)</f>
        <v>0</v>
      </c>
      <c r="Z11" s="79">
        <f>SUMIFS('구매 입고 현황'!$U$4:$U$189,'구매 입고 현황'!$E$4:$E$189,$X11,'구매 입고 현황'!$L$4:$L$189,Z$2)</f>
        <v>0</v>
      </c>
      <c r="AA11" s="79">
        <f>SUMIFS('구매 입고 현황'!$U$4:$U$189,'구매 입고 현황'!$E$4:$E$189,$X11,'구매 입고 현황'!$L$4:$L$189,AA$2)</f>
        <v>0</v>
      </c>
      <c r="AB11" s="79">
        <f>SUMIFS('구매 입고 현황'!$U$4:$U$189,'구매 입고 현황'!$E$4:$E$189,$X11,'구매 입고 현황'!$L$4:$L$189,AB$2)</f>
        <v>0</v>
      </c>
      <c r="AC11" s="79">
        <f>SUMIFS('구매 입고 현황'!$U$4:$U$189,'구매 입고 현황'!$E$4:$E$189,$X11,'구매 입고 현황'!$L$4:$L$189,AC$2)</f>
        <v>0</v>
      </c>
      <c r="AD11" s="79">
        <f>SUMIFS('구매 입고 현황'!$U$4:$U$189,'구매 입고 현황'!$E$4:$E$189,$X11,'구매 입고 현황'!$L$4:$L$189,AD$2)</f>
        <v>1939000</v>
      </c>
      <c r="AE11" s="186">
        <f t="shared" ref="AE11" si="7">SUM(Y11:AD11)</f>
        <v>1939000</v>
      </c>
      <c r="AF11" s="187">
        <f t="shared" si="2"/>
        <v>2.7869798136005799E-3</v>
      </c>
    </row>
    <row r="12" spans="1:32" ht="20.149999999999999" customHeight="1" x14ac:dyDescent="0.3">
      <c r="A12" s="82">
        <v>10</v>
      </c>
      <c r="B12" s="78" t="s">
        <v>156</v>
      </c>
      <c r="C12" s="79">
        <f>SUMIFS('구매 입고 현황'!$U$4:$U$189,'구매 입고 현황'!$E$4:$E$189,$B12,'구매 입고 현황'!$H$4:$H$189,C$2)</f>
        <v>7040000</v>
      </c>
      <c r="D12" s="79">
        <f>SUMIFS('구매 입고 현황'!$U$4:$U$189,'구매 입고 현황'!$E$4:$E$189,$B12,'구매 입고 현황'!$H$4:$H$189,D$2)</f>
        <v>0</v>
      </c>
      <c r="E12" s="79">
        <f>SUMIFS('구매 입고 현황'!$U$4:$U$189,'구매 입고 현황'!$E$4:$E$189,$B12,'구매 입고 현황'!$H$4:$H$189,E$2)</f>
        <v>0</v>
      </c>
      <c r="F12" s="79">
        <f>SUMIFS('구매 입고 현황'!$U$4:$U$189,'구매 입고 현황'!$E$4:$E$189,$B12,'구매 입고 현황'!$H$4:$H$189,F$2)</f>
        <v>0</v>
      </c>
      <c r="G12" s="79">
        <f>SUMIFS('구매 입고 현황'!$U$4:$U$189,'구매 입고 현황'!$E$4:$E$189,$B12,'구매 입고 현황'!$H$4:$H$189,G$2)</f>
        <v>33325280</v>
      </c>
      <c r="H12" s="79">
        <f>SUMIFS('구매 입고 현황'!$U$4:$U$189,'구매 입고 현황'!$E$4:$E$189,$B12,'구매 입고 현황'!$H$4:$H$189,H$2)</f>
        <v>0</v>
      </c>
      <c r="I12" s="79">
        <f>SUMIFS('구매 입고 현황'!$U$4:$U$189,'구매 입고 현황'!$E$4:$E$189,$B12,'구매 입고 현황'!$H$4:$H$189,I$2)</f>
        <v>0</v>
      </c>
      <c r="J12" s="79">
        <f>SUMIFS('구매 입고 현황'!$U$4:$U$189,'구매 입고 현황'!$E$4:$E$189,$B12,'구매 입고 현황'!$H$4:$H$189,J$2)</f>
        <v>0</v>
      </c>
      <c r="K12" s="79">
        <f>SUMIFS('구매 입고 현황'!$U$4:$U$189,'구매 입고 현황'!$E$4:$E$189,$B12,'구매 입고 현황'!$H$4:$H$189,K$2)</f>
        <v>0</v>
      </c>
      <c r="L12" s="79">
        <f>SUMIFS('구매 입고 현황'!$U$4:$U$189,'구매 입고 현황'!$E$4:$E$189,$B12,'구매 입고 현황'!$H$4:$H$189,L$2)</f>
        <v>0</v>
      </c>
      <c r="M12" s="79">
        <f>SUMIFS('구매 입고 현황'!$U$4:$U$189,'구매 입고 현황'!$E$4:$E$189,$B12,'구매 입고 현황'!$H$4:$H$189,M$2)</f>
        <v>0</v>
      </c>
      <c r="N12" s="79">
        <f>SUMIFS('구매 입고 현황'!$U$4:$U$189,'구매 입고 현황'!$E$4:$E$189,$B12,'구매 입고 현황'!$H$4:$H$189,N$2)</f>
        <v>0</v>
      </c>
      <c r="O12" s="79">
        <f>SUMIFS('구매 입고 현황'!$U$4:$U$189,'구매 입고 현황'!$E$4:$E$189,$B12,'구매 입고 현황'!$H$4:$H$189,O$2)</f>
        <v>0</v>
      </c>
      <c r="P12" s="79">
        <f>SUMIFS('구매 입고 현황'!$U$4:$U$189,'구매 입고 현황'!$E$4:$E$189,$B12,'구매 입고 현황'!$H$4:$H$189,P$2)</f>
        <v>0</v>
      </c>
      <c r="Q12" s="79">
        <f>SUMIFS('구매 입고 현황'!$U$4:$U$189,'구매 입고 현황'!$E$4:$E$189,$B12,'구매 입고 현황'!$H$4:$H$189,Q$2)</f>
        <v>0</v>
      </c>
      <c r="R12" s="79">
        <f>SUMIFS('구매 입고 현황'!$U$4:$U$189,'구매 입고 현황'!$E$4:$E$189,$B12,'구매 입고 현황'!$H$4:$H$189,R$2)</f>
        <v>0</v>
      </c>
      <c r="S12" s="79">
        <f>SUMIFS('구매 입고 현황'!$U$4:$U$189,'구매 입고 현황'!$E$4:$E$189,$B12,'구매 입고 현황'!$H$4:$H$189,S$2)</f>
        <v>0</v>
      </c>
      <c r="T12" s="79">
        <f>SUMIFS('구매 입고 현황'!$U$4:$U$189,'구매 입고 현황'!$E$4:$E$189,$B12,'구매 입고 현황'!$H$4:$H$189,T$2)</f>
        <v>0</v>
      </c>
      <c r="U12" s="186">
        <f t="shared" si="0"/>
        <v>40365280</v>
      </c>
      <c r="V12" s="187">
        <f t="shared" si="1"/>
        <v>5.8287343166533709E-2</v>
      </c>
      <c r="W12" s="82">
        <v>10</v>
      </c>
      <c r="X12" s="78" t="s">
        <v>156</v>
      </c>
      <c r="Y12" s="79">
        <f>SUMIFS('구매 입고 현황'!$U$4:$U$189,'구매 입고 현황'!$E$4:$E$189,$X12,'구매 입고 현황'!$L$4:$L$189,Y$2)</f>
        <v>0</v>
      </c>
      <c r="Z12" s="79">
        <f>SUMIFS('구매 입고 현황'!$U$4:$U$189,'구매 입고 현황'!$E$4:$E$189,$X12,'구매 입고 현황'!$L$4:$L$189,Z$2)</f>
        <v>0</v>
      </c>
      <c r="AA12" s="79">
        <f>SUMIFS('구매 입고 현황'!$U$4:$U$189,'구매 입고 현황'!$E$4:$E$189,$X12,'구매 입고 현황'!$L$4:$L$189,AA$2)</f>
        <v>0</v>
      </c>
      <c r="AB12" s="79">
        <f>SUMIFS('구매 입고 현황'!$U$4:$U$189,'구매 입고 현황'!$E$4:$E$189,$X12,'구매 입고 현황'!$L$4:$L$189,AB$2)</f>
        <v>0</v>
      </c>
      <c r="AC12" s="79">
        <f>SUMIFS('구매 입고 현황'!$U$4:$U$189,'구매 입고 현황'!$E$4:$E$189,$X12,'구매 입고 현황'!$L$4:$L$189,AC$2)</f>
        <v>0</v>
      </c>
      <c r="AD12" s="79">
        <f>SUMIFS('구매 입고 현황'!$U$4:$U$189,'구매 입고 현황'!$E$4:$E$189,$X12,'구매 입고 현황'!$L$4:$L$189,AD$2)</f>
        <v>40365280</v>
      </c>
      <c r="AE12" s="186">
        <f t="shared" si="3"/>
        <v>40365280</v>
      </c>
      <c r="AF12" s="187">
        <f t="shared" si="2"/>
        <v>5.8018164275572569E-2</v>
      </c>
    </row>
    <row r="13" spans="1:32" ht="20.149999999999999" customHeight="1" x14ac:dyDescent="0.3">
      <c r="A13" s="82">
        <v>11</v>
      </c>
      <c r="B13" s="78" t="s">
        <v>744</v>
      </c>
      <c r="C13" s="79">
        <f>SUMIFS('구매 입고 현황'!$U$4:$U$189,'구매 입고 현황'!$E$4:$E$189,$B13,'구매 입고 현황'!$H$4:$H$189,C$2)</f>
        <v>0</v>
      </c>
      <c r="D13" s="79">
        <f>SUMIFS('구매 입고 현황'!$U$4:$U$189,'구매 입고 현황'!$E$4:$E$189,$B13,'구매 입고 현황'!$H$4:$H$189,D$2)</f>
        <v>0</v>
      </c>
      <c r="E13" s="79">
        <f>SUMIFS('구매 입고 현황'!$U$4:$U$189,'구매 입고 현황'!$E$4:$E$189,$B13,'구매 입고 현황'!$H$4:$H$189,E$2)</f>
        <v>0</v>
      </c>
      <c r="F13" s="79">
        <f>SUMIFS('구매 입고 현황'!$U$4:$U$189,'구매 입고 현황'!$E$4:$E$189,$B13,'구매 입고 현황'!$H$4:$H$189,F$2)</f>
        <v>0</v>
      </c>
      <c r="G13" s="79">
        <f>SUMIFS('구매 입고 현황'!$U$4:$U$189,'구매 입고 현황'!$E$4:$E$189,$B13,'구매 입고 현황'!$H$4:$H$189,G$2)</f>
        <v>0</v>
      </c>
      <c r="H13" s="79">
        <f>SUMIFS('구매 입고 현황'!$U$4:$U$189,'구매 입고 현황'!$E$4:$E$189,$B13,'구매 입고 현황'!$H$4:$H$189,H$2)</f>
        <v>0</v>
      </c>
      <c r="I13" s="79">
        <f>SUMIFS('구매 입고 현황'!$U$4:$U$189,'구매 입고 현황'!$E$4:$E$189,$B13,'구매 입고 현황'!$H$4:$H$189,I$2)</f>
        <v>0</v>
      </c>
      <c r="J13" s="79">
        <f>SUMIFS('구매 입고 현황'!$U$4:$U$189,'구매 입고 현황'!$E$4:$E$189,$B13,'구매 입고 현황'!$H$4:$H$189,J$2)</f>
        <v>0</v>
      </c>
      <c r="K13" s="79">
        <f>SUMIFS('구매 입고 현황'!$U$4:$U$189,'구매 입고 현황'!$E$4:$E$189,$B13,'구매 입고 현황'!$H$4:$H$189,K$2)</f>
        <v>0</v>
      </c>
      <c r="L13" s="79">
        <f>SUMIFS('구매 입고 현황'!$U$4:$U$189,'구매 입고 현황'!$E$4:$E$189,$B13,'구매 입고 현황'!$H$4:$H$189,L$2)</f>
        <v>0</v>
      </c>
      <c r="M13" s="79">
        <f>SUMIFS('구매 입고 현황'!$U$4:$U$189,'구매 입고 현황'!$E$4:$E$189,$B13,'구매 입고 현황'!$H$4:$H$189,M$2)</f>
        <v>0</v>
      </c>
      <c r="N13" s="79">
        <f>SUMIFS('구매 입고 현황'!$U$4:$U$189,'구매 입고 현황'!$E$4:$E$189,$B13,'구매 입고 현황'!$H$4:$H$189,N$2)</f>
        <v>0</v>
      </c>
      <c r="O13" s="79">
        <f>SUMIFS('구매 입고 현황'!$U$4:$U$189,'구매 입고 현황'!$E$4:$E$189,$B13,'구매 입고 현황'!$H$4:$H$189,O$2)</f>
        <v>993409</v>
      </c>
      <c r="P13" s="79">
        <f>SUMIFS('구매 입고 현황'!$U$4:$U$189,'구매 입고 현황'!$E$4:$E$189,$B13,'구매 입고 현황'!$H$4:$H$189,P$2)</f>
        <v>0</v>
      </c>
      <c r="Q13" s="79">
        <f>SUMIFS('구매 입고 현황'!$U$4:$U$189,'구매 입고 현황'!$E$4:$E$189,$B13,'구매 입고 현황'!$H$4:$H$189,Q$2)</f>
        <v>0</v>
      </c>
      <c r="R13" s="79">
        <f>SUMIFS('구매 입고 현황'!$U$4:$U$189,'구매 입고 현황'!$E$4:$E$189,$B13,'구매 입고 현황'!$H$4:$H$189,R$2)</f>
        <v>0</v>
      </c>
      <c r="S13" s="79">
        <f>SUMIFS('구매 입고 현황'!$U$4:$U$189,'구매 입고 현황'!$E$4:$E$189,$B13,'구매 입고 현황'!$H$4:$H$189,S$2)</f>
        <v>0</v>
      </c>
      <c r="T13" s="79">
        <f>SUMIFS('구매 입고 현황'!$U$4:$U$189,'구매 입고 현황'!$E$4:$E$189,$B13,'구매 입고 현황'!$H$4:$H$189,T$2)</f>
        <v>0</v>
      </c>
      <c r="U13" s="186">
        <f t="shared" si="0"/>
        <v>993409</v>
      </c>
      <c r="V13" s="187">
        <f t="shared" si="1"/>
        <v>1.4344796143547891E-3</v>
      </c>
      <c r="W13" s="82">
        <v>11</v>
      </c>
      <c r="X13" s="78" t="s">
        <v>776</v>
      </c>
      <c r="Y13" s="79">
        <f>SUMIFS('구매 입고 현황'!$U$4:$U$189,'구매 입고 현황'!$E$4:$E$189,$X13,'구매 입고 현황'!$L$4:$L$189,Y$2)</f>
        <v>0</v>
      </c>
      <c r="Z13" s="79">
        <f>SUMIFS('구매 입고 현황'!$U$4:$U$189,'구매 입고 현황'!$E$4:$E$189,$X13,'구매 입고 현황'!$L$4:$L$189,Z$2)</f>
        <v>0</v>
      </c>
      <c r="AA13" s="79">
        <f>SUMIFS('구매 입고 현황'!$U$4:$U$189,'구매 입고 현황'!$E$4:$E$189,$X13,'구매 입고 현황'!$L$4:$L$189,AA$2)</f>
        <v>0</v>
      </c>
      <c r="AB13" s="79">
        <f>SUMIFS('구매 입고 현황'!$U$4:$U$189,'구매 입고 현황'!$E$4:$E$189,$X13,'구매 입고 현황'!$L$4:$L$189,AB$2)</f>
        <v>0</v>
      </c>
      <c r="AC13" s="79">
        <f>SUMIFS('구매 입고 현황'!$U$4:$U$189,'구매 입고 현황'!$E$4:$E$189,$X13,'구매 입고 현황'!$L$4:$L$189,AC$2)</f>
        <v>0</v>
      </c>
      <c r="AD13" s="79">
        <f>SUMIFS('구매 입고 현황'!$U$4:$U$189,'구매 입고 현황'!$E$4:$E$189,$X13,'구매 입고 현황'!$L$4:$L$189,AD$2)</f>
        <v>993409</v>
      </c>
      <c r="AE13" s="186">
        <f t="shared" ref="AE13" si="8">SUM(Y13:AD13)</f>
        <v>993409</v>
      </c>
      <c r="AF13" s="187">
        <f t="shared" si="2"/>
        <v>1.4278549920831039E-3</v>
      </c>
    </row>
    <row r="14" spans="1:32" ht="20.149999999999999" customHeight="1" x14ac:dyDescent="0.3">
      <c r="A14" s="82">
        <v>12</v>
      </c>
      <c r="B14" s="78" t="s">
        <v>101</v>
      </c>
      <c r="C14" s="79">
        <f>SUMIFS('구매 입고 현황'!$U$4:$U$189,'구매 입고 현황'!$E$4:$E$189,$B14,'구매 입고 현황'!$H$4:$H$189,C$2)</f>
        <v>0</v>
      </c>
      <c r="D14" s="79">
        <f>SUMIFS('구매 입고 현황'!$U$4:$U$189,'구매 입고 현황'!$E$4:$E$189,$B14,'구매 입고 현황'!$H$4:$H$189,D$2)</f>
        <v>0</v>
      </c>
      <c r="E14" s="79">
        <f>SUMIFS('구매 입고 현황'!$U$4:$U$189,'구매 입고 현황'!$E$4:$E$189,$B14,'구매 입고 현황'!$H$4:$H$189,E$2)</f>
        <v>0</v>
      </c>
      <c r="F14" s="79">
        <f>SUMIFS('구매 입고 현황'!$U$4:$U$189,'구매 입고 현황'!$E$4:$E$189,$B14,'구매 입고 현황'!$H$4:$H$189,F$2)</f>
        <v>0</v>
      </c>
      <c r="G14" s="79">
        <f>SUMIFS('구매 입고 현황'!$U$4:$U$189,'구매 입고 현황'!$E$4:$E$189,$B14,'구매 입고 현황'!$H$4:$H$189,G$2)</f>
        <v>0</v>
      </c>
      <c r="H14" s="79">
        <f>SUMIFS('구매 입고 현황'!$U$4:$U$189,'구매 입고 현황'!$E$4:$E$189,$B14,'구매 입고 현황'!$H$4:$H$189,H$2)</f>
        <v>0</v>
      </c>
      <c r="I14" s="79">
        <f>SUMIFS('구매 입고 현황'!$U$4:$U$189,'구매 입고 현황'!$E$4:$E$189,$B14,'구매 입고 현황'!$H$4:$H$189,I$2)</f>
        <v>0</v>
      </c>
      <c r="J14" s="79">
        <f>SUMIFS('구매 입고 현황'!$U$4:$U$189,'구매 입고 현황'!$E$4:$E$189,$B14,'구매 입고 현황'!$H$4:$H$189,J$2)</f>
        <v>0</v>
      </c>
      <c r="K14" s="79">
        <f>SUMIFS('구매 입고 현황'!$U$4:$U$189,'구매 입고 현황'!$E$4:$E$189,$B14,'구매 입고 현황'!$H$4:$H$189,K$2)</f>
        <v>0</v>
      </c>
      <c r="L14" s="79">
        <f>SUMIFS('구매 입고 현황'!$U$4:$U$189,'구매 입고 현황'!$E$4:$E$189,$B14,'구매 입고 현황'!$H$4:$H$189,L$2)</f>
        <v>0</v>
      </c>
      <c r="M14" s="79">
        <f>SUMIFS('구매 입고 현황'!$U$4:$U$189,'구매 입고 현황'!$E$4:$E$189,$B14,'구매 입고 현황'!$H$4:$H$189,M$2)</f>
        <v>0</v>
      </c>
      <c r="N14" s="79">
        <f>SUMIFS('구매 입고 현황'!$U$4:$U$189,'구매 입고 현황'!$E$4:$E$189,$B14,'구매 입고 현황'!$H$4:$H$189,N$2)</f>
        <v>0</v>
      </c>
      <c r="O14" s="79">
        <f>SUMIFS('구매 입고 현황'!$U$4:$U$189,'구매 입고 현황'!$E$4:$E$189,$B14,'구매 입고 현황'!$H$4:$H$189,O$2)</f>
        <v>0</v>
      </c>
      <c r="P14" s="79">
        <f>SUMIFS('구매 입고 현황'!$U$4:$U$189,'구매 입고 현황'!$E$4:$E$189,$B14,'구매 입고 현황'!$H$4:$H$189,P$2)</f>
        <v>0</v>
      </c>
      <c r="Q14" s="79">
        <f>SUMIFS('구매 입고 현황'!$U$4:$U$189,'구매 입고 현황'!$E$4:$E$189,$B14,'구매 입고 현황'!$H$4:$H$189,Q$2)</f>
        <v>0</v>
      </c>
      <c r="R14" s="79">
        <f>SUMIFS('구매 입고 현황'!$U$4:$U$189,'구매 입고 현황'!$E$4:$E$189,$B14,'구매 입고 현황'!$H$4:$H$189,R$2)</f>
        <v>0</v>
      </c>
      <c r="S14" s="79">
        <f>SUMIFS('구매 입고 현황'!$U$4:$U$189,'구매 입고 현황'!$E$4:$E$189,$B14,'구매 입고 현황'!$H$4:$H$189,S$2)</f>
        <v>0</v>
      </c>
      <c r="T14" s="79">
        <f>SUMIFS('구매 입고 현황'!$U$4:$U$189,'구매 입고 현황'!$E$4:$E$189,$B14,'구매 입고 현황'!$H$4:$H$189,T$2)</f>
        <v>5544000</v>
      </c>
      <c r="U14" s="186">
        <f t="shared" si="0"/>
        <v>5544000</v>
      </c>
      <c r="V14" s="187">
        <f t="shared" si="1"/>
        <v>8.0055193600852732E-3</v>
      </c>
      <c r="W14" s="82">
        <v>12</v>
      </c>
      <c r="X14" s="78" t="s">
        <v>101</v>
      </c>
      <c r="Y14" s="79">
        <f>SUMIFS('구매 입고 현황'!$U$4:$U$189,'구매 입고 현황'!$E$4:$E$189,$X14,'구매 입고 현황'!$L$4:$L$189,Y$2)</f>
        <v>0</v>
      </c>
      <c r="Z14" s="79">
        <f>SUMIFS('구매 입고 현황'!$U$4:$U$189,'구매 입고 현황'!$E$4:$E$189,$X14,'구매 입고 현황'!$L$4:$L$189,Z$2)</f>
        <v>0</v>
      </c>
      <c r="AA14" s="79">
        <f>SUMIFS('구매 입고 현황'!$U$4:$U$189,'구매 입고 현황'!$E$4:$E$189,$X14,'구매 입고 현황'!$L$4:$L$189,AA$2)</f>
        <v>0</v>
      </c>
      <c r="AB14" s="79">
        <f>SUMIFS('구매 입고 현황'!$U$4:$U$189,'구매 입고 현황'!$E$4:$E$189,$X14,'구매 입고 현황'!$L$4:$L$189,AB$2)</f>
        <v>0</v>
      </c>
      <c r="AC14" s="79">
        <f>SUMIFS('구매 입고 현황'!$U$4:$U$189,'구매 입고 현황'!$E$4:$E$189,$X14,'구매 입고 현황'!$L$4:$L$189,AC$2)</f>
        <v>0</v>
      </c>
      <c r="AD14" s="79">
        <f>SUMIFS('구매 입고 현황'!$U$4:$U$189,'구매 입고 현황'!$E$4:$E$189,$X14,'구매 입고 현황'!$L$4:$L$189,AD$2)</f>
        <v>5544000</v>
      </c>
      <c r="AE14" s="186">
        <f t="shared" si="3"/>
        <v>5544000</v>
      </c>
      <c r="AF14" s="187">
        <f t="shared" si="2"/>
        <v>7.9685487811251236E-3</v>
      </c>
    </row>
    <row r="15" spans="1:32" ht="20.149999999999999" customHeight="1" x14ac:dyDescent="0.3">
      <c r="A15" s="82">
        <v>13</v>
      </c>
      <c r="B15" s="78" t="s">
        <v>175</v>
      </c>
      <c r="C15" s="79">
        <f>SUMIFS('구매 입고 현황'!$U$4:$U$189,'구매 입고 현황'!$E$4:$E$189,$B15,'구매 입고 현황'!$H$4:$H$189,C$2)</f>
        <v>0</v>
      </c>
      <c r="D15" s="79">
        <f>SUMIFS('구매 입고 현황'!$U$4:$U$189,'구매 입고 현황'!$E$4:$E$189,$B15,'구매 입고 현황'!$H$4:$H$189,D$2)</f>
        <v>0</v>
      </c>
      <c r="E15" s="79">
        <f>SUMIFS('구매 입고 현황'!$U$4:$U$189,'구매 입고 현황'!$E$4:$E$189,$B15,'구매 입고 현황'!$H$4:$H$189,E$2)</f>
        <v>0</v>
      </c>
      <c r="F15" s="79">
        <f>SUMIFS('구매 입고 현황'!$U$4:$U$189,'구매 입고 현황'!$E$4:$E$189,$B15,'구매 입고 현황'!$H$4:$H$189,F$2)</f>
        <v>0</v>
      </c>
      <c r="G15" s="79">
        <f>SUMIFS('구매 입고 현황'!$U$4:$U$189,'구매 입고 현황'!$E$4:$E$189,$B15,'구매 입고 현황'!$H$4:$H$189,G$2)</f>
        <v>0</v>
      </c>
      <c r="H15" s="79">
        <f>SUMIFS('구매 입고 현황'!$U$4:$U$189,'구매 입고 현황'!$E$4:$E$189,$B15,'구매 입고 현황'!$H$4:$H$189,H$2)</f>
        <v>0</v>
      </c>
      <c r="I15" s="79">
        <f>SUMIFS('구매 입고 현황'!$U$4:$U$189,'구매 입고 현황'!$E$4:$E$189,$B15,'구매 입고 현황'!$H$4:$H$189,I$2)</f>
        <v>6000000</v>
      </c>
      <c r="J15" s="79">
        <f>SUMIFS('구매 입고 현황'!$U$4:$U$189,'구매 입고 현황'!$E$4:$E$189,$B15,'구매 입고 현황'!$H$4:$H$189,J$2)</f>
        <v>0</v>
      </c>
      <c r="K15" s="79">
        <f>SUMIFS('구매 입고 현황'!$U$4:$U$189,'구매 입고 현황'!$E$4:$E$189,$B15,'구매 입고 현황'!$H$4:$H$189,K$2)</f>
        <v>0</v>
      </c>
      <c r="L15" s="79">
        <f>SUMIFS('구매 입고 현황'!$U$4:$U$189,'구매 입고 현황'!$E$4:$E$189,$B15,'구매 입고 현황'!$H$4:$H$189,L$2)</f>
        <v>0</v>
      </c>
      <c r="M15" s="79">
        <f>SUMIFS('구매 입고 현황'!$U$4:$U$189,'구매 입고 현황'!$E$4:$E$189,$B15,'구매 입고 현황'!$H$4:$H$189,M$2)</f>
        <v>0</v>
      </c>
      <c r="N15" s="79">
        <f>SUMIFS('구매 입고 현황'!$U$4:$U$189,'구매 입고 현황'!$E$4:$E$189,$B15,'구매 입고 현황'!$H$4:$H$189,N$2)</f>
        <v>0</v>
      </c>
      <c r="O15" s="79">
        <f>SUMIFS('구매 입고 현황'!$U$4:$U$189,'구매 입고 현황'!$E$4:$E$189,$B15,'구매 입고 현황'!$H$4:$H$189,O$2)</f>
        <v>0</v>
      </c>
      <c r="P15" s="79">
        <f>SUMIFS('구매 입고 현황'!$U$4:$U$189,'구매 입고 현황'!$E$4:$E$189,$B15,'구매 입고 현황'!$H$4:$H$189,P$2)</f>
        <v>0</v>
      </c>
      <c r="Q15" s="79">
        <f>SUMIFS('구매 입고 현황'!$U$4:$U$189,'구매 입고 현황'!$E$4:$E$189,$B15,'구매 입고 현황'!$H$4:$H$189,Q$2)</f>
        <v>0</v>
      </c>
      <c r="R15" s="79">
        <f>SUMIFS('구매 입고 현황'!$U$4:$U$189,'구매 입고 현황'!$E$4:$E$189,$B15,'구매 입고 현황'!$H$4:$H$189,R$2)</f>
        <v>0</v>
      </c>
      <c r="S15" s="79">
        <f>SUMIFS('구매 입고 현황'!$U$4:$U$189,'구매 입고 현황'!$E$4:$E$189,$B15,'구매 입고 현황'!$H$4:$H$189,S$2)</f>
        <v>0</v>
      </c>
      <c r="T15" s="79">
        <f>SUMIFS('구매 입고 현황'!$U$4:$U$189,'구매 입고 현황'!$E$4:$E$189,$B15,'구매 입고 현황'!$H$4:$H$189,T$2)</f>
        <v>0</v>
      </c>
      <c r="U15" s="186">
        <f t="shared" si="0"/>
        <v>6000000</v>
      </c>
      <c r="V15" s="187">
        <f t="shared" si="1"/>
        <v>8.6639819914342778E-3</v>
      </c>
      <c r="W15" s="82">
        <v>13</v>
      </c>
      <c r="X15" s="78" t="s">
        <v>175</v>
      </c>
      <c r="Y15" s="79">
        <f>SUMIFS('구매 입고 현황'!$U$4:$U$189,'구매 입고 현황'!$E$4:$E$189,$X15,'구매 입고 현황'!$L$4:$L$189,Y$2)</f>
        <v>0</v>
      </c>
      <c r="Z15" s="79">
        <f>SUMIFS('구매 입고 현황'!$U$4:$U$189,'구매 입고 현황'!$E$4:$E$189,$X15,'구매 입고 현황'!$L$4:$L$189,Z$2)</f>
        <v>0</v>
      </c>
      <c r="AA15" s="79">
        <f>SUMIFS('구매 입고 현황'!$U$4:$U$189,'구매 입고 현황'!$E$4:$E$189,$X15,'구매 입고 현황'!$L$4:$L$189,AA$2)</f>
        <v>0</v>
      </c>
      <c r="AB15" s="79">
        <f>SUMIFS('구매 입고 현황'!$U$4:$U$189,'구매 입고 현황'!$E$4:$E$189,$X15,'구매 입고 현황'!$L$4:$L$189,AB$2)</f>
        <v>0</v>
      </c>
      <c r="AC15" s="79">
        <f>SUMIFS('구매 입고 현황'!$U$4:$U$189,'구매 입고 현황'!$E$4:$E$189,$X15,'구매 입고 현황'!$L$4:$L$189,AC$2)</f>
        <v>0</v>
      </c>
      <c r="AD15" s="79">
        <f>SUMIFS('구매 입고 현황'!$U$4:$U$189,'구매 입고 현황'!$E$4:$E$189,$X15,'구매 입고 현황'!$L$4:$L$189,AD$2)</f>
        <v>6000000</v>
      </c>
      <c r="AE15" s="186">
        <f t="shared" si="3"/>
        <v>6000000</v>
      </c>
      <c r="AF15" s="187">
        <f t="shared" si="2"/>
        <v>8.6239705423432067E-3</v>
      </c>
    </row>
    <row r="16" spans="1:32" ht="20.149999999999999" customHeight="1" x14ac:dyDescent="0.3">
      <c r="A16" s="82">
        <v>14</v>
      </c>
      <c r="B16" s="78" t="s">
        <v>225</v>
      </c>
      <c r="C16" s="79">
        <f>SUMIFS('구매 입고 현황'!$U$4:$U$189,'구매 입고 현황'!$E$4:$E$189,$B16,'구매 입고 현황'!$H$4:$H$189,C$2)</f>
        <v>0</v>
      </c>
      <c r="D16" s="79">
        <f>SUMIFS('구매 입고 현황'!$U$4:$U$189,'구매 입고 현황'!$E$4:$E$189,$B16,'구매 입고 현황'!$H$4:$H$189,D$2)</f>
        <v>0</v>
      </c>
      <c r="E16" s="79">
        <f>SUMIFS('구매 입고 현황'!$U$4:$U$189,'구매 입고 현황'!$E$4:$E$189,$B16,'구매 입고 현황'!$H$4:$H$189,E$2)</f>
        <v>922000</v>
      </c>
      <c r="F16" s="79">
        <f>SUMIFS('구매 입고 현황'!$U$4:$U$189,'구매 입고 현황'!$E$4:$E$189,$B16,'구매 입고 현황'!$H$4:$H$189,F$2)</f>
        <v>0</v>
      </c>
      <c r="G16" s="79">
        <f>SUMIFS('구매 입고 현황'!$U$4:$U$189,'구매 입고 현황'!$E$4:$E$189,$B16,'구매 입고 현황'!$H$4:$H$189,G$2)</f>
        <v>0</v>
      </c>
      <c r="H16" s="79">
        <f>SUMIFS('구매 입고 현황'!$U$4:$U$189,'구매 입고 현황'!$E$4:$E$189,$B16,'구매 입고 현황'!$H$4:$H$189,H$2)</f>
        <v>0</v>
      </c>
      <c r="I16" s="79">
        <f>SUMIFS('구매 입고 현황'!$U$4:$U$189,'구매 입고 현황'!$E$4:$E$189,$B16,'구매 입고 현황'!$H$4:$H$189,I$2)</f>
        <v>0</v>
      </c>
      <c r="J16" s="79">
        <f>SUMIFS('구매 입고 현황'!$U$4:$U$189,'구매 입고 현황'!$E$4:$E$189,$B16,'구매 입고 현황'!$H$4:$H$189,J$2)</f>
        <v>0</v>
      </c>
      <c r="K16" s="79">
        <f>SUMIFS('구매 입고 현황'!$U$4:$U$189,'구매 입고 현황'!$E$4:$E$189,$B16,'구매 입고 현황'!$H$4:$H$189,K$2)</f>
        <v>0</v>
      </c>
      <c r="L16" s="79">
        <f>SUMIFS('구매 입고 현황'!$U$4:$U$189,'구매 입고 현황'!$E$4:$E$189,$B16,'구매 입고 현황'!$H$4:$H$189,L$2)</f>
        <v>0</v>
      </c>
      <c r="M16" s="79">
        <f>SUMIFS('구매 입고 현황'!$U$4:$U$189,'구매 입고 현황'!$E$4:$E$189,$B16,'구매 입고 현황'!$H$4:$H$189,M$2)</f>
        <v>0</v>
      </c>
      <c r="N16" s="79">
        <f>SUMIFS('구매 입고 현황'!$U$4:$U$189,'구매 입고 현황'!$E$4:$E$189,$B16,'구매 입고 현황'!$H$4:$H$189,N$2)</f>
        <v>0</v>
      </c>
      <c r="O16" s="79">
        <f>SUMIFS('구매 입고 현황'!$U$4:$U$189,'구매 입고 현황'!$E$4:$E$189,$B16,'구매 입고 현황'!$H$4:$H$189,O$2)</f>
        <v>0</v>
      </c>
      <c r="P16" s="79">
        <f>SUMIFS('구매 입고 현황'!$U$4:$U$189,'구매 입고 현황'!$E$4:$E$189,$B16,'구매 입고 현황'!$H$4:$H$189,P$2)</f>
        <v>0</v>
      </c>
      <c r="Q16" s="79">
        <f>SUMIFS('구매 입고 현황'!$U$4:$U$189,'구매 입고 현황'!$E$4:$E$189,$B16,'구매 입고 현황'!$H$4:$H$189,Q$2)</f>
        <v>0</v>
      </c>
      <c r="R16" s="79">
        <f>SUMIFS('구매 입고 현황'!$U$4:$U$189,'구매 입고 현황'!$E$4:$E$189,$B16,'구매 입고 현황'!$H$4:$H$189,R$2)</f>
        <v>0</v>
      </c>
      <c r="S16" s="79">
        <f>SUMIFS('구매 입고 현황'!$U$4:$U$189,'구매 입고 현황'!$E$4:$E$189,$B16,'구매 입고 현황'!$H$4:$H$189,S$2)</f>
        <v>0</v>
      </c>
      <c r="T16" s="79">
        <f>SUMIFS('구매 입고 현황'!$U$4:$U$189,'구매 입고 현황'!$E$4:$E$189,$B16,'구매 입고 현황'!$H$4:$H$189,T$2)</f>
        <v>0</v>
      </c>
      <c r="U16" s="186">
        <f t="shared" si="0"/>
        <v>922000</v>
      </c>
      <c r="V16" s="187">
        <f t="shared" si="1"/>
        <v>1.331365232683734E-3</v>
      </c>
      <c r="W16" s="82">
        <v>14</v>
      </c>
      <c r="X16" s="78" t="s">
        <v>225</v>
      </c>
      <c r="Y16" s="79">
        <f>SUMIFS('구매 입고 현황'!$U$4:$U$189,'구매 입고 현황'!$E$4:$E$189,$X16,'구매 입고 현황'!$L$4:$L$189,Y$2)</f>
        <v>0</v>
      </c>
      <c r="Z16" s="79">
        <f>SUMIFS('구매 입고 현황'!$U$4:$U$189,'구매 입고 현황'!$E$4:$E$189,$X16,'구매 입고 현황'!$L$4:$L$189,Z$2)</f>
        <v>0</v>
      </c>
      <c r="AA16" s="79">
        <f>SUMIFS('구매 입고 현황'!$U$4:$U$189,'구매 입고 현황'!$E$4:$E$189,$X16,'구매 입고 현황'!$L$4:$L$189,AA$2)</f>
        <v>0</v>
      </c>
      <c r="AB16" s="79">
        <f>SUMIFS('구매 입고 현황'!$U$4:$U$189,'구매 입고 현황'!$E$4:$E$189,$X16,'구매 입고 현황'!$L$4:$L$189,AB$2)</f>
        <v>0</v>
      </c>
      <c r="AC16" s="79">
        <f>SUMIFS('구매 입고 현황'!$U$4:$U$189,'구매 입고 현황'!$E$4:$E$189,$X16,'구매 입고 현황'!$L$4:$L$189,AC$2)</f>
        <v>0</v>
      </c>
      <c r="AD16" s="79">
        <f>SUMIFS('구매 입고 현황'!$U$4:$U$189,'구매 입고 현황'!$E$4:$E$189,$X16,'구매 입고 현황'!$L$4:$L$189,AD$2)</f>
        <v>922000</v>
      </c>
      <c r="AE16" s="186">
        <f t="shared" ref="AE16:AE33" si="9">SUM(Y16:AD16)</f>
        <v>922000</v>
      </c>
      <c r="AF16" s="187">
        <f t="shared" si="2"/>
        <v>1.3252168066734062E-3</v>
      </c>
    </row>
    <row r="17" spans="1:32" ht="20.149999999999999" customHeight="1" x14ac:dyDescent="0.3">
      <c r="A17" s="82">
        <v>15</v>
      </c>
      <c r="B17" s="78" t="s">
        <v>76</v>
      </c>
      <c r="C17" s="79">
        <f>SUMIFS('구매 입고 현황'!$U$4:$U$189,'구매 입고 현황'!$E$4:$E$189,$B17,'구매 입고 현황'!$H$4:$H$189,C$2)</f>
        <v>0</v>
      </c>
      <c r="D17" s="79">
        <f>SUMIFS('구매 입고 현황'!$U$4:$U$189,'구매 입고 현황'!$E$4:$E$189,$B17,'구매 입고 현황'!$H$4:$H$189,D$2)</f>
        <v>0</v>
      </c>
      <c r="E17" s="79">
        <f>SUMIFS('구매 입고 현황'!$U$4:$U$189,'구매 입고 현황'!$E$4:$E$189,$B17,'구매 입고 현황'!$H$4:$H$189,E$2)</f>
        <v>3639000</v>
      </c>
      <c r="F17" s="79">
        <f>SUMIFS('구매 입고 현황'!$U$4:$U$189,'구매 입고 현황'!$E$4:$E$189,$B17,'구매 입고 현황'!$H$4:$H$189,F$2)</f>
        <v>788000</v>
      </c>
      <c r="G17" s="79">
        <f>SUMIFS('구매 입고 현황'!$U$4:$U$189,'구매 입고 현황'!$E$4:$E$189,$B17,'구매 입고 현황'!$H$4:$H$189,G$2)</f>
        <v>0</v>
      </c>
      <c r="H17" s="79">
        <f>SUMIFS('구매 입고 현황'!$U$4:$U$189,'구매 입고 현황'!$E$4:$E$189,$B17,'구매 입고 현황'!$H$4:$H$189,H$2)</f>
        <v>7277250</v>
      </c>
      <c r="I17" s="79">
        <f>SUMIFS('구매 입고 현황'!$U$4:$U$189,'구매 입고 현황'!$E$4:$E$189,$B17,'구매 입고 현황'!$H$4:$H$189,I$2)</f>
        <v>1446000</v>
      </c>
      <c r="J17" s="79">
        <f>SUMIFS('구매 입고 현황'!$U$4:$U$189,'구매 입고 현황'!$E$4:$E$189,$B17,'구매 입고 현황'!$H$4:$H$189,J$2)</f>
        <v>0</v>
      </c>
      <c r="K17" s="79">
        <f>SUMIFS('구매 입고 현황'!$U$4:$U$189,'구매 입고 현황'!$E$4:$E$189,$B17,'구매 입고 현황'!$H$4:$H$189,K$2)</f>
        <v>0</v>
      </c>
      <c r="L17" s="79">
        <f>SUMIFS('구매 입고 현황'!$U$4:$U$189,'구매 입고 현황'!$E$4:$E$189,$B17,'구매 입고 현황'!$H$4:$H$189,L$2)</f>
        <v>0</v>
      </c>
      <c r="M17" s="79">
        <f>SUMIFS('구매 입고 현황'!$U$4:$U$189,'구매 입고 현황'!$E$4:$E$189,$B17,'구매 입고 현황'!$H$4:$H$189,M$2)</f>
        <v>0</v>
      </c>
      <c r="N17" s="79">
        <f>SUMIFS('구매 입고 현황'!$U$4:$U$189,'구매 입고 현황'!$E$4:$E$189,$B17,'구매 입고 현황'!$H$4:$H$189,N$2)</f>
        <v>3794000</v>
      </c>
      <c r="O17" s="79">
        <f>SUMIFS('구매 입고 현황'!$U$4:$U$189,'구매 입고 현황'!$E$4:$E$189,$B17,'구매 입고 현황'!$H$4:$H$189,O$2)</f>
        <v>0</v>
      </c>
      <c r="P17" s="79">
        <f>SUMIFS('구매 입고 현황'!$U$4:$U$189,'구매 입고 현황'!$E$4:$E$189,$B17,'구매 입고 현황'!$H$4:$H$189,P$2)</f>
        <v>0</v>
      </c>
      <c r="Q17" s="79">
        <f>SUMIFS('구매 입고 현황'!$U$4:$U$189,'구매 입고 현황'!$E$4:$E$189,$B17,'구매 입고 현황'!$H$4:$H$189,Q$2)</f>
        <v>0</v>
      </c>
      <c r="R17" s="79">
        <f>SUMIFS('구매 입고 현황'!$U$4:$U$189,'구매 입고 현황'!$E$4:$E$189,$B17,'구매 입고 현황'!$H$4:$H$189,R$2)</f>
        <v>0</v>
      </c>
      <c r="S17" s="79">
        <f>SUMIFS('구매 입고 현황'!$U$4:$U$189,'구매 입고 현황'!$E$4:$E$189,$B17,'구매 입고 현황'!$H$4:$H$189,S$2)</f>
        <v>0</v>
      </c>
      <c r="T17" s="79">
        <f>SUMIFS('구매 입고 현황'!$U$4:$U$189,'구매 입고 현황'!$E$4:$E$189,$B17,'구매 입고 현황'!$H$4:$H$189,T$2)</f>
        <v>0</v>
      </c>
      <c r="U17" s="186">
        <f t="shared" si="0"/>
        <v>16944250</v>
      </c>
      <c r="V17" s="187">
        <f t="shared" si="1"/>
        <v>2.4467446143060043E-2</v>
      </c>
      <c r="W17" s="82">
        <v>15</v>
      </c>
      <c r="X17" s="78" t="s">
        <v>76</v>
      </c>
      <c r="Y17" s="79">
        <f>SUMIFS('구매 입고 현황'!$U$4:$U$189,'구매 입고 현황'!$E$4:$E$189,$X17,'구매 입고 현황'!$L$4:$L$189,Y$2)</f>
        <v>0</v>
      </c>
      <c r="Z17" s="79">
        <f>SUMIFS('구매 입고 현황'!$U$4:$U$189,'구매 입고 현황'!$E$4:$E$189,$X17,'구매 입고 현황'!$L$4:$L$189,Z$2)</f>
        <v>0</v>
      </c>
      <c r="AA17" s="79">
        <f>SUMIFS('구매 입고 현황'!$U$4:$U$189,'구매 입고 현황'!$E$4:$E$189,$X17,'구매 입고 현황'!$L$4:$L$189,AA$2)</f>
        <v>0</v>
      </c>
      <c r="AB17" s="79">
        <f>SUMIFS('구매 입고 현황'!$U$4:$U$189,'구매 입고 현황'!$E$4:$E$189,$X17,'구매 입고 현황'!$L$4:$L$189,AB$2)</f>
        <v>0</v>
      </c>
      <c r="AC17" s="79">
        <f>SUMIFS('구매 입고 현황'!$U$4:$U$189,'구매 입고 현황'!$E$4:$E$189,$X17,'구매 입고 현황'!$L$4:$L$189,AC$2)</f>
        <v>0</v>
      </c>
      <c r="AD17" s="79">
        <f>SUMIFS('구매 입고 현황'!$U$4:$U$189,'구매 입고 현황'!$E$4:$E$189,$X17,'구매 입고 현황'!$L$4:$L$189,AD$2)</f>
        <v>16944250</v>
      </c>
      <c r="AE17" s="186">
        <f t="shared" si="9"/>
        <v>16944250</v>
      </c>
      <c r="AF17" s="187">
        <f t="shared" si="2"/>
        <v>2.4354452143683147E-2</v>
      </c>
    </row>
    <row r="18" spans="1:32" ht="20.149999999999999" customHeight="1" x14ac:dyDescent="0.3">
      <c r="A18" s="82">
        <v>16</v>
      </c>
      <c r="B18" s="78" t="s">
        <v>219</v>
      </c>
      <c r="C18" s="79">
        <f>SUMIFS('구매 입고 현황'!$U$4:$U$189,'구매 입고 현황'!$E$4:$E$189,$B18,'구매 입고 현황'!$H$4:$H$189,C$2)</f>
        <v>2500000</v>
      </c>
      <c r="D18" s="79">
        <f>SUMIFS('구매 입고 현황'!$U$4:$U$189,'구매 입고 현황'!$E$4:$E$189,$B18,'구매 입고 현황'!$H$4:$H$189,D$2)</f>
        <v>0</v>
      </c>
      <c r="E18" s="79">
        <f>SUMIFS('구매 입고 현황'!$U$4:$U$189,'구매 입고 현황'!$E$4:$E$189,$B18,'구매 입고 현황'!$H$4:$H$189,E$2)</f>
        <v>16438880</v>
      </c>
      <c r="F18" s="79">
        <f>SUMIFS('구매 입고 현황'!$U$4:$U$189,'구매 입고 현황'!$E$4:$E$189,$B18,'구매 입고 현황'!$H$4:$H$189,F$2)</f>
        <v>10522400</v>
      </c>
      <c r="G18" s="79">
        <f>SUMIFS('구매 입고 현황'!$U$4:$U$189,'구매 입고 현황'!$E$4:$E$189,$B18,'구매 입고 현황'!$H$4:$H$189,G$2)</f>
        <v>0</v>
      </c>
      <c r="H18" s="79">
        <f>SUMIFS('구매 입고 현황'!$U$4:$U$189,'구매 입고 현황'!$E$4:$E$189,$B18,'구매 입고 현황'!$H$4:$H$189,H$2)</f>
        <v>7108800</v>
      </c>
      <c r="I18" s="79">
        <f>SUMIFS('구매 입고 현황'!$U$4:$U$189,'구매 입고 현황'!$E$4:$E$189,$B18,'구매 입고 현황'!$H$4:$H$189,I$2)</f>
        <v>0</v>
      </c>
      <c r="J18" s="79">
        <f>SUMIFS('구매 입고 현황'!$U$4:$U$189,'구매 입고 현황'!$E$4:$E$189,$B18,'구매 입고 현황'!$H$4:$H$189,J$2)</f>
        <v>0</v>
      </c>
      <c r="K18" s="79">
        <f>SUMIFS('구매 입고 현황'!$U$4:$U$189,'구매 입고 현황'!$E$4:$E$189,$B18,'구매 입고 현황'!$H$4:$H$189,K$2)</f>
        <v>0</v>
      </c>
      <c r="L18" s="79">
        <f>SUMIFS('구매 입고 현황'!$U$4:$U$189,'구매 입고 현황'!$E$4:$E$189,$B18,'구매 입고 현황'!$H$4:$H$189,L$2)</f>
        <v>0</v>
      </c>
      <c r="M18" s="79">
        <f>SUMIFS('구매 입고 현황'!$U$4:$U$189,'구매 입고 현황'!$E$4:$E$189,$B18,'구매 입고 현황'!$H$4:$H$189,M$2)</f>
        <v>0</v>
      </c>
      <c r="N18" s="79">
        <f>SUMIFS('구매 입고 현황'!$U$4:$U$189,'구매 입고 현황'!$E$4:$E$189,$B18,'구매 입고 현황'!$H$4:$H$189,N$2)</f>
        <v>0</v>
      </c>
      <c r="O18" s="79">
        <f>SUMIFS('구매 입고 현황'!$U$4:$U$189,'구매 입고 현황'!$E$4:$E$189,$B18,'구매 입고 현황'!$H$4:$H$189,O$2)</f>
        <v>0</v>
      </c>
      <c r="P18" s="79">
        <f>SUMIFS('구매 입고 현황'!$U$4:$U$189,'구매 입고 현황'!$E$4:$E$189,$B18,'구매 입고 현황'!$H$4:$H$189,P$2)</f>
        <v>0</v>
      </c>
      <c r="Q18" s="79">
        <f>SUMIFS('구매 입고 현황'!$U$4:$U$189,'구매 입고 현황'!$E$4:$E$189,$B18,'구매 입고 현황'!$H$4:$H$189,Q$2)</f>
        <v>0</v>
      </c>
      <c r="R18" s="79">
        <f>SUMIFS('구매 입고 현황'!$U$4:$U$189,'구매 입고 현황'!$E$4:$E$189,$B18,'구매 입고 현황'!$H$4:$H$189,R$2)</f>
        <v>825300</v>
      </c>
      <c r="S18" s="79">
        <f>SUMIFS('구매 입고 현황'!$U$4:$U$189,'구매 입고 현황'!$E$4:$E$189,$B18,'구매 입고 현황'!$H$4:$H$189,S$2)</f>
        <v>0</v>
      </c>
      <c r="T18" s="79">
        <f>SUMIFS('구매 입고 현황'!$U$4:$U$189,'구매 입고 현황'!$E$4:$E$189,$B18,'구매 입고 현황'!$H$4:$H$189,T$2)</f>
        <v>0</v>
      </c>
      <c r="U18" s="186">
        <f t="shared" si="0"/>
        <v>37395380</v>
      </c>
      <c r="V18" s="187">
        <f t="shared" si="1"/>
        <v>5.3998816480473597E-2</v>
      </c>
      <c r="W18" s="82">
        <v>16</v>
      </c>
      <c r="X18" s="78" t="s">
        <v>219</v>
      </c>
      <c r="Y18" s="79">
        <f>SUMIFS('구매 입고 현황'!$U$4:$U$189,'구매 입고 현황'!$E$4:$E$189,$X18,'구매 입고 현황'!$L$4:$L$189,Y$2)</f>
        <v>0</v>
      </c>
      <c r="Z18" s="79">
        <f>SUMIFS('구매 입고 현황'!$U$4:$U$189,'구매 입고 현황'!$E$4:$E$189,$X18,'구매 입고 현황'!$L$4:$L$189,Z$2)</f>
        <v>0</v>
      </c>
      <c r="AA18" s="79">
        <f>SUMIFS('구매 입고 현황'!$U$4:$U$189,'구매 입고 현황'!$E$4:$E$189,$X18,'구매 입고 현황'!$L$4:$L$189,AA$2)</f>
        <v>0</v>
      </c>
      <c r="AB18" s="79">
        <f>SUMIFS('구매 입고 현황'!$U$4:$U$189,'구매 입고 현황'!$E$4:$E$189,$X18,'구매 입고 현황'!$L$4:$L$189,AB$2)</f>
        <v>0</v>
      </c>
      <c r="AC18" s="79">
        <f>SUMIFS('구매 입고 현황'!$U$4:$U$189,'구매 입고 현황'!$E$4:$E$189,$X18,'구매 입고 현황'!$L$4:$L$189,AC$2)</f>
        <v>0</v>
      </c>
      <c r="AD18" s="79">
        <f>SUMIFS('구매 입고 현황'!$U$4:$U$189,'구매 입고 현황'!$E$4:$E$189,$X18,'구매 입고 현황'!$L$4:$L$189,AD$2)</f>
        <v>37395380</v>
      </c>
      <c r="AE18" s="186">
        <f t="shared" si="9"/>
        <v>37395380</v>
      </c>
      <c r="AF18" s="187">
        <f t="shared" si="2"/>
        <v>5.3749442589955058E-2</v>
      </c>
    </row>
    <row r="19" spans="1:32" ht="20.149999999999999" customHeight="1" x14ac:dyDescent="0.3">
      <c r="A19" s="82">
        <v>17</v>
      </c>
      <c r="B19" s="78" t="s">
        <v>848</v>
      </c>
      <c r="C19" s="79">
        <f>SUMIFS('구매 입고 현황'!$U$4:$U$189,'구매 입고 현황'!$E$4:$E$189,$B19,'구매 입고 현황'!$H$4:$H$189,C$2)</f>
        <v>0</v>
      </c>
      <c r="D19" s="79">
        <f>SUMIFS('구매 입고 현황'!$U$4:$U$189,'구매 입고 현황'!$E$4:$E$189,$B19,'구매 입고 현황'!$H$4:$H$189,D$2)</f>
        <v>0</v>
      </c>
      <c r="E19" s="79">
        <f>SUMIFS('구매 입고 현황'!$U$4:$U$189,'구매 입고 현황'!$E$4:$E$189,$B19,'구매 입고 현황'!$H$4:$H$189,E$2)</f>
        <v>0</v>
      </c>
      <c r="F19" s="79">
        <f>SUMIFS('구매 입고 현황'!$U$4:$U$189,'구매 입고 현황'!$E$4:$E$189,$B19,'구매 입고 현황'!$H$4:$H$189,F$2)</f>
        <v>0</v>
      </c>
      <c r="G19" s="79">
        <f>SUMIFS('구매 입고 현황'!$U$4:$U$189,'구매 입고 현황'!$E$4:$E$189,$B19,'구매 입고 현황'!$H$4:$H$189,G$2)</f>
        <v>0</v>
      </c>
      <c r="H19" s="79">
        <f>SUMIFS('구매 입고 현황'!$U$4:$U$189,'구매 입고 현황'!$E$4:$E$189,$B19,'구매 입고 현황'!$H$4:$H$189,H$2)</f>
        <v>0</v>
      </c>
      <c r="I19" s="79">
        <f>SUMIFS('구매 입고 현황'!$U$4:$U$189,'구매 입고 현황'!$E$4:$E$189,$B19,'구매 입고 현황'!$H$4:$H$189,I$2)</f>
        <v>0</v>
      </c>
      <c r="J19" s="79">
        <f>SUMIFS('구매 입고 현황'!$U$4:$U$189,'구매 입고 현황'!$E$4:$E$189,$B19,'구매 입고 현황'!$H$4:$H$189,J$2)</f>
        <v>0</v>
      </c>
      <c r="K19" s="79">
        <f>SUMIFS('구매 입고 현황'!$U$4:$U$189,'구매 입고 현황'!$E$4:$E$189,$B19,'구매 입고 현황'!$H$4:$H$189,K$2)</f>
        <v>0</v>
      </c>
      <c r="L19" s="79">
        <f>SUMIFS('구매 입고 현황'!$U$4:$U$189,'구매 입고 현황'!$E$4:$E$189,$B19,'구매 입고 현황'!$H$4:$H$189,L$2)</f>
        <v>0</v>
      </c>
      <c r="M19" s="79">
        <f>SUMIFS('구매 입고 현황'!$U$4:$U$189,'구매 입고 현황'!$E$4:$E$189,$B19,'구매 입고 현황'!$H$4:$H$189,M$2)</f>
        <v>0</v>
      </c>
      <c r="N19" s="79">
        <f>SUMIFS('구매 입고 현황'!$U$4:$U$189,'구매 입고 현황'!$E$4:$E$189,$B19,'구매 입고 현황'!$H$4:$H$189,N$2)</f>
        <v>0</v>
      </c>
      <c r="O19" s="79">
        <f>SUMIFS('구매 입고 현황'!$U$4:$U$189,'구매 입고 현황'!$E$4:$E$189,$B19,'구매 입고 현황'!$H$4:$H$189,O$2)</f>
        <v>0</v>
      </c>
      <c r="P19" s="79">
        <f>SUMIFS('구매 입고 현황'!$U$4:$U$189,'구매 입고 현황'!$E$4:$E$189,$B19,'구매 입고 현황'!$H$4:$H$189,P$2)</f>
        <v>0</v>
      </c>
      <c r="Q19" s="79">
        <f>SUMIFS('구매 입고 현황'!$U$4:$U$189,'구매 입고 현황'!$E$4:$E$189,$B19,'구매 입고 현황'!$H$4:$H$189,Q$2)</f>
        <v>0</v>
      </c>
      <c r="R19" s="79">
        <f>SUMIFS('구매 입고 현황'!$U$4:$U$189,'구매 입고 현황'!$E$4:$E$189,$B19,'구매 입고 현황'!$H$4:$H$189,R$2)</f>
        <v>990000</v>
      </c>
      <c r="S19" s="79">
        <f>SUMIFS('구매 입고 현황'!$U$4:$U$189,'구매 입고 현황'!$E$4:$E$189,$B19,'구매 입고 현황'!$H$4:$H$189,S$2)</f>
        <v>0</v>
      </c>
      <c r="T19" s="79">
        <f>SUMIFS('구매 입고 현황'!$U$4:$U$189,'구매 입고 현황'!$E$4:$E$189,$B19,'구매 입고 현황'!$H$4:$H$189,T$2)</f>
        <v>0</v>
      </c>
      <c r="U19" s="186">
        <f t="shared" ref="U19" si="10">SUM(C19:T19)</f>
        <v>990000</v>
      </c>
      <c r="V19" s="187">
        <f t="shared" si="1"/>
        <v>1.429557028586656E-3</v>
      </c>
      <c r="W19" s="82">
        <v>17</v>
      </c>
      <c r="X19" s="78" t="s">
        <v>874</v>
      </c>
      <c r="Y19" s="79">
        <f>SUMIFS('구매 입고 현황'!$U$4:$U$189,'구매 입고 현황'!$E$4:$E$189,$X19,'구매 입고 현황'!$L$4:$L$189,Y$2)</f>
        <v>0</v>
      </c>
      <c r="Z19" s="79">
        <f>SUMIFS('구매 입고 현황'!$U$4:$U$189,'구매 입고 현황'!$E$4:$E$189,$X19,'구매 입고 현황'!$L$4:$L$189,Z$2)</f>
        <v>395000</v>
      </c>
      <c r="AA19" s="79">
        <f>SUMIFS('구매 입고 현황'!$U$4:$U$189,'구매 입고 현황'!$E$4:$E$189,$X19,'구매 입고 현황'!$L$4:$L$189,AA$2)</f>
        <v>0</v>
      </c>
      <c r="AB19" s="79">
        <f>SUMIFS('구매 입고 현황'!$U$4:$U$189,'구매 입고 현황'!$E$4:$E$189,$X19,'구매 입고 현황'!$L$4:$L$189,AB$2)</f>
        <v>0</v>
      </c>
      <c r="AC19" s="79">
        <f>SUMIFS('구매 입고 현황'!$U$4:$U$189,'구매 입고 현황'!$E$4:$E$189,$X19,'구매 입고 현황'!$L$4:$L$189,AC$2)</f>
        <v>0</v>
      </c>
      <c r="AD19" s="79">
        <f>SUMIFS('구매 입고 현황'!$U$4:$U$189,'구매 입고 현황'!$E$4:$E$189,$X19,'구매 입고 현황'!$L$4:$L$189,AD$2)</f>
        <v>595000</v>
      </c>
      <c r="AE19" s="186">
        <f t="shared" ref="AE19" si="11">SUM(Y19:AD19)</f>
        <v>990000</v>
      </c>
      <c r="AF19" s="187">
        <f t="shared" si="2"/>
        <v>1.4229551394866293E-3</v>
      </c>
    </row>
    <row r="20" spans="1:32" ht="20.149999999999999" customHeight="1" x14ac:dyDescent="0.3">
      <c r="A20" s="82">
        <v>18</v>
      </c>
      <c r="B20" s="78" t="s">
        <v>298</v>
      </c>
      <c r="C20" s="79">
        <f>SUMIFS('구매 입고 현황'!$U$4:$U$189,'구매 입고 현황'!$E$4:$E$189,$B20,'구매 입고 현황'!$H$4:$H$189,C$2)</f>
        <v>62600000</v>
      </c>
      <c r="D20" s="79">
        <f>SUMIFS('구매 입고 현황'!$U$4:$U$189,'구매 입고 현황'!$E$4:$E$189,$B20,'구매 입고 현황'!$H$4:$H$189,D$2)</f>
        <v>0</v>
      </c>
      <c r="E20" s="79">
        <f>SUMIFS('구매 입고 현황'!$U$4:$U$189,'구매 입고 현황'!$E$4:$E$189,$B20,'구매 입고 현황'!$H$4:$H$189,E$2)</f>
        <v>0</v>
      </c>
      <c r="F20" s="79">
        <f>SUMIFS('구매 입고 현황'!$U$4:$U$189,'구매 입고 현황'!$E$4:$E$189,$B20,'구매 입고 현황'!$H$4:$H$189,F$2)</f>
        <v>0</v>
      </c>
      <c r="G20" s="79">
        <f>SUMIFS('구매 입고 현황'!$U$4:$U$189,'구매 입고 현황'!$E$4:$E$189,$B20,'구매 입고 현황'!$H$4:$H$189,G$2)</f>
        <v>0</v>
      </c>
      <c r="H20" s="79">
        <f>SUMIFS('구매 입고 현황'!$U$4:$U$189,'구매 입고 현황'!$E$4:$E$189,$B20,'구매 입고 현황'!$H$4:$H$189,H$2)</f>
        <v>0</v>
      </c>
      <c r="I20" s="79">
        <f>SUMIFS('구매 입고 현황'!$U$4:$U$189,'구매 입고 현황'!$E$4:$E$189,$B20,'구매 입고 현황'!$H$4:$H$189,I$2)</f>
        <v>0</v>
      </c>
      <c r="J20" s="79">
        <f>SUMIFS('구매 입고 현황'!$U$4:$U$189,'구매 입고 현황'!$E$4:$E$189,$B20,'구매 입고 현황'!$H$4:$H$189,J$2)</f>
        <v>0</v>
      </c>
      <c r="K20" s="79">
        <f>SUMIFS('구매 입고 현황'!$U$4:$U$189,'구매 입고 현황'!$E$4:$E$189,$B20,'구매 입고 현황'!$H$4:$H$189,K$2)</f>
        <v>0</v>
      </c>
      <c r="L20" s="79">
        <f>SUMIFS('구매 입고 현황'!$U$4:$U$189,'구매 입고 현황'!$E$4:$E$189,$B20,'구매 입고 현황'!$H$4:$H$189,L$2)</f>
        <v>0</v>
      </c>
      <c r="M20" s="79">
        <f>SUMIFS('구매 입고 현황'!$U$4:$U$189,'구매 입고 현황'!$E$4:$E$189,$B20,'구매 입고 현황'!$H$4:$H$189,M$2)</f>
        <v>0</v>
      </c>
      <c r="N20" s="79">
        <f>SUMIFS('구매 입고 현황'!$U$4:$U$189,'구매 입고 현황'!$E$4:$E$189,$B20,'구매 입고 현황'!$H$4:$H$189,N$2)</f>
        <v>0</v>
      </c>
      <c r="O20" s="79">
        <f>SUMIFS('구매 입고 현황'!$U$4:$U$189,'구매 입고 현황'!$E$4:$E$189,$B20,'구매 입고 현황'!$H$4:$H$189,O$2)</f>
        <v>0</v>
      </c>
      <c r="P20" s="79">
        <f>SUMIFS('구매 입고 현황'!$U$4:$U$189,'구매 입고 현황'!$E$4:$E$189,$B20,'구매 입고 현황'!$H$4:$H$189,P$2)</f>
        <v>0</v>
      </c>
      <c r="Q20" s="79">
        <f>SUMIFS('구매 입고 현황'!$U$4:$U$189,'구매 입고 현황'!$E$4:$E$189,$B20,'구매 입고 현황'!$H$4:$H$189,Q$2)</f>
        <v>0</v>
      </c>
      <c r="R20" s="79">
        <f>SUMIFS('구매 입고 현황'!$U$4:$U$189,'구매 입고 현황'!$E$4:$E$189,$B20,'구매 입고 현황'!$H$4:$H$189,R$2)</f>
        <v>0</v>
      </c>
      <c r="S20" s="79">
        <f>SUMIFS('구매 입고 현황'!$U$4:$U$189,'구매 입고 현황'!$E$4:$E$189,$B20,'구매 입고 현황'!$H$4:$H$189,S$2)</f>
        <v>0</v>
      </c>
      <c r="T20" s="79">
        <f>SUMIFS('구매 입고 현황'!$U$4:$U$189,'구매 입고 현황'!$E$4:$E$189,$B20,'구매 입고 현황'!$H$4:$H$189,T$2)</f>
        <v>0</v>
      </c>
      <c r="U20" s="186">
        <f t="shared" si="0"/>
        <v>62600000</v>
      </c>
      <c r="V20" s="187">
        <f t="shared" si="1"/>
        <v>9.0394212110630964E-2</v>
      </c>
      <c r="W20" s="82">
        <v>18</v>
      </c>
      <c r="X20" s="78" t="s">
        <v>298</v>
      </c>
      <c r="Y20" s="79">
        <f>SUMIFS('구매 입고 현황'!$U$4:$U$189,'구매 입고 현황'!$E$4:$E$189,$X20,'구매 입고 현황'!$L$4:$L$189,Y$2)</f>
        <v>0</v>
      </c>
      <c r="Z20" s="79">
        <f>SUMIFS('구매 입고 현황'!$U$4:$U$189,'구매 입고 현황'!$E$4:$E$189,$X20,'구매 입고 현황'!$L$4:$L$189,Z$2)</f>
        <v>0</v>
      </c>
      <c r="AA20" s="79">
        <f>SUMIFS('구매 입고 현황'!$U$4:$U$189,'구매 입고 현황'!$E$4:$E$189,$X20,'구매 입고 현황'!$L$4:$L$189,AA$2)</f>
        <v>0</v>
      </c>
      <c r="AB20" s="79">
        <f>SUMIFS('구매 입고 현황'!$U$4:$U$189,'구매 입고 현황'!$E$4:$E$189,$X20,'구매 입고 현황'!$L$4:$L$189,AB$2)</f>
        <v>0</v>
      </c>
      <c r="AC20" s="79">
        <f>SUMIFS('구매 입고 현황'!$U$4:$U$189,'구매 입고 현황'!$E$4:$E$189,$X20,'구매 입고 현황'!$L$4:$L$189,AC$2)</f>
        <v>0</v>
      </c>
      <c r="AD20" s="79">
        <f>SUMIFS('구매 입고 현황'!$U$4:$U$189,'구매 입고 현황'!$E$4:$E$189,$X20,'구매 입고 현황'!$L$4:$L$189,AD$2)</f>
        <v>62600000</v>
      </c>
      <c r="AE20" s="186">
        <f t="shared" si="9"/>
        <v>62600000</v>
      </c>
      <c r="AF20" s="187">
        <f t="shared" si="2"/>
        <v>8.9976759325114133E-2</v>
      </c>
    </row>
    <row r="21" spans="1:32" ht="20.149999999999999" customHeight="1" x14ac:dyDescent="0.3">
      <c r="A21" s="82">
        <v>19</v>
      </c>
      <c r="B21" s="78" t="s">
        <v>305</v>
      </c>
      <c r="C21" s="79">
        <f>SUMIFS('구매 입고 현황'!$U$4:$U$189,'구매 입고 현황'!$E$4:$E$189,$B21,'구매 입고 현황'!$H$4:$H$189,C$2)</f>
        <v>2275000</v>
      </c>
      <c r="D21" s="79">
        <f>SUMIFS('구매 입고 현황'!$U$4:$U$189,'구매 입고 현황'!$E$4:$E$189,$B21,'구매 입고 현황'!$H$4:$H$189,D$2)</f>
        <v>0</v>
      </c>
      <c r="E21" s="79">
        <f>SUMIFS('구매 입고 현황'!$U$4:$U$189,'구매 입고 현황'!$E$4:$E$189,$B21,'구매 입고 현황'!$H$4:$H$189,E$2)</f>
        <v>0</v>
      </c>
      <c r="F21" s="79">
        <f>SUMIFS('구매 입고 현황'!$U$4:$U$189,'구매 입고 현황'!$E$4:$E$189,$B21,'구매 입고 현황'!$H$4:$H$189,F$2)</f>
        <v>0</v>
      </c>
      <c r="G21" s="79">
        <f>SUMIFS('구매 입고 현황'!$U$4:$U$189,'구매 입고 현황'!$E$4:$E$189,$B21,'구매 입고 현황'!$H$4:$H$189,G$2)</f>
        <v>0</v>
      </c>
      <c r="H21" s="79">
        <f>SUMIFS('구매 입고 현황'!$U$4:$U$189,'구매 입고 현황'!$E$4:$E$189,$B21,'구매 입고 현황'!$H$4:$H$189,H$2)</f>
        <v>0</v>
      </c>
      <c r="I21" s="79">
        <f>SUMIFS('구매 입고 현황'!$U$4:$U$189,'구매 입고 현황'!$E$4:$E$189,$B21,'구매 입고 현황'!$H$4:$H$189,I$2)</f>
        <v>0</v>
      </c>
      <c r="J21" s="79">
        <f>SUMIFS('구매 입고 현황'!$U$4:$U$189,'구매 입고 현황'!$E$4:$E$189,$B21,'구매 입고 현황'!$H$4:$H$189,J$2)</f>
        <v>0</v>
      </c>
      <c r="K21" s="79">
        <f>SUMIFS('구매 입고 현황'!$U$4:$U$189,'구매 입고 현황'!$E$4:$E$189,$B21,'구매 입고 현황'!$H$4:$H$189,K$2)</f>
        <v>0</v>
      </c>
      <c r="L21" s="79">
        <f>SUMIFS('구매 입고 현황'!$U$4:$U$189,'구매 입고 현황'!$E$4:$E$189,$B21,'구매 입고 현황'!$H$4:$H$189,L$2)</f>
        <v>0</v>
      </c>
      <c r="M21" s="79">
        <f>SUMIFS('구매 입고 현황'!$U$4:$U$189,'구매 입고 현황'!$E$4:$E$189,$B21,'구매 입고 현황'!$H$4:$H$189,M$2)</f>
        <v>0</v>
      </c>
      <c r="N21" s="79">
        <f>SUMIFS('구매 입고 현황'!$U$4:$U$189,'구매 입고 현황'!$E$4:$E$189,$B21,'구매 입고 현황'!$H$4:$H$189,N$2)</f>
        <v>0</v>
      </c>
      <c r="O21" s="79">
        <f>SUMIFS('구매 입고 현황'!$U$4:$U$189,'구매 입고 현황'!$E$4:$E$189,$B21,'구매 입고 현황'!$H$4:$H$189,O$2)</f>
        <v>0</v>
      </c>
      <c r="P21" s="79">
        <f>SUMIFS('구매 입고 현황'!$U$4:$U$189,'구매 입고 현황'!$E$4:$E$189,$B21,'구매 입고 현황'!$H$4:$H$189,P$2)</f>
        <v>0</v>
      </c>
      <c r="Q21" s="79">
        <f>SUMIFS('구매 입고 현황'!$U$4:$U$189,'구매 입고 현황'!$E$4:$E$189,$B21,'구매 입고 현황'!$H$4:$H$189,Q$2)</f>
        <v>0</v>
      </c>
      <c r="R21" s="79">
        <f>SUMIFS('구매 입고 현황'!$U$4:$U$189,'구매 입고 현황'!$E$4:$E$189,$B21,'구매 입고 현황'!$H$4:$H$189,R$2)</f>
        <v>0</v>
      </c>
      <c r="S21" s="79">
        <f>SUMIFS('구매 입고 현황'!$U$4:$U$189,'구매 입고 현황'!$E$4:$E$189,$B21,'구매 입고 현황'!$H$4:$H$189,S$2)</f>
        <v>0</v>
      </c>
      <c r="T21" s="79">
        <f>SUMIFS('구매 입고 현황'!$U$4:$U$189,'구매 입고 현황'!$E$4:$E$189,$B21,'구매 입고 현황'!$H$4:$H$189,T$2)</f>
        <v>0</v>
      </c>
      <c r="U21" s="186">
        <f t="shared" si="0"/>
        <v>2275000</v>
      </c>
      <c r="V21" s="187">
        <f t="shared" si="1"/>
        <v>3.2850931717521639E-3</v>
      </c>
      <c r="W21" s="82">
        <v>19</v>
      </c>
      <c r="X21" s="78" t="s">
        <v>305</v>
      </c>
      <c r="Y21" s="79">
        <f>SUMIFS('구매 입고 현황'!$U$4:$U$189,'구매 입고 현황'!$E$4:$E$189,$X21,'구매 입고 현황'!$L$4:$L$189,Y$2)</f>
        <v>0</v>
      </c>
      <c r="Z21" s="79">
        <f>SUMIFS('구매 입고 현황'!$U$4:$U$189,'구매 입고 현황'!$E$4:$E$189,$X21,'구매 입고 현황'!$L$4:$L$189,Z$2)</f>
        <v>0</v>
      </c>
      <c r="AA21" s="79">
        <f>SUMIFS('구매 입고 현황'!$U$4:$U$189,'구매 입고 현황'!$E$4:$E$189,$X21,'구매 입고 현황'!$L$4:$L$189,AA$2)</f>
        <v>0</v>
      </c>
      <c r="AB21" s="79">
        <f>SUMIFS('구매 입고 현황'!$U$4:$U$189,'구매 입고 현황'!$E$4:$E$189,$X21,'구매 입고 현황'!$L$4:$L$189,AB$2)</f>
        <v>0</v>
      </c>
      <c r="AC21" s="79">
        <f>SUMIFS('구매 입고 현황'!$U$4:$U$189,'구매 입고 현황'!$E$4:$E$189,$X21,'구매 입고 현황'!$L$4:$L$189,AC$2)</f>
        <v>0</v>
      </c>
      <c r="AD21" s="79">
        <f>SUMIFS('구매 입고 현황'!$U$4:$U$189,'구매 입고 현황'!$E$4:$E$189,$X21,'구매 입고 현황'!$L$4:$L$189,AD$2)</f>
        <v>2275000</v>
      </c>
      <c r="AE21" s="186">
        <f t="shared" si="9"/>
        <v>2275000</v>
      </c>
      <c r="AF21" s="187">
        <f t="shared" si="2"/>
        <v>3.2699221639717994E-3</v>
      </c>
    </row>
    <row r="22" spans="1:32" ht="20.149999999999999" customHeight="1" x14ac:dyDescent="0.3">
      <c r="A22" s="82">
        <v>20</v>
      </c>
      <c r="B22" s="78" t="s">
        <v>228</v>
      </c>
      <c r="C22" s="79">
        <f>SUMIFS('구매 입고 현황'!$U$4:$U$189,'구매 입고 현황'!$E$4:$E$189,$B22,'구매 입고 현황'!$H$4:$H$189,C$2)</f>
        <v>0</v>
      </c>
      <c r="D22" s="79">
        <f>SUMIFS('구매 입고 현황'!$U$4:$U$189,'구매 입고 현황'!$E$4:$E$189,$B22,'구매 입고 현황'!$H$4:$H$189,D$2)</f>
        <v>0</v>
      </c>
      <c r="E22" s="79">
        <f>SUMIFS('구매 입고 현황'!$U$4:$U$189,'구매 입고 현황'!$E$4:$E$189,$B22,'구매 입고 현황'!$H$4:$H$189,E$2)</f>
        <v>0</v>
      </c>
      <c r="F22" s="79">
        <f>SUMIFS('구매 입고 현황'!$U$4:$U$189,'구매 입고 현황'!$E$4:$E$189,$B22,'구매 입고 현황'!$H$4:$H$189,F$2)</f>
        <v>0</v>
      </c>
      <c r="G22" s="79">
        <f>SUMIFS('구매 입고 현황'!$U$4:$U$189,'구매 입고 현황'!$E$4:$E$189,$B22,'구매 입고 현황'!$H$4:$H$189,G$2)</f>
        <v>0</v>
      </c>
      <c r="H22" s="79">
        <f>SUMIFS('구매 입고 현황'!$U$4:$U$189,'구매 입고 현황'!$E$4:$E$189,$B22,'구매 입고 현황'!$H$4:$H$189,H$2)</f>
        <v>1900000</v>
      </c>
      <c r="I22" s="79">
        <f>SUMIFS('구매 입고 현황'!$U$4:$U$189,'구매 입고 현황'!$E$4:$E$189,$B22,'구매 입고 현황'!$H$4:$H$189,I$2)</f>
        <v>0</v>
      </c>
      <c r="J22" s="79">
        <f>SUMIFS('구매 입고 현황'!$U$4:$U$189,'구매 입고 현황'!$E$4:$E$189,$B22,'구매 입고 현황'!$H$4:$H$189,J$2)</f>
        <v>0</v>
      </c>
      <c r="K22" s="79">
        <f>SUMIFS('구매 입고 현황'!$U$4:$U$189,'구매 입고 현황'!$E$4:$E$189,$B22,'구매 입고 현황'!$H$4:$H$189,K$2)</f>
        <v>0</v>
      </c>
      <c r="L22" s="79">
        <f>SUMIFS('구매 입고 현황'!$U$4:$U$189,'구매 입고 현황'!$E$4:$E$189,$B22,'구매 입고 현황'!$H$4:$H$189,L$2)</f>
        <v>0</v>
      </c>
      <c r="M22" s="79">
        <f>SUMIFS('구매 입고 현황'!$U$4:$U$189,'구매 입고 현황'!$E$4:$E$189,$B22,'구매 입고 현황'!$H$4:$H$189,M$2)</f>
        <v>0</v>
      </c>
      <c r="N22" s="79">
        <f>SUMIFS('구매 입고 현황'!$U$4:$U$189,'구매 입고 현황'!$E$4:$E$189,$B22,'구매 입고 현황'!$H$4:$H$189,N$2)</f>
        <v>0</v>
      </c>
      <c r="O22" s="79">
        <f>SUMIFS('구매 입고 현황'!$U$4:$U$189,'구매 입고 현황'!$E$4:$E$189,$B22,'구매 입고 현황'!$H$4:$H$189,O$2)</f>
        <v>0</v>
      </c>
      <c r="P22" s="79">
        <f>SUMIFS('구매 입고 현황'!$U$4:$U$189,'구매 입고 현황'!$E$4:$E$189,$B22,'구매 입고 현황'!$H$4:$H$189,P$2)</f>
        <v>0</v>
      </c>
      <c r="Q22" s="79">
        <f>SUMIFS('구매 입고 현황'!$U$4:$U$189,'구매 입고 현황'!$E$4:$E$189,$B22,'구매 입고 현황'!$H$4:$H$189,Q$2)</f>
        <v>0</v>
      </c>
      <c r="R22" s="79">
        <f>SUMIFS('구매 입고 현황'!$U$4:$U$189,'구매 입고 현황'!$E$4:$E$189,$B22,'구매 입고 현황'!$H$4:$H$189,R$2)</f>
        <v>0</v>
      </c>
      <c r="S22" s="79">
        <f>SUMIFS('구매 입고 현황'!$U$4:$U$189,'구매 입고 현황'!$E$4:$E$189,$B22,'구매 입고 현황'!$H$4:$H$189,S$2)</f>
        <v>0</v>
      </c>
      <c r="T22" s="79">
        <f>SUMIFS('구매 입고 현황'!$U$4:$U$189,'구매 입고 현황'!$E$4:$E$189,$B22,'구매 입고 현황'!$H$4:$H$189,T$2)</f>
        <v>0</v>
      </c>
      <c r="U22" s="186">
        <f t="shared" si="0"/>
        <v>1900000</v>
      </c>
      <c r="V22" s="187">
        <f t="shared" si="1"/>
        <v>2.7435942972875212E-3</v>
      </c>
      <c r="W22" s="82">
        <v>20</v>
      </c>
      <c r="X22" s="78" t="s">
        <v>228</v>
      </c>
      <c r="Y22" s="79">
        <f>SUMIFS('구매 입고 현황'!$U$4:$U$189,'구매 입고 현황'!$E$4:$E$189,$X22,'구매 입고 현황'!$L$4:$L$189,Y$2)</f>
        <v>0</v>
      </c>
      <c r="Z22" s="79">
        <f>SUMIFS('구매 입고 현황'!$U$4:$U$189,'구매 입고 현황'!$E$4:$E$189,$X22,'구매 입고 현황'!$L$4:$L$189,Z$2)</f>
        <v>0</v>
      </c>
      <c r="AA22" s="79">
        <f>SUMIFS('구매 입고 현황'!$U$4:$U$189,'구매 입고 현황'!$E$4:$E$189,$X22,'구매 입고 현황'!$L$4:$L$189,AA$2)</f>
        <v>0</v>
      </c>
      <c r="AB22" s="79">
        <f>SUMIFS('구매 입고 현황'!$U$4:$U$189,'구매 입고 현황'!$E$4:$E$189,$X22,'구매 입고 현황'!$L$4:$L$189,AB$2)</f>
        <v>0</v>
      </c>
      <c r="AC22" s="79">
        <f>SUMIFS('구매 입고 현황'!$U$4:$U$189,'구매 입고 현황'!$E$4:$E$189,$X22,'구매 입고 현황'!$L$4:$L$189,AC$2)</f>
        <v>0</v>
      </c>
      <c r="AD22" s="79">
        <f>SUMIFS('구매 입고 현황'!$U$4:$U$189,'구매 입고 현황'!$E$4:$E$189,$X22,'구매 입고 현황'!$L$4:$L$189,AD$2)</f>
        <v>1900000</v>
      </c>
      <c r="AE22" s="186">
        <f t="shared" si="9"/>
        <v>1900000</v>
      </c>
      <c r="AF22" s="187">
        <f t="shared" si="2"/>
        <v>2.730924005075349E-3</v>
      </c>
    </row>
    <row r="23" spans="1:32" ht="20.149999999999999" customHeight="1" x14ac:dyDescent="0.3">
      <c r="A23" s="82">
        <v>21</v>
      </c>
      <c r="B23" s="78" t="s">
        <v>208</v>
      </c>
      <c r="C23" s="79">
        <f>SUMIFS('구매 입고 현황'!$U$4:$U$189,'구매 입고 현황'!$E$4:$E$189,$B23,'구매 입고 현황'!$H$4:$H$189,C$2)</f>
        <v>0</v>
      </c>
      <c r="D23" s="79">
        <f>SUMIFS('구매 입고 현황'!$U$4:$U$189,'구매 입고 현황'!$E$4:$E$189,$B23,'구매 입고 현황'!$H$4:$H$189,D$2)</f>
        <v>0</v>
      </c>
      <c r="E23" s="79">
        <f>SUMIFS('구매 입고 현황'!$U$4:$U$189,'구매 입고 현황'!$E$4:$E$189,$B23,'구매 입고 현황'!$H$4:$H$189,E$2)</f>
        <v>0</v>
      </c>
      <c r="F23" s="79">
        <f>SUMIFS('구매 입고 현황'!$U$4:$U$189,'구매 입고 현황'!$E$4:$E$189,$B23,'구매 입고 현황'!$H$4:$H$189,F$2)</f>
        <v>0</v>
      </c>
      <c r="G23" s="79">
        <f>SUMIFS('구매 입고 현황'!$U$4:$U$189,'구매 입고 현황'!$E$4:$E$189,$B23,'구매 입고 현황'!$H$4:$H$189,G$2)</f>
        <v>0</v>
      </c>
      <c r="H23" s="79">
        <f>SUMIFS('구매 입고 현황'!$U$4:$U$189,'구매 입고 현황'!$E$4:$E$189,$B23,'구매 입고 현황'!$H$4:$H$189,H$2)</f>
        <v>368000</v>
      </c>
      <c r="I23" s="79">
        <f>SUMIFS('구매 입고 현황'!$U$4:$U$189,'구매 입고 현황'!$E$4:$E$189,$B23,'구매 입고 현황'!$H$4:$H$189,I$2)</f>
        <v>0</v>
      </c>
      <c r="J23" s="79">
        <f>SUMIFS('구매 입고 현황'!$U$4:$U$189,'구매 입고 현황'!$E$4:$E$189,$B23,'구매 입고 현황'!$H$4:$H$189,J$2)</f>
        <v>0</v>
      </c>
      <c r="K23" s="79">
        <f>SUMIFS('구매 입고 현황'!$U$4:$U$189,'구매 입고 현황'!$E$4:$E$189,$B23,'구매 입고 현황'!$H$4:$H$189,K$2)</f>
        <v>0</v>
      </c>
      <c r="L23" s="79">
        <f>SUMIFS('구매 입고 현황'!$U$4:$U$189,'구매 입고 현황'!$E$4:$E$189,$B23,'구매 입고 현황'!$H$4:$H$189,L$2)</f>
        <v>0</v>
      </c>
      <c r="M23" s="79">
        <f>SUMIFS('구매 입고 현황'!$U$4:$U$189,'구매 입고 현황'!$E$4:$E$189,$B23,'구매 입고 현황'!$H$4:$H$189,M$2)</f>
        <v>0</v>
      </c>
      <c r="N23" s="79">
        <f>SUMIFS('구매 입고 현황'!$U$4:$U$189,'구매 입고 현황'!$E$4:$E$189,$B23,'구매 입고 현황'!$H$4:$H$189,N$2)</f>
        <v>0</v>
      </c>
      <c r="O23" s="79">
        <f>SUMIFS('구매 입고 현황'!$U$4:$U$189,'구매 입고 현황'!$E$4:$E$189,$B23,'구매 입고 현황'!$H$4:$H$189,O$2)</f>
        <v>0</v>
      </c>
      <c r="P23" s="79">
        <f>SUMIFS('구매 입고 현황'!$U$4:$U$189,'구매 입고 현황'!$E$4:$E$189,$B23,'구매 입고 현황'!$H$4:$H$189,P$2)</f>
        <v>0</v>
      </c>
      <c r="Q23" s="79">
        <f>SUMIFS('구매 입고 현황'!$U$4:$U$189,'구매 입고 현황'!$E$4:$E$189,$B23,'구매 입고 현황'!$H$4:$H$189,Q$2)</f>
        <v>0</v>
      </c>
      <c r="R23" s="79">
        <f>SUMIFS('구매 입고 현황'!$U$4:$U$189,'구매 입고 현황'!$E$4:$E$189,$B23,'구매 입고 현황'!$H$4:$H$189,R$2)</f>
        <v>0</v>
      </c>
      <c r="S23" s="79">
        <f>SUMIFS('구매 입고 현황'!$U$4:$U$189,'구매 입고 현황'!$E$4:$E$189,$B23,'구매 입고 현황'!$H$4:$H$189,S$2)</f>
        <v>0</v>
      </c>
      <c r="T23" s="79">
        <f>SUMIFS('구매 입고 현황'!$U$4:$U$189,'구매 입고 현황'!$E$4:$E$189,$B23,'구매 입고 현황'!$H$4:$H$189,T$2)</f>
        <v>0</v>
      </c>
      <c r="U23" s="186">
        <f t="shared" si="0"/>
        <v>368000</v>
      </c>
      <c r="V23" s="187">
        <f t="shared" si="1"/>
        <v>5.3139089547463571E-4</v>
      </c>
      <c r="W23" s="82">
        <v>21</v>
      </c>
      <c r="X23" s="78" t="s">
        <v>208</v>
      </c>
      <c r="Y23" s="79">
        <f>SUMIFS('구매 입고 현황'!$U$4:$U$189,'구매 입고 현황'!$E$4:$E$189,$X23,'구매 입고 현황'!$L$4:$L$189,Y$2)</f>
        <v>0</v>
      </c>
      <c r="Z23" s="79">
        <f>SUMIFS('구매 입고 현황'!$U$4:$U$189,'구매 입고 현황'!$E$4:$E$189,$X23,'구매 입고 현황'!$L$4:$L$189,Z$2)</f>
        <v>0</v>
      </c>
      <c r="AA23" s="79">
        <f>SUMIFS('구매 입고 현황'!$U$4:$U$189,'구매 입고 현황'!$E$4:$E$189,$X23,'구매 입고 현황'!$L$4:$L$189,AA$2)</f>
        <v>0</v>
      </c>
      <c r="AB23" s="79">
        <f>SUMIFS('구매 입고 현황'!$U$4:$U$189,'구매 입고 현황'!$E$4:$E$189,$X23,'구매 입고 현황'!$L$4:$L$189,AB$2)</f>
        <v>0</v>
      </c>
      <c r="AC23" s="79">
        <f>SUMIFS('구매 입고 현황'!$U$4:$U$189,'구매 입고 현황'!$E$4:$E$189,$X23,'구매 입고 현황'!$L$4:$L$189,AC$2)</f>
        <v>0</v>
      </c>
      <c r="AD23" s="79">
        <f>SUMIFS('구매 입고 현황'!$U$4:$U$189,'구매 입고 현황'!$E$4:$E$189,$X23,'구매 입고 현황'!$L$4:$L$189,AD$2)</f>
        <v>368000</v>
      </c>
      <c r="AE23" s="186">
        <f t="shared" si="9"/>
        <v>368000</v>
      </c>
      <c r="AF23" s="187">
        <f t="shared" si="2"/>
        <v>5.2893685993038344E-4</v>
      </c>
    </row>
    <row r="24" spans="1:32" ht="20.149999999999999" customHeight="1" x14ac:dyDescent="0.3">
      <c r="A24" s="82">
        <v>22</v>
      </c>
      <c r="B24" s="78" t="s">
        <v>787</v>
      </c>
      <c r="C24" s="79">
        <f>SUMIFS('구매 입고 현황'!$U$4:$U$189,'구매 입고 현황'!$E$4:$E$189,$B24,'구매 입고 현황'!$H$4:$H$189,C$2)</f>
        <v>0</v>
      </c>
      <c r="D24" s="79">
        <f>SUMIFS('구매 입고 현황'!$U$4:$U$189,'구매 입고 현황'!$E$4:$E$189,$B24,'구매 입고 현황'!$H$4:$H$189,D$2)</f>
        <v>0</v>
      </c>
      <c r="E24" s="79">
        <f>SUMIFS('구매 입고 현황'!$U$4:$U$189,'구매 입고 현황'!$E$4:$E$189,$B24,'구매 입고 현황'!$H$4:$H$189,E$2)</f>
        <v>1800000</v>
      </c>
      <c r="F24" s="79">
        <f>SUMIFS('구매 입고 현황'!$U$4:$U$189,'구매 입고 현황'!$E$4:$E$189,$B24,'구매 입고 현황'!$H$4:$H$189,F$2)</f>
        <v>0</v>
      </c>
      <c r="G24" s="79">
        <f>SUMIFS('구매 입고 현황'!$U$4:$U$189,'구매 입고 현황'!$E$4:$E$189,$B24,'구매 입고 현황'!$H$4:$H$189,G$2)</f>
        <v>0</v>
      </c>
      <c r="H24" s="79">
        <f>SUMIFS('구매 입고 현황'!$U$4:$U$189,'구매 입고 현황'!$E$4:$E$189,$B24,'구매 입고 현황'!$H$4:$H$189,H$2)</f>
        <v>0</v>
      </c>
      <c r="I24" s="79">
        <f>SUMIFS('구매 입고 현황'!$U$4:$U$189,'구매 입고 현황'!$E$4:$E$189,$B24,'구매 입고 현황'!$H$4:$H$189,I$2)</f>
        <v>0</v>
      </c>
      <c r="J24" s="79">
        <f>SUMIFS('구매 입고 현황'!$U$4:$U$189,'구매 입고 현황'!$E$4:$E$189,$B24,'구매 입고 현황'!$H$4:$H$189,J$2)</f>
        <v>0</v>
      </c>
      <c r="K24" s="79">
        <f>SUMIFS('구매 입고 현황'!$U$4:$U$189,'구매 입고 현황'!$E$4:$E$189,$B24,'구매 입고 현황'!$H$4:$H$189,K$2)</f>
        <v>0</v>
      </c>
      <c r="L24" s="79">
        <f>SUMIFS('구매 입고 현황'!$U$4:$U$189,'구매 입고 현황'!$E$4:$E$189,$B24,'구매 입고 현황'!$H$4:$H$189,L$2)</f>
        <v>0</v>
      </c>
      <c r="M24" s="79">
        <f>SUMIFS('구매 입고 현황'!$U$4:$U$189,'구매 입고 현황'!$E$4:$E$189,$B24,'구매 입고 현황'!$H$4:$H$189,M$2)</f>
        <v>0</v>
      </c>
      <c r="N24" s="79">
        <f>SUMIFS('구매 입고 현황'!$U$4:$U$189,'구매 입고 현황'!$E$4:$E$189,$B24,'구매 입고 현황'!$H$4:$H$189,N$2)</f>
        <v>0</v>
      </c>
      <c r="O24" s="79">
        <f>SUMIFS('구매 입고 현황'!$U$4:$U$189,'구매 입고 현황'!$E$4:$E$189,$B24,'구매 입고 현황'!$H$4:$H$189,O$2)</f>
        <v>0</v>
      </c>
      <c r="P24" s="79">
        <f>SUMIFS('구매 입고 현황'!$U$4:$U$189,'구매 입고 현황'!$E$4:$E$189,$B24,'구매 입고 현황'!$H$4:$H$189,P$2)</f>
        <v>0</v>
      </c>
      <c r="Q24" s="79">
        <f>SUMIFS('구매 입고 현황'!$U$4:$U$189,'구매 입고 현황'!$E$4:$E$189,$B24,'구매 입고 현황'!$H$4:$H$189,Q$2)</f>
        <v>0</v>
      </c>
      <c r="R24" s="79">
        <f>SUMIFS('구매 입고 현황'!$U$4:$U$189,'구매 입고 현황'!$E$4:$E$189,$B24,'구매 입고 현황'!$H$4:$H$189,R$2)</f>
        <v>0</v>
      </c>
      <c r="S24" s="79">
        <f>SUMIFS('구매 입고 현황'!$U$4:$U$189,'구매 입고 현황'!$E$4:$E$189,$B24,'구매 입고 현황'!$H$4:$H$189,S$2)</f>
        <v>0</v>
      </c>
      <c r="T24" s="79">
        <f>SUMIFS('구매 입고 현황'!$U$4:$U$189,'구매 입고 현황'!$E$4:$E$189,$B24,'구매 입고 현황'!$H$4:$H$189,T$2)</f>
        <v>0</v>
      </c>
      <c r="U24" s="186">
        <f t="shared" si="0"/>
        <v>1800000</v>
      </c>
      <c r="V24" s="187">
        <f t="shared" ref="V24" si="12">U24/$U$46</f>
        <v>2.5991945974302836E-3</v>
      </c>
      <c r="W24" s="82">
        <v>22</v>
      </c>
      <c r="X24" s="78" t="s">
        <v>787</v>
      </c>
      <c r="Y24" s="79">
        <f>SUMIFS('구매 입고 현황'!$U$4:$U$189,'구매 입고 현황'!$E$4:$E$189,$X24,'구매 입고 현황'!$L$4:$L$189,Y$2)</f>
        <v>0</v>
      </c>
      <c r="Z24" s="79">
        <f>SUMIFS('구매 입고 현황'!$U$4:$U$189,'구매 입고 현황'!$E$4:$E$189,$X24,'구매 입고 현황'!$L$4:$L$189,Z$2)</f>
        <v>0</v>
      </c>
      <c r="AA24" s="79">
        <f>SUMIFS('구매 입고 현황'!$U$4:$U$189,'구매 입고 현황'!$E$4:$E$189,$X24,'구매 입고 현황'!$L$4:$L$189,AA$2)</f>
        <v>0</v>
      </c>
      <c r="AB24" s="79">
        <f>SUMIFS('구매 입고 현황'!$U$4:$U$189,'구매 입고 현황'!$E$4:$E$189,$X24,'구매 입고 현황'!$L$4:$L$189,AB$2)</f>
        <v>0</v>
      </c>
      <c r="AC24" s="79">
        <f>SUMIFS('구매 입고 현황'!$U$4:$U$189,'구매 입고 현황'!$E$4:$E$189,$X24,'구매 입고 현황'!$L$4:$L$189,AC$2)</f>
        <v>0</v>
      </c>
      <c r="AD24" s="79">
        <f>SUMIFS('구매 입고 현황'!$U$4:$U$189,'구매 입고 현황'!$E$4:$E$189,$X24,'구매 입고 현황'!$L$4:$L$189,AD$2)</f>
        <v>1800000</v>
      </c>
      <c r="AE24" s="186">
        <f t="shared" ref="AE24" si="13">SUM(Y24:AD24)</f>
        <v>1800000</v>
      </c>
      <c r="AF24" s="187">
        <f t="shared" si="2"/>
        <v>2.5871911627029622E-3</v>
      </c>
    </row>
    <row r="25" spans="1:32" ht="20.149999999999999" customHeight="1" x14ac:dyDescent="0.3">
      <c r="A25" s="82">
        <v>23</v>
      </c>
      <c r="B25" s="78" t="s">
        <v>221</v>
      </c>
      <c r="C25" s="79">
        <f>SUMIFS('구매 입고 현황'!$U$4:$U$189,'구매 입고 현황'!$E$4:$E$189,$B25,'구매 입고 현황'!$H$4:$H$189,C$2)</f>
        <v>0</v>
      </c>
      <c r="D25" s="79">
        <f>SUMIFS('구매 입고 현황'!$U$4:$U$189,'구매 입고 현황'!$E$4:$E$189,$B25,'구매 입고 현황'!$H$4:$H$189,D$2)</f>
        <v>0</v>
      </c>
      <c r="E25" s="79">
        <f>SUMIFS('구매 입고 현황'!$U$4:$U$189,'구매 입고 현황'!$E$4:$E$189,$B25,'구매 입고 현황'!$H$4:$H$189,E$2)</f>
        <v>6637950</v>
      </c>
      <c r="F25" s="79">
        <f>SUMIFS('구매 입고 현황'!$U$4:$U$189,'구매 입고 현황'!$E$4:$E$189,$B25,'구매 입고 현황'!$H$4:$H$189,F$2)</f>
        <v>0</v>
      </c>
      <c r="G25" s="79">
        <f>SUMIFS('구매 입고 현황'!$U$4:$U$189,'구매 입고 현황'!$E$4:$E$189,$B25,'구매 입고 현황'!$H$4:$H$189,G$2)</f>
        <v>0</v>
      </c>
      <c r="H25" s="79">
        <f>SUMIFS('구매 입고 현황'!$U$4:$U$189,'구매 입고 현황'!$E$4:$E$189,$B25,'구매 입고 현황'!$H$4:$H$189,H$2)</f>
        <v>0</v>
      </c>
      <c r="I25" s="79">
        <f>SUMIFS('구매 입고 현황'!$U$4:$U$189,'구매 입고 현황'!$E$4:$E$189,$B25,'구매 입고 현황'!$H$4:$H$189,I$2)</f>
        <v>0</v>
      </c>
      <c r="J25" s="79">
        <f>SUMIFS('구매 입고 현황'!$U$4:$U$189,'구매 입고 현황'!$E$4:$E$189,$B25,'구매 입고 현황'!$H$4:$H$189,J$2)</f>
        <v>0</v>
      </c>
      <c r="K25" s="79">
        <f>SUMIFS('구매 입고 현황'!$U$4:$U$189,'구매 입고 현황'!$E$4:$E$189,$B25,'구매 입고 현황'!$H$4:$H$189,K$2)</f>
        <v>0</v>
      </c>
      <c r="L25" s="79">
        <f>SUMIFS('구매 입고 현황'!$U$4:$U$189,'구매 입고 현황'!$E$4:$E$189,$B25,'구매 입고 현황'!$H$4:$H$189,L$2)</f>
        <v>0</v>
      </c>
      <c r="M25" s="79">
        <f>SUMIFS('구매 입고 현황'!$U$4:$U$189,'구매 입고 현황'!$E$4:$E$189,$B25,'구매 입고 현황'!$H$4:$H$189,M$2)</f>
        <v>0</v>
      </c>
      <c r="N25" s="79">
        <f>SUMIFS('구매 입고 현황'!$U$4:$U$189,'구매 입고 현황'!$E$4:$E$189,$B25,'구매 입고 현황'!$H$4:$H$189,N$2)</f>
        <v>0</v>
      </c>
      <c r="O25" s="79">
        <f>SUMIFS('구매 입고 현황'!$U$4:$U$189,'구매 입고 현황'!$E$4:$E$189,$B25,'구매 입고 현황'!$H$4:$H$189,O$2)</f>
        <v>0</v>
      </c>
      <c r="P25" s="79">
        <f>SUMIFS('구매 입고 현황'!$U$4:$U$189,'구매 입고 현황'!$E$4:$E$189,$B25,'구매 입고 현황'!$H$4:$H$189,P$2)</f>
        <v>0</v>
      </c>
      <c r="Q25" s="79">
        <f>SUMIFS('구매 입고 현황'!$U$4:$U$189,'구매 입고 현황'!$E$4:$E$189,$B25,'구매 입고 현황'!$H$4:$H$189,Q$2)</f>
        <v>0</v>
      </c>
      <c r="R25" s="79">
        <f>SUMIFS('구매 입고 현황'!$U$4:$U$189,'구매 입고 현황'!$E$4:$E$189,$B25,'구매 입고 현황'!$H$4:$H$189,R$2)</f>
        <v>0</v>
      </c>
      <c r="S25" s="79">
        <f>SUMIFS('구매 입고 현황'!$U$4:$U$189,'구매 입고 현황'!$E$4:$E$189,$B25,'구매 입고 현황'!$H$4:$H$189,S$2)</f>
        <v>0</v>
      </c>
      <c r="T25" s="79">
        <f>SUMIFS('구매 입고 현황'!$U$4:$U$189,'구매 입고 현황'!$E$4:$E$189,$B25,'구매 입고 현황'!$H$4:$H$189,T$2)</f>
        <v>0</v>
      </c>
      <c r="U25" s="186">
        <f t="shared" si="0"/>
        <v>6637950</v>
      </c>
      <c r="V25" s="187">
        <f t="shared" ref="V25:V33" si="14">U25/$U$46</f>
        <v>9.5851798766735281E-3</v>
      </c>
      <c r="W25" s="82">
        <v>23</v>
      </c>
      <c r="X25" s="78" t="s">
        <v>221</v>
      </c>
      <c r="Y25" s="79">
        <f>SUMIFS('구매 입고 현황'!$U$4:$U$189,'구매 입고 현황'!$E$4:$E$189,$X25,'구매 입고 현황'!$L$4:$L$189,Y$2)</f>
        <v>0</v>
      </c>
      <c r="Z25" s="79">
        <f>SUMIFS('구매 입고 현황'!$U$4:$U$189,'구매 입고 현황'!$E$4:$E$189,$X25,'구매 입고 현황'!$L$4:$L$189,Z$2)</f>
        <v>0</v>
      </c>
      <c r="AA25" s="79">
        <f>SUMIFS('구매 입고 현황'!$U$4:$U$189,'구매 입고 현황'!$E$4:$E$189,$X25,'구매 입고 현황'!$L$4:$L$189,AA$2)</f>
        <v>0</v>
      </c>
      <c r="AB25" s="79">
        <f>SUMIFS('구매 입고 현황'!$U$4:$U$189,'구매 입고 현황'!$E$4:$E$189,$X25,'구매 입고 현황'!$L$4:$L$189,AB$2)</f>
        <v>0</v>
      </c>
      <c r="AC25" s="79">
        <f>SUMIFS('구매 입고 현황'!$U$4:$U$189,'구매 입고 현황'!$E$4:$E$189,$X25,'구매 입고 현황'!$L$4:$L$189,AC$2)</f>
        <v>0</v>
      </c>
      <c r="AD25" s="79">
        <f>SUMIFS('구매 입고 현황'!$U$4:$U$189,'구매 입고 현황'!$E$4:$E$189,$X25,'구매 입고 현황'!$L$4:$L$189,AD$2)</f>
        <v>6637950</v>
      </c>
      <c r="AE25" s="186">
        <f t="shared" si="9"/>
        <v>6637950</v>
      </c>
      <c r="AF25" s="187">
        <f t="shared" si="2"/>
        <v>9.5409142102578486E-3</v>
      </c>
    </row>
    <row r="26" spans="1:32" ht="20.149999999999999" customHeight="1" x14ac:dyDescent="0.3">
      <c r="A26" s="82">
        <v>24</v>
      </c>
      <c r="B26" s="78" t="s">
        <v>808</v>
      </c>
      <c r="C26" s="79">
        <f>SUMIFS('구매 입고 현황'!$U$4:$U$189,'구매 입고 현황'!$E$4:$E$189,$B26,'구매 입고 현황'!$H$4:$H$189,C$2)</f>
        <v>0</v>
      </c>
      <c r="D26" s="79">
        <f>SUMIFS('구매 입고 현황'!$U$4:$U$189,'구매 입고 현황'!$E$4:$E$189,$B26,'구매 입고 현황'!$H$4:$H$189,D$2)</f>
        <v>0</v>
      </c>
      <c r="E26" s="79">
        <f>SUMIFS('구매 입고 현황'!$U$4:$U$189,'구매 입고 현황'!$E$4:$E$189,$B26,'구매 입고 현황'!$H$4:$H$189,E$2)</f>
        <v>0</v>
      </c>
      <c r="F26" s="79">
        <f>SUMIFS('구매 입고 현황'!$U$4:$U$189,'구매 입고 현황'!$E$4:$E$189,$B26,'구매 입고 현황'!$H$4:$H$189,F$2)</f>
        <v>0</v>
      </c>
      <c r="G26" s="79">
        <f>SUMIFS('구매 입고 현황'!$U$4:$U$189,'구매 입고 현황'!$E$4:$E$189,$B26,'구매 입고 현황'!$H$4:$H$189,G$2)</f>
        <v>0</v>
      </c>
      <c r="H26" s="79">
        <f>SUMIFS('구매 입고 현황'!$U$4:$U$189,'구매 입고 현황'!$E$4:$E$189,$B26,'구매 입고 현황'!$H$4:$H$189,H$2)</f>
        <v>0</v>
      </c>
      <c r="I26" s="79">
        <f>SUMIFS('구매 입고 현황'!$U$4:$U$189,'구매 입고 현황'!$E$4:$E$189,$B26,'구매 입고 현황'!$H$4:$H$189,I$2)</f>
        <v>0</v>
      </c>
      <c r="J26" s="79">
        <f>SUMIFS('구매 입고 현황'!$U$4:$U$189,'구매 입고 현황'!$E$4:$E$189,$B26,'구매 입고 현황'!$H$4:$H$189,J$2)</f>
        <v>0</v>
      </c>
      <c r="K26" s="79">
        <f>SUMIFS('구매 입고 현황'!$U$4:$U$189,'구매 입고 현황'!$E$4:$E$189,$B26,'구매 입고 현황'!$H$4:$H$189,K$2)</f>
        <v>0</v>
      </c>
      <c r="L26" s="79">
        <f>SUMIFS('구매 입고 현황'!$U$4:$U$189,'구매 입고 현황'!$E$4:$E$189,$B26,'구매 입고 현황'!$H$4:$H$189,L$2)</f>
        <v>0</v>
      </c>
      <c r="M26" s="79">
        <f>SUMIFS('구매 입고 현황'!$U$4:$U$189,'구매 입고 현황'!$E$4:$E$189,$B26,'구매 입고 현황'!$H$4:$H$189,M$2)</f>
        <v>0</v>
      </c>
      <c r="N26" s="79">
        <f>SUMIFS('구매 입고 현황'!$U$4:$U$189,'구매 입고 현황'!$E$4:$E$189,$B26,'구매 입고 현황'!$H$4:$H$189,N$2)</f>
        <v>0</v>
      </c>
      <c r="O26" s="79">
        <f>SUMIFS('구매 입고 현황'!$U$4:$U$189,'구매 입고 현황'!$E$4:$E$189,$B26,'구매 입고 현황'!$H$4:$H$189,O$2)</f>
        <v>0</v>
      </c>
      <c r="P26" s="79">
        <f>SUMIFS('구매 입고 현황'!$U$4:$U$189,'구매 입고 현황'!$E$4:$E$189,$B26,'구매 입고 현황'!$H$4:$H$189,P$2)</f>
        <v>4450000</v>
      </c>
      <c r="Q26" s="79">
        <f>SUMIFS('구매 입고 현황'!$U$4:$U$189,'구매 입고 현황'!$E$4:$E$189,$B26,'구매 입고 현황'!$H$4:$H$189,Q$2)</f>
        <v>0</v>
      </c>
      <c r="R26" s="79">
        <f>SUMIFS('구매 입고 현황'!$U$4:$U$189,'구매 입고 현황'!$E$4:$E$189,$B26,'구매 입고 현황'!$H$4:$H$189,R$2)</f>
        <v>0</v>
      </c>
      <c r="S26" s="79">
        <f>SUMIFS('구매 입고 현황'!$U$4:$U$189,'구매 입고 현황'!$E$4:$E$189,$B26,'구매 입고 현황'!$H$4:$H$189,S$2)</f>
        <v>0</v>
      </c>
      <c r="T26" s="79">
        <f>SUMIFS('구매 입고 현황'!$U$4:$U$189,'구매 입고 현황'!$E$4:$E$189,$B26,'구매 입고 현황'!$H$4:$H$189,T$2)</f>
        <v>0</v>
      </c>
      <c r="U26" s="186">
        <f t="shared" si="0"/>
        <v>4450000</v>
      </c>
      <c r="V26" s="187">
        <f t="shared" si="14"/>
        <v>6.4257866436470898E-3</v>
      </c>
      <c r="W26" s="82">
        <v>24</v>
      </c>
      <c r="X26" s="78" t="s">
        <v>808</v>
      </c>
      <c r="Y26" s="79">
        <f>SUMIFS('구매 입고 현황'!$U$4:$U$189,'구매 입고 현황'!$E$4:$E$189,$X26,'구매 입고 현황'!$L$4:$L$189,Y$2)</f>
        <v>0</v>
      </c>
      <c r="Z26" s="79">
        <f>SUMIFS('구매 입고 현황'!$U$4:$U$189,'구매 입고 현황'!$E$4:$E$189,$X26,'구매 입고 현황'!$L$4:$L$189,Z$2)</f>
        <v>0</v>
      </c>
      <c r="AA26" s="79">
        <f>SUMIFS('구매 입고 현황'!$U$4:$U$189,'구매 입고 현황'!$E$4:$E$189,$X26,'구매 입고 현황'!$L$4:$L$189,AA$2)</f>
        <v>0</v>
      </c>
      <c r="AB26" s="79">
        <f>SUMIFS('구매 입고 현황'!$U$4:$U$189,'구매 입고 현황'!$E$4:$E$189,$X26,'구매 입고 현황'!$L$4:$L$189,AB$2)</f>
        <v>0</v>
      </c>
      <c r="AC26" s="79">
        <f>SUMIFS('구매 입고 현황'!$U$4:$U$189,'구매 입고 현황'!$E$4:$E$189,$X26,'구매 입고 현황'!$L$4:$L$189,AC$2)</f>
        <v>0</v>
      </c>
      <c r="AD26" s="79">
        <f>SUMIFS('구매 입고 현황'!$U$4:$U$189,'구매 입고 현황'!$E$4:$E$189,$X26,'구매 입고 현황'!$L$4:$L$189,AD$2)</f>
        <v>4450000</v>
      </c>
      <c r="AE26" s="186">
        <f t="shared" ref="AE26" si="15">SUM(Y26:AD26)</f>
        <v>4450000</v>
      </c>
      <c r="AF26" s="187">
        <f t="shared" si="2"/>
        <v>6.396111485571212E-3</v>
      </c>
    </row>
    <row r="27" spans="1:32" ht="20.149999999999999" customHeight="1" x14ac:dyDescent="0.3">
      <c r="A27" s="82">
        <v>25</v>
      </c>
      <c r="B27" s="78" t="s">
        <v>230</v>
      </c>
      <c r="C27" s="79">
        <f>SUMIFS('구매 입고 현황'!$U$4:$U$189,'구매 입고 현황'!$E$4:$E$189,$B27,'구매 입고 현황'!$H$4:$H$189,C$2)</f>
        <v>0</v>
      </c>
      <c r="D27" s="79">
        <f>SUMIFS('구매 입고 현황'!$U$4:$U$189,'구매 입고 현황'!$E$4:$E$189,$B27,'구매 입고 현황'!$H$4:$H$189,D$2)</f>
        <v>0</v>
      </c>
      <c r="E27" s="79">
        <f>SUMIFS('구매 입고 현황'!$U$4:$U$189,'구매 입고 현황'!$E$4:$E$189,$B27,'구매 입고 현황'!$H$4:$H$189,E$2)</f>
        <v>0</v>
      </c>
      <c r="F27" s="79">
        <f>SUMIFS('구매 입고 현황'!$U$4:$U$189,'구매 입고 현황'!$E$4:$E$189,$B27,'구매 입고 현황'!$H$4:$H$189,F$2)</f>
        <v>0</v>
      </c>
      <c r="G27" s="79">
        <f>SUMIFS('구매 입고 현황'!$U$4:$U$189,'구매 입고 현황'!$E$4:$E$189,$B27,'구매 입고 현황'!$H$4:$H$189,G$2)</f>
        <v>0</v>
      </c>
      <c r="H27" s="79">
        <f>SUMIFS('구매 입고 현황'!$U$4:$U$189,'구매 입고 현황'!$E$4:$E$189,$B27,'구매 입고 현황'!$H$4:$H$189,H$2)</f>
        <v>1970000</v>
      </c>
      <c r="I27" s="79">
        <f>SUMIFS('구매 입고 현황'!$U$4:$U$189,'구매 입고 현황'!$E$4:$E$189,$B27,'구매 입고 현황'!$H$4:$H$189,I$2)</f>
        <v>0</v>
      </c>
      <c r="J27" s="79">
        <f>SUMIFS('구매 입고 현황'!$U$4:$U$189,'구매 입고 현황'!$E$4:$E$189,$B27,'구매 입고 현황'!$H$4:$H$189,J$2)</f>
        <v>0</v>
      </c>
      <c r="K27" s="79">
        <f>SUMIFS('구매 입고 현황'!$U$4:$U$189,'구매 입고 현황'!$E$4:$E$189,$B27,'구매 입고 현황'!$H$4:$H$189,K$2)</f>
        <v>0</v>
      </c>
      <c r="L27" s="79">
        <f>SUMIFS('구매 입고 현황'!$U$4:$U$189,'구매 입고 현황'!$E$4:$E$189,$B27,'구매 입고 현황'!$H$4:$H$189,L$2)</f>
        <v>0</v>
      </c>
      <c r="M27" s="79">
        <f>SUMIFS('구매 입고 현황'!$U$4:$U$189,'구매 입고 현황'!$E$4:$E$189,$B27,'구매 입고 현황'!$H$4:$H$189,M$2)</f>
        <v>0</v>
      </c>
      <c r="N27" s="79">
        <f>SUMIFS('구매 입고 현황'!$U$4:$U$189,'구매 입고 현황'!$E$4:$E$189,$B27,'구매 입고 현황'!$H$4:$H$189,N$2)</f>
        <v>0</v>
      </c>
      <c r="O27" s="79">
        <f>SUMIFS('구매 입고 현황'!$U$4:$U$189,'구매 입고 현황'!$E$4:$E$189,$B27,'구매 입고 현황'!$H$4:$H$189,O$2)</f>
        <v>0</v>
      </c>
      <c r="P27" s="79">
        <f>SUMIFS('구매 입고 현황'!$U$4:$U$189,'구매 입고 현황'!$E$4:$E$189,$B27,'구매 입고 현황'!$H$4:$H$189,P$2)</f>
        <v>0</v>
      </c>
      <c r="Q27" s="79">
        <f>SUMIFS('구매 입고 현황'!$U$4:$U$189,'구매 입고 현황'!$E$4:$E$189,$B27,'구매 입고 현황'!$H$4:$H$189,Q$2)</f>
        <v>0</v>
      </c>
      <c r="R27" s="79">
        <f>SUMIFS('구매 입고 현황'!$U$4:$U$189,'구매 입고 현황'!$E$4:$E$189,$B27,'구매 입고 현황'!$H$4:$H$189,R$2)</f>
        <v>0</v>
      </c>
      <c r="S27" s="79">
        <f>SUMIFS('구매 입고 현황'!$U$4:$U$189,'구매 입고 현황'!$E$4:$E$189,$B27,'구매 입고 현황'!$H$4:$H$189,S$2)</f>
        <v>0</v>
      </c>
      <c r="T27" s="79">
        <f>SUMIFS('구매 입고 현황'!$U$4:$U$189,'구매 입고 현황'!$E$4:$E$189,$B27,'구매 입고 현황'!$H$4:$H$189,T$2)</f>
        <v>0</v>
      </c>
      <c r="U27" s="186">
        <f t="shared" si="0"/>
        <v>1970000</v>
      </c>
      <c r="V27" s="187">
        <f t="shared" si="14"/>
        <v>2.844674087187588E-3</v>
      </c>
      <c r="W27" s="82">
        <v>25</v>
      </c>
      <c r="X27" s="78" t="s">
        <v>230</v>
      </c>
      <c r="Y27" s="79">
        <f>SUMIFS('구매 입고 현황'!$U$4:$U$189,'구매 입고 현황'!$E$4:$E$189,$X27,'구매 입고 현황'!$L$4:$L$189,Y$2)</f>
        <v>0</v>
      </c>
      <c r="Z27" s="79">
        <f>SUMIFS('구매 입고 현황'!$U$4:$U$189,'구매 입고 현황'!$E$4:$E$189,$X27,'구매 입고 현황'!$L$4:$L$189,Z$2)</f>
        <v>0</v>
      </c>
      <c r="AA27" s="79">
        <f>SUMIFS('구매 입고 현황'!$U$4:$U$189,'구매 입고 현황'!$E$4:$E$189,$X27,'구매 입고 현황'!$L$4:$L$189,AA$2)</f>
        <v>0</v>
      </c>
      <c r="AB27" s="79">
        <f>SUMIFS('구매 입고 현황'!$U$4:$U$189,'구매 입고 현황'!$E$4:$E$189,$X27,'구매 입고 현황'!$L$4:$L$189,AB$2)</f>
        <v>0</v>
      </c>
      <c r="AC27" s="79">
        <f>SUMIFS('구매 입고 현황'!$U$4:$U$189,'구매 입고 현황'!$E$4:$E$189,$X27,'구매 입고 현황'!$L$4:$L$189,AC$2)</f>
        <v>0</v>
      </c>
      <c r="AD27" s="79">
        <f>SUMIFS('구매 입고 현황'!$U$4:$U$189,'구매 입고 현황'!$E$4:$E$189,$X27,'구매 입고 현황'!$L$4:$L$189,AD$2)</f>
        <v>1970000</v>
      </c>
      <c r="AE27" s="186">
        <f t="shared" si="9"/>
        <v>1970000</v>
      </c>
      <c r="AF27" s="187">
        <f t="shared" si="2"/>
        <v>2.8315369947360196E-3</v>
      </c>
    </row>
    <row r="28" spans="1:32" ht="20.149999999999999" customHeight="1" x14ac:dyDescent="0.3">
      <c r="A28" s="82">
        <v>26</v>
      </c>
      <c r="B28" s="78" t="s">
        <v>599</v>
      </c>
      <c r="C28" s="79">
        <f>SUMIFS('구매 입고 현황'!$U$4:$U$189,'구매 입고 현황'!$E$4:$E$189,$B28,'구매 입고 현황'!$H$4:$H$189,C$2)</f>
        <v>0</v>
      </c>
      <c r="D28" s="79">
        <f>SUMIFS('구매 입고 현황'!$U$4:$U$189,'구매 입고 현황'!$E$4:$E$189,$B28,'구매 입고 현황'!$H$4:$H$189,D$2)</f>
        <v>0</v>
      </c>
      <c r="E28" s="79">
        <f>SUMIFS('구매 입고 현황'!$U$4:$U$189,'구매 입고 현황'!$E$4:$E$189,$B28,'구매 입고 현황'!$H$4:$H$189,E$2)</f>
        <v>0</v>
      </c>
      <c r="F28" s="79">
        <f>SUMIFS('구매 입고 현황'!$U$4:$U$189,'구매 입고 현황'!$E$4:$E$189,$B28,'구매 입고 현황'!$H$4:$H$189,F$2)</f>
        <v>0</v>
      </c>
      <c r="G28" s="79">
        <f>SUMIFS('구매 입고 현황'!$U$4:$U$189,'구매 입고 현황'!$E$4:$E$189,$B28,'구매 입고 현황'!$H$4:$H$189,G$2)</f>
        <v>0</v>
      </c>
      <c r="H28" s="79">
        <f>SUMIFS('구매 입고 현황'!$U$4:$U$189,'구매 입고 현황'!$E$4:$E$189,$B28,'구매 입고 현황'!$H$4:$H$189,H$2)</f>
        <v>710000</v>
      </c>
      <c r="I28" s="79">
        <f>SUMIFS('구매 입고 현황'!$U$4:$U$189,'구매 입고 현황'!$E$4:$E$189,$B28,'구매 입고 현황'!$H$4:$H$189,I$2)</f>
        <v>0</v>
      </c>
      <c r="J28" s="79">
        <f>SUMIFS('구매 입고 현황'!$U$4:$U$189,'구매 입고 현황'!$E$4:$E$189,$B28,'구매 입고 현황'!$H$4:$H$189,J$2)</f>
        <v>0</v>
      </c>
      <c r="K28" s="79">
        <f>SUMIFS('구매 입고 현황'!$U$4:$U$189,'구매 입고 현황'!$E$4:$E$189,$B28,'구매 입고 현황'!$H$4:$H$189,K$2)</f>
        <v>0</v>
      </c>
      <c r="L28" s="79">
        <f>SUMIFS('구매 입고 현황'!$U$4:$U$189,'구매 입고 현황'!$E$4:$E$189,$B28,'구매 입고 현황'!$H$4:$H$189,L$2)</f>
        <v>0</v>
      </c>
      <c r="M28" s="79">
        <f>SUMIFS('구매 입고 현황'!$U$4:$U$189,'구매 입고 현황'!$E$4:$E$189,$B28,'구매 입고 현황'!$H$4:$H$189,M$2)</f>
        <v>0</v>
      </c>
      <c r="N28" s="79">
        <f>SUMIFS('구매 입고 현황'!$U$4:$U$189,'구매 입고 현황'!$E$4:$E$189,$B28,'구매 입고 현황'!$H$4:$H$189,N$2)</f>
        <v>0</v>
      </c>
      <c r="O28" s="79">
        <f>SUMIFS('구매 입고 현황'!$U$4:$U$189,'구매 입고 현황'!$E$4:$E$189,$B28,'구매 입고 현황'!$H$4:$H$189,O$2)</f>
        <v>0</v>
      </c>
      <c r="P28" s="79">
        <f>SUMIFS('구매 입고 현황'!$U$4:$U$189,'구매 입고 현황'!$E$4:$E$189,$B28,'구매 입고 현황'!$H$4:$H$189,P$2)</f>
        <v>0</v>
      </c>
      <c r="Q28" s="79">
        <f>SUMIFS('구매 입고 현황'!$U$4:$U$189,'구매 입고 현황'!$E$4:$E$189,$B28,'구매 입고 현황'!$H$4:$H$189,Q$2)</f>
        <v>0</v>
      </c>
      <c r="R28" s="79">
        <f>SUMIFS('구매 입고 현황'!$U$4:$U$189,'구매 입고 현황'!$E$4:$E$189,$B28,'구매 입고 현황'!$H$4:$H$189,R$2)</f>
        <v>0</v>
      </c>
      <c r="S28" s="79">
        <f>SUMIFS('구매 입고 현황'!$U$4:$U$189,'구매 입고 현황'!$E$4:$E$189,$B28,'구매 입고 현황'!$H$4:$H$189,S$2)</f>
        <v>0</v>
      </c>
      <c r="T28" s="79">
        <f>SUMIFS('구매 입고 현황'!$U$4:$U$189,'구매 입고 현황'!$E$4:$E$189,$B28,'구매 입고 현황'!$H$4:$H$189,T$2)</f>
        <v>0</v>
      </c>
      <c r="U28" s="186">
        <f t="shared" si="0"/>
        <v>710000</v>
      </c>
      <c r="V28" s="187">
        <f t="shared" si="14"/>
        <v>1.0252378689863896E-3</v>
      </c>
      <c r="W28" s="82">
        <v>26</v>
      </c>
      <c r="X28" s="78" t="s">
        <v>599</v>
      </c>
      <c r="Y28" s="79">
        <f>SUMIFS('구매 입고 현황'!$U$4:$U$189,'구매 입고 현황'!$E$4:$E$189,$X28,'구매 입고 현황'!$L$4:$L$189,Y$2)</f>
        <v>0</v>
      </c>
      <c r="Z28" s="79">
        <f>SUMIFS('구매 입고 현황'!$U$4:$U$189,'구매 입고 현황'!$E$4:$E$189,$X28,'구매 입고 현황'!$L$4:$L$189,Z$2)</f>
        <v>0</v>
      </c>
      <c r="AA28" s="79">
        <f>SUMIFS('구매 입고 현황'!$U$4:$U$189,'구매 입고 현황'!$E$4:$E$189,$X28,'구매 입고 현황'!$L$4:$L$189,AA$2)</f>
        <v>0</v>
      </c>
      <c r="AB28" s="79">
        <f>SUMIFS('구매 입고 현황'!$U$4:$U$189,'구매 입고 현황'!$E$4:$E$189,$X28,'구매 입고 현황'!$L$4:$L$189,AB$2)</f>
        <v>0</v>
      </c>
      <c r="AC28" s="79">
        <f>SUMIFS('구매 입고 현황'!$U$4:$U$189,'구매 입고 현황'!$E$4:$E$189,$X28,'구매 입고 현황'!$L$4:$L$189,AC$2)</f>
        <v>0</v>
      </c>
      <c r="AD28" s="79">
        <f>SUMIFS('구매 입고 현황'!$U$4:$U$189,'구매 입고 현황'!$E$4:$E$189,$X28,'구매 입고 현황'!$L$4:$L$189,AD$2)</f>
        <v>710000</v>
      </c>
      <c r="AE28" s="186">
        <f t="shared" si="9"/>
        <v>710000</v>
      </c>
      <c r="AF28" s="187">
        <f t="shared" si="2"/>
        <v>1.0205031808439462E-3</v>
      </c>
    </row>
    <row r="29" spans="1:32" ht="20.149999999999999" customHeight="1" x14ac:dyDescent="0.3">
      <c r="A29" s="82">
        <v>27</v>
      </c>
      <c r="B29" s="78" t="s">
        <v>62</v>
      </c>
      <c r="C29" s="79">
        <f>SUMIFS('구매 입고 현황'!$U$4:$U$189,'구매 입고 현황'!$E$4:$E$189,$B29,'구매 입고 현황'!$H$4:$H$189,C$2)</f>
        <v>0</v>
      </c>
      <c r="D29" s="79">
        <f>SUMIFS('구매 입고 현황'!$U$4:$U$189,'구매 입고 현황'!$E$4:$E$189,$B29,'구매 입고 현황'!$H$4:$H$189,D$2)</f>
        <v>0</v>
      </c>
      <c r="E29" s="79">
        <f>SUMIFS('구매 입고 현황'!$U$4:$U$189,'구매 입고 현황'!$E$4:$E$189,$B29,'구매 입고 현황'!$H$4:$H$189,E$2)</f>
        <v>0</v>
      </c>
      <c r="F29" s="79">
        <f>SUMIFS('구매 입고 현황'!$U$4:$U$189,'구매 입고 현황'!$E$4:$E$189,$B29,'구매 입고 현황'!$H$4:$H$189,F$2)</f>
        <v>5000000</v>
      </c>
      <c r="G29" s="79">
        <f>SUMIFS('구매 입고 현황'!$U$4:$U$189,'구매 입고 현황'!$E$4:$E$189,$B29,'구매 입고 현황'!$H$4:$H$189,G$2)</f>
        <v>0</v>
      </c>
      <c r="H29" s="79">
        <f>SUMIFS('구매 입고 현황'!$U$4:$U$189,'구매 입고 현황'!$E$4:$E$189,$B29,'구매 입고 현황'!$H$4:$H$189,H$2)</f>
        <v>0</v>
      </c>
      <c r="I29" s="79">
        <f>SUMIFS('구매 입고 현황'!$U$4:$U$189,'구매 입고 현황'!$E$4:$E$189,$B29,'구매 입고 현황'!$H$4:$H$189,I$2)</f>
        <v>0</v>
      </c>
      <c r="J29" s="79">
        <f>SUMIFS('구매 입고 현황'!$U$4:$U$189,'구매 입고 현황'!$E$4:$E$189,$B29,'구매 입고 현황'!$H$4:$H$189,J$2)</f>
        <v>0</v>
      </c>
      <c r="K29" s="79">
        <f>SUMIFS('구매 입고 현황'!$U$4:$U$189,'구매 입고 현황'!$E$4:$E$189,$B29,'구매 입고 현황'!$H$4:$H$189,K$2)</f>
        <v>0</v>
      </c>
      <c r="L29" s="79">
        <f>SUMIFS('구매 입고 현황'!$U$4:$U$189,'구매 입고 현황'!$E$4:$E$189,$B29,'구매 입고 현황'!$H$4:$H$189,L$2)</f>
        <v>0</v>
      </c>
      <c r="M29" s="79">
        <f>SUMIFS('구매 입고 현황'!$U$4:$U$189,'구매 입고 현황'!$E$4:$E$189,$B29,'구매 입고 현황'!$H$4:$H$189,M$2)</f>
        <v>0</v>
      </c>
      <c r="N29" s="79">
        <f>SUMIFS('구매 입고 현황'!$U$4:$U$189,'구매 입고 현황'!$E$4:$E$189,$B29,'구매 입고 현황'!$H$4:$H$189,N$2)</f>
        <v>0</v>
      </c>
      <c r="O29" s="79">
        <f>SUMIFS('구매 입고 현황'!$U$4:$U$189,'구매 입고 현황'!$E$4:$E$189,$B29,'구매 입고 현황'!$H$4:$H$189,O$2)</f>
        <v>0</v>
      </c>
      <c r="P29" s="79">
        <f>SUMIFS('구매 입고 현황'!$U$4:$U$189,'구매 입고 현황'!$E$4:$E$189,$B29,'구매 입고 현황'!$H$4:$H$189,P$2)</f>
        <v>0</v>
      </c>
      <c r="Q29" s="79">
        <f>SUMIFS('구매 입고 현황'!$U$4:$U$189,'구매 입고 현황'!$E$4:$E$189,$B29,'구매 입고 현황'!$H$4:$H$189,Q$2)</f>
        <v>0</v>
      </c>
      <c r="R29" s="79">
        <f>SUMIFS('구매 입고 현황'!$U$4:$U$189,'구매 입고 현황'!$E$4:$E$189,$B29,'구매 입고 현황'!$H$4:$H$189,R$2)</f>
        <v>0</v>
      </c>
      <c r="S29" s="79">
        <f>SUMIFS('구매 입고 현황'!$U$4:$U$189,'구매 입고 현황'!$E$4:$E$189,$B29,'구매 입고 현황'!$H$4:$H$189,S$2)</f>
        <v>0</v>
      </c>
      <c r="T29" s="79">
        <f>SUMIFS('구매 입고 현황'!$U$4:$U$189,'구매 입고 현황'!$E$4:$E$189,$B29,'구매 입고 현황'!$H$4:$H$189,T$2)</f>
        <v>0</v>
      </c>
      <c r="U29" s="186">
        <f t="shared" si="0"/>
        <v>5000000</v>
      </c>
      <c r="V29" s="187">
        <f t="shared" si="14"/>
        <v>7.2199849928618982E-3</v>
      </c>
      <c r="W29" s="82">
        <v>27</v>
      </c>
      <c r="X29" s="78" t="s">
        <v>62</v>
      </c>
      <c r="Y29" s="79">
        <f>SUMIFS('구매 입고 현황'!$U$4:$U$189,'구매 입고 현황'!$E$4:$E$189,$X29,'구매 입고 현황'!$L$4:$L$189,Y$2)</f>
        <v>0</v>
      </c>
      <c r="Z29" s="79">
        <f>SUMIFS('구매 입고 현황'!$U$4:$U$189,'구매 입고 현황'!$E$4:$E$189,$X29,'구매 입고 현황'!$L$4:$L$189,Z$2)</f>
        <v>0</v>
      </c>
      <c r="AA29" s="79">
        <f>SUMIFS('구매 입고 현황'!$U$4:$U$189,'구매 입고 현황'!$E$4:$E$189,$X29,'구매 입고 현황'!$L$4:$L$189,AA$2)</f>
        <v>0</v>
      </c>
      <c r="AB29" s="79">
        <f>SUMIFS('구매 입고 현황'!$U$4:$U$189,'구매 입고 현황'!$E$4:$E$189,$X29,'구매 입고 현황'!$L$4:$L$189,AB$2)</f>
        <v>0</v>
      </c>
      <c r="AC29" s="79">
        <f>SUMIFS('구매 입고 현황'!$U$4:$U$189,'구매 입고 현황'!$E$4:$E$189,$X29,'구매 입고 현황'!$L$4:$L$189,AC$2)</f>
        <v>0</v>
      </c>
      <c r="AD29" s="79">
        <f>SUMIFS('구매 입고 현황'!$U$4:$U$189,'구매 입고 현황'!$E$4:$E$189,$X29,'구매 입고 현황'!$L$4:$L$189,AD$2)</f>
        <v>5000000</v>
      </c>
      <c r="AE29" s="186">
        <f t="shared" ref="AE29" si="16">SUM(Y29:AD29)</f>
        <v>5000000</v>
      </c>
      <c r="AF29" s="187">
        <f t="shared" si="2"/>
        <v>7.1866421186193392E-3</v>
      </c>
    </row>
    <row r="30" spans="1:32" ht="20.149999999999999" customHeight="1" x14ac:dyDescent="0.3">
      <c r="A30" s="82">
        <v>28</v>
      </c>
      <c r="B30" s="78" t="s">
        <v>232</v>
      </c>
      <c r="C30" s="79">
        <f>SUMIFS('구매 입고 현황'!$U$4:$U$189,'구매 입고 현황'!$E$4:$E$189,$B30,'구매 입고 현황'!$H$4:$H$189,C$2)</f>
        <v>0</v>
      </c>
      <c r="D30" s="79">
        <f>SUMIFS('구매 입고 현황'!$U$4:$U$189,'구매 입고 현황'!$E$4:$E$189,$B30,'구매 입고 현황'!$H$4:$H$189,D$2)</f>
        <v>0</v>
      </c>
      <c r="E30" s="79">
        <f>SUMIFS('구매 입고 현황'!$U$4:$U$189,'구매 입고 현황'!$E$4:$E$189,$B30,'구매 입고 현황'!$H$4:$H$189,E$2)</f>
        <v>360000</v>
      </c>
      <c r="F30" s="79">
        <f>SUMIFS('구매 입고 현황'!$U$4:$U$189,'구매 입고 현황'!$E$4:$E$189,$B30,'구매 입고 현황'!$H$4:$H$189,F$2)</f>
        <v>0</v>
      </c>
      <c r="G30" s="79">
        <f>SUMIFS('구매 입고 현황'!$U$4:$U$189,'구매 입고 현황'!$E$4:$E$189,$B30,'구매 입고 현황'!$H$4:$H$189,G$2)</f>
        <v>0</v>
      </c>
      <c r="H30" s="79">
        <f>SUMIFS('구매 입고 현황'!$U$4:$U$189,'구매 입고 현황'!$E$4:$E$189,$B30,'구매 입고 현황'!$H$4:$H$189,H$2)</f>
        <v>0</v>
      </c>
      <c r="I30" s="79">
        <f>SUMIFS('구매 입고 현황'!$U$4:$U$189,'구매 입고 현황'!$E$4:$E$189,$B30,'구매 입고 현황'!$H$4:$H$189,I$2)</f>
        <v>0</v>
      </c>
      <c r="J30" s="79">
        <f>SUMIFS('구매 입고 현황'!$U$4:$U$189,'구매 입고 현황'!$E$4:$E$189,$B30,'구매 입고 현황'!$H$4:$H$189,J$2)</f>
        <v>0</v>
      </c>
      <c r="K30" s="79">
        <f>SUMIFS('구매 입고 현황'!$U$4:$U$189,'구매 입고 현황'!$E$4:$E$189,$B30,'구매 입고 현황'!$H$4:$H$189,K$2)</f>
        <v>0</v>
      </c>
      <c r="L30" s="79">
        <f>SUMIFS('구매 입고 현황'!$U$4:$U$189,'구매 입고 현황'!$E$4:$E$189,$B30,'구매 입고 현황'!$H$4:$H$189,L$2)</f>
        <v>0</v>
      </c>
      <c r="M30" s="79">
        <f>SUMIFS('구매 입고 현황'!$U$4:$U$189,'구매 입고 현황'!$E$4:$E$189,$B30,'구매 입고 현황'!$H$4:$H$189,M$2)</f>
        <v>0</v>
      </c>
      <c r="N30" s="79">
        <f>SUMIFS('구매 입고 현황'!$U$4:$U$189,'구매 입고 현황'!$E$4:$E$189,$B30,'구매 입고 현황'!$H$4:$H$189,N$2)</f>
        <v>0</v>
      </c>
      <c r="O30" s="79">
        <f>SUMIFS('구매 입고 현황'!$U$4:$U$189,'구매 입고 현황'!$E$4:$E$189,$B30,'구매 입고 현황'!$H$4:$H$189,O$2)</f>
        <v>0</v>
      </c>
      <c r="P30" s="79">
        <f>SUMIFS('구매 입고 현황'!$U$4:$U$189,'구매 입고 현황'!$E$4:$E$189,$B30,'구매 입고 현황'!$H$4:$H$189,P$2)</f>
        <v>0</v>
      </c>
      <c r="Q30" s="79">
        <f>SUMIFS('구매 입고 현황'!$U$4:$U$189,'구매 입고 현황'!$E$4:$E$189,$B30,'구매 입고 현황'!$H$4:$H$189,Q$2)</f>
        <v>0</v>
      </c>
      <c r="R30" s="79">
        <f>SUMIFS('구매 입고 현황'!$U$4:$U$189,'구매 입고 현황'!$E$4:$E$189,$B30,'구매 입고 현황'!$H$4:$H$189,R$2)</f>
        <v>0</v>
      </c>
      <c r="S30" s="79">
        <f>SUMIFS('구매 입고 현황'!$U$4:$U$189,'구매 입고 현황'!$E$4:$E$189,$B30,'구매 입고 현황'!$H$4:$H$189,S$2)</f>
        <v>0</v>
      </c>
      <c r="T30" s="79">
        <f>SUMIFS('구매 입고 현황'!$U$4:$U$189,'구매 입고 현황'!$E$4:$E$189,$B30,'구매 입고 현황'!$H$4:$H$189,T$2)</f>
        <v>1680000</v>
      </c>
      <c r="U30" s="186">
        <f t="shared" si="0"/>
        <v>2040000</v>
      </c>
      <c r="V30" s="187">
        <f t="shared" si="14"/>
        <v>2.9457538770876544E-3</v>
      </c>
      <c r="W30" s="82">
        <v>28</v>
      </c>
      <c r="X30" s="78" t="s">
        <v>232</v>
      </c>
      <c r="Y30" s="79">
        <f>SUMIFS('구매 입고 현황'!$U$4:$U$189,'구매 입고 현황'!$E$4:$E$189,$X30,'구매 입고 현황'!$L$4:$L$189,Y$2)</f>
        <v>0</v>
      </c>
      <c r="Z30" s="79">
        <f>SUMIFS('구매 입고 현황'!$U$4:$U$189,'구매 입고 현황'!$E$4:$E$189,$X30,'구매 입고 현황'!$L$4:$L$189,Z$2)</f>
        <v>0</v>
      </c>
      <c r="AA30" s="79">
        <f>SUMIFS('구매 입고 현황'!$U$4:$U$189,'구매 입고 현황'!$E$4:$E$189,$X30,'구매 입고 현황'!$L$4:$L$189,AA$2)</f>
        <v>0</v>
      </c>
      <c r="AB30" s="79">
        <f>SUMIFS('구매 입고 현황'!$U$4:$U$189,'구매 입고 현황'!$E$4:$E$189,$X30,'구매 입고 현황'!$L$4:$L$189,AB$2)</f>
        <v>0</v>
      </c>
      <c r="AC30" s="79">
        <f>SUMIFS('구매 입고 현황'!$U$4:$U$189,'구매 입고 현황'!$E$4:$E$189,$X30,'구매 입고 현황'!$L$4:$L$189,AC$2)</f>
        <v>0</v>
      </c>
      <c r="AD30" s="79">
        <f>SUMIFS('구매 입고 현황'!$U$4:$U$189,'구매 입고 현황'!$E$4:$E$189,$X30,'구매 입고 현황'!$L$4:$L$189,AD$2)</f>
        <v>2040000</v>
      </c>
      <c r="AE30" s="186">
        <f t="shared" si="9"/>
        <v>2040000</v>
      </c>
      <c r="AF30" s="187">
        <f t="shared" si="2"/>
        <v>2.9321499843966907E-3</v>
      </c>
    </row>
    <row r="31" spans="1:32" ht="20.149999999999999" customHeight="1" x14ac:dyDescent="0.3">
      <c r="A31" s="82">
        <v>29</v>
      </c>
      <c r="B31" s="78" t="s">
        <v>332</v>
      </c>
      <c r="C31" s="79">
        <f>SUMIFS('구매 입고 현황'!$U$4:$U$189,'구매 입고 현황'!$E$4:$E$189,$B31,'구매 입고 현황'!$H$4:$H$189,C$2)</f>
        <v>0</v>
      </c>
      <c r="D31" s="79">
        <f>SUMIFS('구매 입고 현황'!$U$4:$U$189,'구매 입고 현황'!$E$4:$E$189,$B31,'구매 입고 현황'!$H$4:$H$189,D$2)</f>
        <v>0</v>
      </c>
      <c r="E31" s="79">
        <f>SUMIFS('구매 입고 현황'!$U$4:$U$189,'구매 입고 현황'!$E$4:$E$189,$B31,'구매 입고 현황'!$H$4:$H$189,E$2)</f>
        <v>0</v>
      </c>
      <c r="F31" s="79">
        <f>SUMIFS('구매 입고 현황'!$U$4:$U$189,'구매 입고 현황'!$E$4:$E$189,$B31,'구매 입고 현황'!$H$4:$H$189,F$2)</f>
        <v>0</v>
      </c>
      <c r="G31" s="79">
        <f>SUMIFS('구매 입고 현황'!$U$4:$U$189,'구매 입고 현황'!$E$4:$E$189,$B31,'구매 입고 현황'!$H$4:$H$189,G$2)</f>
        <v>0</v>
      </c>
      <c r="H31" s="79">
        <f>SUMIFS('구매 입고 현황'!$U$4:$U$189,'구매 입고 현황'!$E$4:$E$189,$B31,'구매 입고 현황'!$H$4:$H$189,H$2)</f>
        <v>13796200</v>
      </c>
      <c r="I31" s="79">
        <f>SUMIFS('구매 입고 현황'!$U$4:$U$189,'구매 입고 현황'!$E$4:$E$189,$B31,'구매 입고 현황'!$H$4:$H$189,I$2)</f>
        <v>0</v>
      </c>
      <c r="J31" s="79">
        <f>SUMIFS('구매 입고 현황'!$U$4:$U$189,'구매 입고 현황'!$E$4:$E$189,$B31,'구매 입고 현황'!$H$4:$H$189,J$2)</f>
        <v>0</v>
      </c>
      <c r="K31" s="79">
        <f>SUMIFS('구매 입고 현황'!$U$4:$U$189,'구매 입고 현황'!$E$4:$E$189,$B31,'구매 입고 현황'!$H$4:$H$189,K$2)</f>
        <v>0</v>
      </c>
      <c r="L31" s="79">
        <f>SUMIFS('구매 입고 현황'!$U$4:$U$189,'구매 입고 현황'!$E$4:$E$189,$B31,'구매 입고 현황'!$H$4:$H$189,L$2)</f>
        <v>0</v>
      </c>
      <c r="M31" s="79">
        <f>SUMIFS('구매 입고 현황'!$U$4:$U$189,'구매 입고 현황'!$E$4:$E$189,$B31,'구매 입고 현황'!$H$4:$H$189,M$2)</f>
        <v>0</v>
      </c>
      <c r="N31" s="79">
        <f>SUMIFS('구매 입고 현황'!$U$4:$U$189,'구매 입고 현황'!$E$4:$E$189,$B31,'구매 입고 현황'!$H$4:$H$189,N$2)</f>
        <v>0</v>
      </c>
      <c r="O31" s="79">
        <f>SUMIFS('구매 입고 현황'!$U$4:$U$189,'구매 입고 현황'!$E$4:$E$189,$B31,'구매 입고 현황'!$H$4:$H$189,O$2)</f>
        <v>0</v>
      </c>
      <c r="P31" s="79">
        <f>SUMIFS('구매 입고 현황'!$U$4:$U$189,'구매 입고 현황'!$E$4:$E$189,$B31,'구매 입고 현황'!$H$4:$H$189,P$2)</f>
        <v>0</v>
      </c>
      <c r="Q31" s="79">
        <f>SUMIFS('구매 입고 현황'!$U$4:$U$189,'구매 입고 현황'!$E$4:$E$189,$B31,'구매 입고 현황'!$H$4:$H$189,Q$2)</f>
        <v>0</v>
      </c>
      <c r="R31" s="79">
        <f>SUMIFS('구매 입고 현황'!$U$4:$U$189,'구매 입고 현황'!$E$4:$E$189,$B31,'구매 입고 현황'!$H$4:$H$189,R$2)</f>
        <v>0</v>
      </c>
      <c r="S31" s="79">
        <f>SUMIFS('구매 입고 현황'!$U$4:$U$189,'구매 입고 현황'!$E$4:$E$189,$B31,'구매 입고 현황'!$H$4:$H$189,S$2)</f>
        <v>0</v>
      </c>
      <c r="T31" s="79">
        <f>SUMIFS('구매 입고 현황'!$U$4:$U$189,'구매 입고 현황'!$E$4:$E$189,$B31,'구매 입고 현황'!$H$4:$H$189,T$2)</f>
        <v>0</v>
      </c>
      <c r="U31" s="186">
        <f t="shared" si="0"/>
        <v>13796200</v>
      </c>
      <c r="V31" s="187">
        <f t="shared" si="14"/>
        <v>1.9921671391704265E-2</v>
      </c>
      <c r="W31" s="82">
        <v>29</v>
      </c>
      <c r="X31" s="78" t="s">
        <v>332</v>
      </c>
      <c r="Y31" s="79">
        <f>SUMIFS('구매 입고 현황'!$U$4:$U$189,'구매 입고 현황'!$E$4:$E$189,$X31,'구매 입고 현황'!$L$4:$L$189,Y$2)</f>
        <v>3213000</v>
      </c>
      <c r="Z31" s="79">
        <f>SUMIFS('구매 입고 현황'!$U$4:$U$189,'구매 입고 현황'!$E$4:$E$189,$X31,'구매 입고 현황'!$L$4:$L$189,Z$2)</f>
        <v>0</v>
      </c>
      <c r="AA31" s="79">
        <f>SUMIFS('구매 입고 현황'!$U$4:$U$189,'구매 입고 현황'!$E$4:$E$189,$X31,'구매 입고 현황'!$L$4:$L$189,AA$2)</f>
        <v>0</v>
      </c>
      <c r="AB31" s="79">
        <f>SUMIFS('구매 입고 현황'!$U$4:$U$189,'구매 입고 현황'!$E$4:$E$189,$X31,'구매 입고 현황'!$L$4:$L$189,AB$2)</f>
        <v>0</v>
      </c>
      <c r="AC31" s="79">
        <f>SUMIFS('구매 입고 현황'!$U$4:$U$189,'구매 입고 현황'!$E$4:$E$189,$X31,'구매 입고 현황'!$L$4:$L$189,AC$2)</f>
        <v>0</v>
      </c>
      <c r="AD31" s="79">
        <f>SUMIFS('구매 입고 현황'!$U$4:$U$189,'구매 입고 현황'!$E$4:$E$189,$X31,'구매 입고 현황'!$L$4:$L$189,AD$2)</f>
        <v>13796200</v>
      </c>
      <c r="AE31" s="186">
        <f t="shared" si="9"/>
        <v>17009200</v>
      </c>
      <c r="AF31" s="187">
        <f t="shared" si="2"/>
        <v>2.4447806624804013E-2</v>
      </c>
    </row>
    <row r="32" spans="1:32" ht="20.149999999999999" customHeight="1" x14ac:dyDescent="0.3">
      <c r="A32" s="82">
        <v>30</v>
      </c>
      <c r="B32" s="78" t="s">
        <v>751</v>
      </c>
      <c r="C32" s="79">
        <f>SUMIFS('구매 입고 현황'!$U$4:$U$189,'구매 입고 현황'!$E$4:$E$189,$B32,'구매 입고 현황'!$H$4:$H$189,C$2)</f>
        <v>0</v>
      </c>
      <c r="D32" s="79">
        <f>SUMIFS('구매 입고 현황'!$U$4:$U$189,'구매 입고 현황'!$E$4:$E$189,$B32,'구매 입고 현황'!$H$4:$H$189,D$2)</f>
        <v>0</v>
      </c>
      <c r="E32" s="79">
        <f>SUMIFS('구매 입고 현황'!$U$4:$U$189,'구매 입고 현황'!$E$4:$E$189,$B32,'구매 입고 현황'!$H$4:$H$189,E$2)</f>
        <v>0</v>
      </c>
      <c r="F32" s="79">
        <f>SUMIFS('구매 입고 현황'!$U$4:$U$189,'구매 입고 현황'!$E$4:$E$189,$B32,'구매 입고 현황'!$H$4:$H$189,F$2)</f>
        <v>0</v>
      </c>
      <c r="G32" s="79">
        <f>SUMIFS('구매 입고 현황'!$U$4:$U$189,'구매 입고 현황'!$E$4:$E$189,$B32,'구매 입고 현황'!$H$4:$H$189,G$2)</f>
        <v>2000000</v>
      </c>
      <c r="H32" s="79">
        <f>SUMIFS('구매 입고 현황'!$U$4:$U$189,'구매 입고 현황'!$E$4:$E$189,$B32,'구매 입고 현황'!$H$4:$H$189,H$2)</f>
        <v>0</v>
      </c>
      <c r="I32" s="79">
        <f>SUMIFS('구매 입고 현황'!$U$4:$U$189,'구매 입고 현황'!$E$4:$E$189,$B32,'구매 입고 현황'!$H$4:$H$189,I$2)</f>
        <v>0</v>
      </c>
      <c r="J32" s="79">
        <f>SUMIFS('구매 입고 현황'!$U$4:$U$189,'구매 입고 현황'!$E$4:$E$189,$B32,'구매 입고 현황'!$H$4:$H$189,J$2)</f>
        <v>0</v>
      </c>
      <c r="K32" s="79">
        <f>SUMIFS('구매 입고 현황'!$U$4:$U$189,'구매 입고 현황'!$E$4:$E$189,$B32,'구매 입고 현황'!$H$4:$H$189,K$2)</f>
        <v>0</v>
      </c>
      <c r="L32" s="79">
        <f>SUMIFS('구매 입고 현황'!$U$4:$U$189,'구매 입고 현황'!$E$4:$E$189,$B32,'구매 입고 현황'!$H$4:$H$189,L$2)</f>
        <v>0</v>
      </c>
      <c r="M32" s="79">
        <f>SUMIFS('구매 입고 현황'!$U$4:$U$189,'구매 입고 현황'!$E$4:$E$189,$B32,'구매 입고 현황'!$H$4:$H$189,M$2)</f>
        <v>0</v>
      </c>
      <c r="N32" s="79">
        <f>SUMIFS('구매 입고 현황'!$U$4:$U$189,'구매 입고 현황'!$E$4:$E$189,$B32,'구매 입고 현황'!$H$4:$H$189,N$2)</f>
        <v>0</v>
      </c>
      <c r="O32" s="79">
        <f>SUMIFS('구매 입고 현황'!$U$4:$U$189,'구매 입고 현황'!$E$4:$E$189,$B32,'구매 입고 현황'!$H$4:$H$189,O$2)</f>
        <v>0</v>
      </c>
      <c r="P32" s="79">
        <f>SUMIFS('구매 입고 현황'!$U$4:$U$189,'구매 입고 현황'!$E$4:$E$189,$B32,'구매 입고 현황'!$H$4:$H$189,P$2)</f>
        <v>0</v>
      </c>
      <c r="Q32" s="79">
        <f>SUMIFS('구매 입고 현황'!$U$4:$U$189,'구매 입고 현황'!$E$4:$E$189,$B32,'구매 입고 현황'!$H$4:$H$189,Q$2)</f>
        <v>0</v>
      </c>
      <c r="R32" s="79">
        <f>SUMIFS('구매 입고 현황'!$U$4:$U$189,'구매 입고 현황'!$E$4:$E$189,$B32,'구매 입고 현황'!$H$4:$H$189,R$2)</f>
        <v>0</v>
      </c>
      <c r="S32" s="79">
        <f>SUMIFS('구매 입고 현황'!$U$4:$U$189,'구매 입고 현황'!$E$4:$E$189,$B32,'구매 입고 현황'!$H$4:$H$189,S$2)</f>
        <v>0</v>
      </c>
      <c r="T32" s="79">
        <f>SUMIFS('구매 입고 현황'!$U$4:$U$189,'구매 입고 현황'!$E$4:$E$189,$B32,'구매 입고 현황'!$H$4:$H$189,T$2)</f>
        <v>0</v>
      </c>
      <c r="U32" s="186">
        <f t="shared" si="0"/>
        <v>2000000</v>
      </c>
      <c r="V32" s="187">
        <f t="shared" si="14"/>
        <v>2.8879939971447593E-3</v>
      </c>
      <c r="W32" s="82">
        <v>30</v>
      </c>
      <c r="X32" s="78" t="s">
        <v>751</v>
      </c>
      <c r="Y32" s="79">
        <f>SUMIFS('구매 입고 현황'!$U$4:$U$189,'구매 입고 현황'!$E$4:$E$189,$X32,'구매 입고 현황'!$L$4:$L$189,Y$2)</f>
        <v>0</v>
      </c>
      <c r="Z32" s="79">
        <f>SUMIFS('구매 입고 현황'!$U$4:$U$189,'구매 입고 현황'!$E$4:$E$189,$X32,'구매 입고 현황'!$L$4:$L$189,Z$2)</f>
        <v>0</v>
      </c>
      <c r="AA32" s="79">
        <f>SUMIFS('구매 입고 현황'!$U$4:$U$189,'구매 입고 현황'!$E$4:$E$189,$X32,'구매 입고 현황'!$L$4:$L$189,AA$2)</f>
        <v>0</v>
      </c>
      <c r="AB32" s="79">
        <f>SUMIFS('구매 입고 현황'!$U$4:$U$189,'구매 입고 현황'!$E$4:$E$189,$X32,'구매 입고 현황'!$L$4:$L$189,AB$2)</f>
        <v>0</v>
      </c>
      <c r="AC32" s="79">
        <f>SUMIFS('구매 입고 현황'!$U$4:$U$189,'구매 입고 현황'!$E$4:$E$189,$X32,'구매 입고 현황'!$L$4:$L$189,AC$2)</f>
        <v>0</v>
      </c>
      <c r="AD32" s="79">
        <f>SUMIFS('구매 입고 현황'!$U$4:$U$189,'구매 입고 현황'!$E$4:$E$189,$X32,'구매 입고 현황'!$L$4:$L$189,AD$2)</f>
        <v>2000000</v>
      </c>
      <c r="AE32" s="186">
        <f t="shared" si="9"/>
        <v>2000000</v>
      </c>
      <c r="AF32" s="187">
        <f t="shared" si="2"/>
        <v>2.8746568474477359E-3</v>
      </c>
    </row>
    <row r="33" spans="1:32" ht="20.149999999999999" customHeight="1" x14ac:dyDescent="0.3">
      <c r="A33" s="82">
        <v>31</v>
      </c>
      <c r="B33" s="78" t="s">
        <v>336</v>
      </c>
      <c r="C33" s="79">
        <f>SUMIFS('구매 입고 현황'!$U$4:$U$189,'구매 입고 현황'!$E$4:$E$189,$B33,'구매 입고 현황'!$H$4:$H$189,C$2)</f>
        <v>0</v>
      </c>
      <c r="D33" s="79">
        <f>SUMIFS('구매 입고 현황'!$U$4:$U$189,'구매 입고 현황'!$E$4:$E$189,$B33,'구매 입고 현황'!$H$4:$H$189,D$2)</f>
        <v>0</v>
      </c>
      <c r="E33" s="79">
        <f>SUMIFS('구매 입고 현황'!$U$4:$U$189,'구매 입고 현황'!$E$4:$E$189,$B33,'구매 입고 현황'!$H$4:$H$189,E$2)</f>
        <v>0</v>
      </c>
      <c r="F33" s="79">
        <f>SUMIFS('구매 입고 현황'!$U$4:$U$189,'구매 입고 현황'!$E$4:$E$189,$B33,'구매 입고 현황'!$H$4:$H$189,F$2)</f>
        <v>0</v>
      </c>
      <c r="G33" s="79">
        <f>SUMIFS('구매 입고 현황'!$U$4:$U$189,'구매 입고 현황'!$E$4:$E$189,$B33,'구매 입고 현황'!$H$4:$H$189,G$2)</f>
        <v>0</v>
      </c>
      <c r="H33" s="79">
        <f>SUMIFS('구매 입고 현황'!$U$4:$U$189,'구매 입고 현황'!$E$4:$E$189,$B33,'구매 입고 현황'!$H$4:$H$189,H$2)</f>
        <v>420000</v>
      </c>
      <c r="I33" s="79">
        <f>SUMIFS('구매 입고 현황'!$U$4:$U$189,'구매 입고 현황'!$E$4:$E$189,$B33,'구매 입고 현황'!$H$4:$H$189,I$2)</f>
        <v>0</v>
      </c>
      <c r="J33" s="79">
        <f>SUMIFS('구매 입고 현황'!$U$4:$U$189,'구매 입고 현황'!$E$4:$E$189,$B33,'구매 입고 현황'!$H$4:$H$189,J$2)</f>
        <v>0</v>
      </c>
      <c r="K33" s="79">
        <f>SUMIFS('구매 입고 현황'!$U$4:$U$189,'구매 입고 현황'!$E$4:$E$189,$B33,'구매 입고 현황'!$H$4:$H$189,K$2)</f>
        <v>0</v>
      </c>
      <c r="L33" s="79">
        <f>SUMIFS('구매 입고 현황'!$U$4:$U$189,'구매 입고 현황'!$E$4:$E$189,$B33,'구매 입고 현황'!$H$4:$H$189,L$2)</f>
        <v>0</v>
      </c>
      <c r="M33" s="79">
        <f>SUMIFS('구매 입고 현황'!$U$4:$U$189,'구매 입고 현황'!$E$4:$E$189,$B33,'구매 입고 현황'!$H$4:$H$189,M$2)</f>
        <v>0</v>
      </c>
      <c r="N33" s="79">
        <f>SUMIFS('구매 입고 현황'!$U$4:$U$189,'구매 입고 현황'!$E$4:$E$189,$B33,'구매 입고 현황'!$H$4:$H$189,N$2)</f>
        <v>0</v>
      </c>
      <c r="O33" s="79">
        <f>SUMIFS('구매 입고 현황'!$U$4:$U$189,'구매 입고 현황'!$E$4:$E$189,$B33,'구매 입고 현황'!$H$4:$H$189,O$2)</f>
        <v>0</v>
      </c>
      <c r="P33" s="79">
        <f>SUMIFS('구매 입고 현황'!$U$4:$U$189,'구매 입고 현황'!$E$4:$E$189,$B33,'구매 입고 현황'!$H$4:$H$189,P$2)</f>
        <v>0</v>
      </c>
      <c r="Q33" s="79">
        <f>SUMIFS('구매 입고 현황'!$U$4:$U$189,'구매 입고 현황'!$E$4:$E$189,$B33,'구매 입고 현황'!$H$4:$H$189,Q$2)</f>
        <v>0</v>
      </c>
      <c r="R33" s="79">
        <f>SUMIFS('구매 입고 현황'!$U$4:$U$189,'구매 입고 현황'!$E$4:$E$189,$B33,'구매 입고 현황'!$H$4:$H$189,R$2)</f>
        <v>0</v>
      </c>
      <c r="S33" s="79">
        <f>SUMIFS('구매 입고 현황'!$U$4:$U$189,'구매 입고 현황'!$E$4:$E$189,$B33,'구매 입고 현황'!$H$4:$H$189,S$2)</f>
        <v>0</v>
      </c>
      <c r="T33" s="79">
        <f>SUMIFS('구매 입고 현황'!$U$4:$U$189,'구매 입고 현황'!$E$4:$E$189,$B33,'구매 입고 현황'!$H$4:$H$189,T$2)</f>
        <v>0</v>
      </c>
      <c r="U33" s="186">
        <f t="shared" si="0"/>
        <v>420000</v>
      </c>
      <c r="V33" s="187">
        <f t="shared" si="14"/>
        <v>6.0647873940039944E-4</v>
      </c>
      <c r="W33" s="82">
        <v>31</v>
      </c>
      <c r="X33" s="78" t="s">
        <v>336</v>
      </c>
      <c r="Y33" s="79">
        <f>SUMIFS('구매 입고 현황'!$U$4:$U$189,'구매 입고 현황'!$E$4:$E$189,$X33,'구매 입고 현황'!$L$4:$L$189,Y$2)</f>
        <v>0</v>
      </c>
      <c r="Z33" s="79">
        <f>SUMIFS('구매 입고 현황'!$U$4:$U$189,'구매 입고 현황'!$E$4:$E$189,$X33,'구매 입고 현황'!$L$4:$L$189,Z$2)</f>
        <v>0</v>
      </c>
      <c r="AA33" s="79">
        <f>SUMIFS('구매 입고 현황'!$U$4:$U$189,'구매 입고 현황'!$E$4:$E$189,$X33,'구매 입고 현황'!$L$4:$L$189,AA$2)</f>
        <v>0</v>
      </c>
      <c r="AB33" s="79">
        <f>SUMIFS('구매 입고 현황'!$U$4:$U$189,'구매 입고 현황'!$E$4:$E$189,$X33,'구매 입고 현황'!$L$4:$L$189,AB$2)</f>
        <v>0</v>
      </c>
      <c r="AC33" s="79">
        <f>SUMIFS('구매 입고 현황'!$U$4:$U$189,'구매 입고 현황'!$E$4:$E$189,$X33,'구매 입고 현황'!$L$4:$L$189,AC$2)</f>
        <v>0</v>
      </c>
      <c r="AD33" s="79">
        <f>SUMIFS('구매 입고 현황'!$U$4:$U$189,'구매 입고 현황'!$E$4:$E$189,$X33,'구매 입고 현황'!$L$4:$L$189,AD$2)</f>
        <v>420000</v>
      </c>
      <c r="AE33" s="186">
        <f t="shared" si="9"/>
        <v>420000</v>
      </c>
      <c r="AF33" s="187">
        <f t="shared" si="2"/>
        <v>6.0367793796402454E-4</v>
      </c>
    </row>
    <row r="34" spans="1:32" ht="20.149999999999999" customHeight="1" x14ac:dyDescent="0.3">
      <c r="A34" s="82">
        <v>32</v>
      </c>
      <c r="B34" s="78" t="s">
        <v>92</v>
      </c>
      <c r="C34" s="79">
        <f>SUMIFS('구매 입고 현황'!$U$4:$U$189,'구매 입고 현황'!$E$4:$E$189,$B34,'구매 입고 현황'!$H$4:$H$189,C$2)</f>
        <v>0</v>
      </c>
      <c r="D34" s="79">
        <f>SUMIFS('구매 입고 현황'!$U$4:$U$189,'구매 입고 현황'!$E$4:$E$189,$B34,'구매 입고 현황'!$H$4:$H$189,D$2)</f>
        <v>0</v>
      </c>
      <c r="E34" s="79">
        <f>SUMIFS('구매 입고 현황'!$U$4:$U$189,'구매 입고 현황'!$E$4:$E$189,$B34,'구매 입고 현황'!$H$4:$H$189,E$2)</f>
        <v>0</v>
      </c>
      <c r="F34" s="79">
        <f>SUMIFS('구매 입고 현황'!$U$4:$U$189,'구매 입고 현황'!$E$4:$E$189,$B34,'구매 입고 현황'!$H$4:$H$189,F$2)</f>
        <v>10155000</v>
      </c>
      <c r="G34" s="79">
        <f>SUMIFS('구매 입고 현황'!$U$4:$U$189,'구매 입고 현황'!$E$4:$E$189,$B34,'구매 입고 현황'!$H$4:$H$189,G$2)</f>
        <v>0</v>
      </c>
      <c r="H34" s="79">
        <f>SUMIFS('구매 입고 현황'!$U$4:$U$189,'구매 입고 현황'!$E$4:$E$189,$B34,'구매 입고 현황'!$H$4:$H$189,H$2)</f>
        <v>0</v>
      </c>
      <c r="I34" s="79">
        <f>SUMIFS('구매 입고 현황'!$U$4:$U$189,'구매 입고 현황'!$E$4:$E$189,$B34,'구매 입고 현황'!$H$4:$H$189,I$2)</f>
        <v>0</v>
      </c>
      <c r="J34" s="79">
        <f>SUMIFS('구매 입고 현황'!$U$4:$U$189,'구매 입고 현황'!$E$4:$E$189,$B34,'구매 입고 현황'!$H$4:$H$189,J$2)</f>
        <v>0</v>
      </c>
      <c r="K34" s="79">
        <f>SUMIFS('구매 입고 현황'!$U$4:$U$189,'구매 입고 현황'!$E$4:$E$189,$B34,'구매 입고 현황'!$H$4:$H$189,K$2)</f>
        <v>0</v>
      </c>
      <c r="L34" s="79">
        <f>SUMIFS('구매 입고 현황'!$U$4:$U$189,'구매 입고 현황'!$E$4:$E$189,$B34,'구매 입고 현황'!$H$4:$H$189,L$2)</f>
        <v>0</v>
      </c>
      <c r="M34" s="79">
        <f>SUMIFS('구매 입고 현황'!$U$4:$U$189,'구매 입고 현황'!$E$4:$E$189,$B34,'구매 입고 현황'!$H$4:$H$189,M$2)</f>
        <v>0</v>
      </c>
      <c r="N34" s="79">
        <f>SUMIFS('구매 입고 현황'!$U$4:$U$189,'구매 입고 현황'!$E$4:$E$189,$B34,'구매 입고 현황'!$H$4:$H$189,N$2)</f>
        <v>0</v>
      </c>
      <c r="O34" s="79">
        <f>SUMIFS('구매 입고 현황'!$U$4:$U$189,'구매 입고 현황'!$E$4:$E$189,$B34,'구매 입고 현황'!$H$4:$H$189,O$2)</f>
        <v>0</v>
      </c>
      <c r="P34" s="79">
        <f>SUMIFS('구매 입고 현황'!$U$4:$U$189,'구매 입고 현황'!$E$4:$E$189,$B34,'구매 입고 현황'!$H$4:$H$189,P$2)</f>
        <v>0</v>
      </c>
      <c r="Q34" s="79">
        <f>SUMIFS('구매 입고 현황'!$U$4:$U$189,'구매 입고 현황'!$E$4:$E$189,$B34,'구매 입고 현황'!$H$4:$H$189,Q$2)</f>
        <v>0</v>
      </c>
      <c r="R34" s="79">
        <f>SUMIFS('구매 입고 현황'!$U$4:$U$189,'구매 입고 현황'!$E$4:$E$189,$B34,'구매 입고 현황'!$H$4:$H$189,R$2)</f>
        <v>0</v>
      </c>
      <c r="S34" s="79">
        <f>SUMIFS('구매 입고 현황'!$U$4:$U$189,'구매 입고 현황'!$E$4:$E$189,$B34,'구매 입고 현황'!$H$4:$H$189,S$2)</f>
        <v>0</v>
      </c>
      <c r="T34" s="79">
        <f>SUMIFS('구매 입고 현황'!$U$4:$U$189,'구매 입고 현황'!$E$4:$E$189,$B34,'구매 입고 현황'!$H$4:$H$189,T$2)</f>
        <v>0</v>
      </c>
      <c r="U34" s="186">
        <f t="shared" si="0"/>
        <v>10155000</v>
      </c>
      <c r="V34" s="187">
        <f t="shared" ref="V34:V36" si="17">U34/$U$46</f>
        <v>1.4663789520502516E-2</v>
      </c>
      <c r="W34" s="82">
        <v>32</v>
      </c>
      <c r="X34" s="78" t="s">
        <v>92</v>
      </c>
      <c r="Y34" s="79">
        <f>SUMIFS('구매 입고 현황'!$U$4:$U$189,'구매 입고 현황'!$E$4:$E$189,$X34,'구매 입고 현황'!$L$4:$L$189,Y$2)</f>
        <v>0</v>
      </c>
      <c r="Z34" s="79">
        <f>SUMIFS('구매 입고 현황'!$U$4:$U$189,'구매 입고 현황'!$E$4:$E$189,$X34,'구매 입고 현황'!$L$4:$L$189,Z$2)</f>
        <v>0</v>
      </c>
      <c r="AA34" s="79">
        <f>SUMIFS('구매 입고 현황'!$U$4:$U$189,'구매 입고 현황'!$E$4:$E$189,$X34,'구매 입고 현황'!$L$4:$L$189,AA$2)</f>
        <v>0</v>
      </c>
      <c r="AB34" s="79">
        <f>SUMIFS('구매 입고 현황'!$U$4:$U$189,'구매 입고 현황'!$E$4:$E$189,$X34,'구매 입고 현황'!$L$4:$L$189,AB$2)</f>
        <v>0</v>
      </c>
      <c r="AC34" s="79">
        <f>SUMIFS('구매 입고 현황'!$U$4:$U$189,'구매 입고 현황'!$E$4:$E$189,$X34,'구매 입고 현황'!$L$4:$L$189,AC$2)</f>
        <v>0</v>
      </c>
      <c r="AD34" s="79">
        <f>SUMIFS('구매 입고 현황'!$U$4:$U$189,'구매 입고 현황'!$E$4:$E$189,$X34,'구매 입고 현황'!$L$4:$L$189,AD$2)</f>
        <v>10155000</v>
      </c>
      <c r="AE34" s="186">
        <f t="shared" ref="AE34:AE45" si="18">SUM(Y34:AD34)</f>
        <v>10155000</v>
      </c>
      <c r="AF34" s="187">
        <f t="shared" ref="AF34:AF45" si="19">AE34/$AE$46</f>
        <v>1.4596070142915878E-2</v>
      </c>
    </row>
    <row r="35" spans="1:32" ht="20.149999999999999" customHeight="1" x14ac:dyDescent="0.3">
      <c r="A35" s="82">
        <v>33</v>
      </c>
      <c r="B35" s="78" t="s">
        <v>234</v>
      </c>
      <c r="C35" s="79">
        <f>SUMIFS('구매 입고 현황'!$U$4:$U$189,'구매 입고 현황'!$E$4:$E$189,$B35,'구매 입고 현황'!$H$4:$H$189,C$2)</f>
        <v>22913370</v>
      </c>
      <c r="D35" s="79">
        <f>SUMIFS('구매 입고 현황'!$U$4:$U$189,'구매 입고 현황'!$E$4:$E$189,$B35,'구매 입고 현황'!$H$4:$H$189,D$2)</f>
        <v>0</v>
      </c>
      <c r="E35" s="79">
        <f>SUMIFS('구매 입고 현황'!$U$4:$U$189,'구매 입고 현황'!$E$4:$E$189,$B35,'구매 입고 현황'!$H$4:$H$189,E$2)</f>
        <v>0</v>
      </c>
      <c r="F35" s="79">
        <f>SUMIFS('구매 입고 현황'!$U$4:$U$189,'구매 입고 현황'!$E$4:$E$189,$B35,'구매 입고 현황'!$H$4:$H$189,F$2)</f>
        <v>0</v>
      </c>
      <c r="G35" s="79">
        <f>SUMIFS('구매 입고 현황'!$U$4:$U$189,'구매 입고 현황'!$E$4:$E$189,$B35,'구매 입고 현황'!$H$4:$H$189,G$2)</f>
        <v>66782940</v>
      </c>
      <c r="H35" s="79">
        <f>SUMIFS('구매 입고 현황'!$U$4:$U$189,'구매 입고 현황'!$E$4:$E$189,$B35,'구매 입고 현황'!$H$4:$H$189,H$2)</f>
        <v>0</v>
      </c>
      <c r="I35" s="79">
        <f>SUMIFS('구매 입고 현황'!$U$4:$U$189,'구매 입고 현황'!$E$4:$E$189,$B35,'구매 입고 현황'!$H$4:$H$189,I$2)</f>
        <v>0</v>
      </c>
      <c r="J35" s="79">
        <f>SUMIFS('구매 입고 현황'!$U$4:$U$189,'구매 입고 현황'!$E$4:$E$189,$B35,'구매 입고 현황'!$H$4:$H$189,J$2)</f>
        <v>0</v>
      </c>
      <c r="K35" s="79">
        <f>SUMIFS('구매 입고 현황'!$U$4:$U$189,'구매 입고 현황'!$E$4:$E$189,$B35,'구매 입고 현황'!$H$4:$H$189,K$2)</f>
        <v>0</v>
      </c>
      <c r="L35" s="79">
        <f>SUMIFS('구매 입고 현황'!$U$4:$U$189,'구매 입고 현황'!$E$4:$E$189,$B35,'구매 입고 현황'!$H$4:$H$189,L$2)</f>
        <v>0</v>
      </c>
      <c r="M35" s="79">
        <f>SUMIFS('구매 입고 현황'!$U$4:$U$189,'구매 입고 현황'!$E$4:$E$189,$B35,'구매 입고 현황'!$H$4:$H$189,M$2)</f>
        <v>0</v>
      </c>
      <c r="N35" s="79">
        <f>SUMIFS('구매 입고 현황'!$U$4:$U$189,'구매 입고 현황'!$E$4:$E$189,$B35,'구매 입고 현황'!$H$4:$H$189,N$2)</f>
        <v>0</v>
      </c>
      <c r="O35" s="79">
        <f>SUMIFS('구매 입고 현황'!$U$4:$U$189,'구매 입고 현황'!$E$4:$E$189,$B35,'구매 입고 현황'!$H$4:$H$189,O$2)</f>
        <v>0</v>
      </c>
      <c r="P35" s="79">
        <f>SUMIFS('구매 입고 현황'!$U$4:$U$189,'구매 입고 현황'!$E$4:$E$189,$B35,'구매 입고 현황'!$H$4:$H$189,P$2)</f>
        <v>0</v>
      </c>
      <c r="Q35" s="79">
        <f>SUMIFS('구매 입고 현황'!$U$4:$U$189,'구매 입고 현황'!$E$4:$E$189,$B35,'구매 입고 현황'!$H$4:$H$189,Q$2)</f>
        <v>0</v>
      </c>
      <c r="R35" s="79">
        <f>SUMIFS('구매 입고 현황'!$U$4:$U$189,'구매 입고 현황'!$E$4:$E$189,$B35,'구매 입고 현황'!$H$4:$H$189,R$2)</f>
        <v>0</v>
      </c>
      <c r="S35" s="79">
        <f>SUMIFS('구매 입고 현황'!$U$4:$U$189,'구매 입고 현황'!$E$4:$E$189,$B35,'구매 입고 현황'!$H$4:$H$189,S$2)</f>
        <v>0</v>
      </c>
      <c r="T35" s="79">
        <f>SUMIFS('구매 입고 현황'!$U$4:$U$189,'구매 입고 현황'!$E$4:$E$189,$B35,'구매 입고 현황'!$H$4:$H$189,T$2)</f>
        <v>0</v>
      </c>
      <c r="U35" s="186">
        <f t="shared" si="0"/>
        <v>89696310</v>
      </c>
      <c r="V35" s="187">
        <f t="shared" si="17"/>
        <v>0.12952120242301773</v>
      </c>
      <c r="W35" s="82">
        <v>33</v>
      </c>
      <c r="X35" s="78" t="s">
        <v>234</v>
      </c>
      <c r="Y35" s="79">
        <f>SUMIFS('구매 입고 현황'!$U$4:$U$189,'구매 입고 현황'!$E$4:$E$189,$X35,'구매 입고 현황'!$L$4:$L$189,Y$2)</f>
        <v>0</v>
      </c>
      <c r="Z35" s="79">
        <f>SUMIFS('구매 입고 현황'!$U$4:$U$189,'구매 입고 현황'!$E$4:$E$189,$X35,'구매 입고 현황'!$L$4:$L$189,Z$2)</f>
        <v>0</v>
      </c>
      <c r="AA35" s="79">
        <f>SUMIFS('구매 입고 현황'!$U$4:$U$189,'구매 입고 현황'!$E$4:$E$189,$X35,'구매 입고 현황'!$L$4:$L$189,AA$2)</f>
        <v>0</v>
      </c>
      <c r="AB35" s="79">
        <f>SUMIFS('구매 입고 현황'!$U$4:$U$189,'구매 입고 현황'!$E$4:$E$189,$X35,'구매 입고 현황'!$L$4:$L$189,AB$2)</f>
        <v>0</v>
      </c>
      <c r="AC35" s="79">
        <f>SUMIFS('구매 입고 현황'!$U$4:$U$189,'구매 입고 현황'!$E$4:$E$189,$X35,'구매 입고 현황'!$L$4:$L$189,AC$2)</f>
        <v>0</v>
      </c>
      <c r="AD35" s="79">
        <f>SUMIFS('구매 입고 현황'!$U$4:$U$189,'구매 입고 현황'!$E$4:$E$189,$X35,'구매 입고 현황'!$L$4:$L$189,AD$2)</f>
        <v>89696310</v>
      </c>
      <c r="AE35" s="186">
        <f t="shared" si="18"/>
        <v>89696310</v>
      </c>
      <c r="AF35" s="187">
        <f t="shared" si="19"/>
        <v>0.12892305586614741</v>
      </c>
    </row>
    <row r="36" spans="1:32" ht="20.149999999999999" customHeight="1" x14ac:dyDescent="0.3">
      <c r="A36" s="82">
        <v>34</v>
      </c>
      <c r="B36" s="78" t="s">
        <v>217</v>
      </c>
      <c r="C36" s="79">
        <f>SUMIFS('구매 입고 현황'!$U$4:$U$189,'구매 입고 현황'!$E$4:$E$189,$B36,'구매 입고 현황'!$H$4:$H$189,C$2)</f>
        <v>0</v>
      </c>
      <c r="D36" s="79">
        <f>SUMIFS('구매 입고 현황'!$U$4:$U$189,'구매 입고 현황'!$E$4:$E$189,$B36,'구매 입고 현황'!$H$4:$H$189,D$2)</f>
        <v>0</v>
      </c>
      <c r="E36" s="79">
        <f>SUMIFS('구매 입고 현황'!$U$4:$U$189,'구매 입고 현황'!$E$4:$E$189,$B36,'구매 입고 현황'!$H$4:$H$189,E$2)</f>
        <v>0</v>
      </c>
      <c r="F36" s="79">
        <f>SUMIFS('구매 입고 현황'!$U$4:$U$189,'구매 입고 현황'!$E$4:$E$189,$B36,'구매 입고 현황'!$H$4:$H$189,F$2)</f>
        <v>30052000</v>
      </c>
      <c r="G36" s="79">
        <f>SUMIFS('구매 입고 현황'!$U$4:$U$189,'구매 입고 현황'!$E$4:$E$189,$B36,'구매 입고 현황'!$H$4:$H$189,G$2)</f>
        <v>15006000</v>
      </c>
      <c r="H36" s="79">
        <f>SUMIFS('구매 입고 현황'!$U$4:$U$189,'구매 입고 현황'!$E$4:$E$189,$B36,'구매 입고 현황'!$H$4:$H$189,H$2)</f>
        <v>0</v>
      </c>
      <c r="I36" s="79">
        <f>SUMIFS('구매 입고 현황'!$U$4:$U$189,'구매 입고 현황'!$E$4:$E$189,$B36,'구매 입고 현황'!$H$4:$H$189,I$2)</f>
        <v>0</v>
      </c>
      <c r="J36" s="79">
        <f>SUMIFS('구매 입고 현황'!$U$4:$U$189,'구매 입고 현황'!$E$4:$E$189,$B36,'구매 입고 현황'!$H$4:$H$189,J$2)</f>
        <v>0</v>
      </c>
      <c r="K36" s="79">
        <f>SUMIFS('구매 입고 현황'!$U$4:$U$189,'구매 입고 현황'!$E$4:$E$189,$B36,'구매 입고 현황'!$H$4:$H$189,K$2)</f>
        <v>0</v>
      </c>
      <c r="L36" s="79">
        <f>SUMIFS('구매 입고 현황'!$U$4:$U$189,'구매 입고 현황'!$E$4:$E$189,$B36,'구매 입고 현황'!$H$4:$H$189,L$2)</f>
        <v>0</v>
      </c>
      <c r="M36" s="79">
        <f>SUMIFS('구매 입고 현황'!$U$4:$U$189,'구매 입고 현황'!$E$4:$E$189,$B36,'구매 입고 현황'!$H$4:$H$189,M$2)</f>
        <v>0</v>
      </c>
      <c r="N36" s="79">
        <f>SUMIFS('구매 입고 현황'!$U$4:$U$189,'구매 입고 현황'!$E$4:$E$189,$B36,'구매 입고 현황'!$H$4:$H$189,N$2)</f>
        <v>0</v>
      </c>
      <c r="O36" s="79">
        <f>SUMIFS('구매 입고 현황'!$U$4:$U$189,'구매 입고 현황'!$E$4:$E$189,$B36,'구매 입고 현황'!$H$4:$H$189,O$2)</f>
        <v>0</v>
      </c>
      <c r="P36" s="79">
        <f>SUMIFS('구매 입고 현황'!$U$4:$U$189,'구매 입고 현황'!$E$4:$E$189,$B36,'구매 입고 현황'!$H$4:$H$189,P$2)</f>
        <v>0</v>
      </c>
      <c r="Q36" s="79">
        <f>SUMIFS('구매 입고 현황'!$U$4:$U$189,'구매 입고 현황'!$E$4:$E$189,$B36,'구매 입고 현황'!$H$4:$H$189,Q$2)</f>
        <v>0</v>
      </c>
      <c r="R36" s="79">
        <f>SUMIFS('구매 입고 현황'!$U$4:$U$189,'구매 입고 현황'!$E$4:$E$189,$B36,'구매 입고 현황'!$H$4:$H$189,R$2)</f>
        <v>0</v>
      </c>
      <c r="S36" s="79">
        <f>SUMIFS('구매 입고 현황'!$U$4:$U$189,'구매 입고 현황'!$E$4:$E$189,$B36,'구매 입고 현황'!$H$4:$H$189,S$2)</f>
        <v>0</v>
      </c>
      <c r="T36" s="79">
        <f>SUMIFS('구매 입고 현황'!$U$4:$U$189,'구매 입고 현황'!$E$4:$E$189,$B36,'구매 입고 현황'!$H$4:$H$189,T$2)</f>
        <v>0</v>
      </c>
      <c r="U36" s="186">
        <f t="shared" si="0"/>
        <v>45058000</v>
      </c>
      <c r="V36" s="187">
        <f t="shared" si="17"/>
        <v>6.5063616761674284E-2</v>
      </c>
      <c r="W36" s="82">
        <v>34</v>
      </c>
      <c r="X36" s="78" t="s">
        <v>217</v>
      </c>
      <c r="Y36" s="79">
        <f>SUMIFS('구매 입고 현황'!$U$4:$U$189,'구매 입고 현황'!$E$4:$E$189,$X36,'구매 입고 현황'!$L$4:$L$189,Y$2)</f>
        <v>0</v>
      </c>
      <c r="Z36" s="79">
        <f>SUMIFS('구매 입고 현황'!$U$4:$U$189,'구매 입고 현황'!$E$4:$E$189,$X36,'구매 입고 현황'!$L$4:$L$189,Z$2)</f>
        <v>0</v>
      </c>
      <c r="AA36" s="79">
        <f>SUMIFS('구매 입고 현황'!$U$4:$U$189,'구매 입고 현황'!$E$4:$E$189,$X36,'구매 입고 현황'!$L$4:$L$189,AA$2)</f>
        <v>0</v>
      </c>
      <c r="AB36" s="79">
        <f>SUMIFS('구매 입고 현황'!$U$4:$U$189,'구매 입고 현황'!$E$4:$E$189,$X36,'구매 입고 현황'!$L$4:$L$189,AB$2)</f>
        <v>0</v>
      </c>
      <c r="AC36" s="79">
        <f>SUMIFS('구매 입고 현황'!$U$4:$U$189,'구매 입고 현황'!$E$4:$E$189,$X36,'구매 입고 현황'!$L$4:$L$189,AC$2)</f>
        <v>0</v>
      </c>
      <c r="AD36" s="79">
        <f>SUMIFS('구매 입고 현황'!$U$4:$U$189,'구매 입고 현황'!$E$4:$E$189,$X36,'구매 입고 현황'!$L$4:$L$189,AD$2)</f>
        <v>45058000</v>
      </c>
      <c r="AE36" s="186">
        <f t="shared" si="18"/>
        <v>45058000</v>
      </c>
      <c r="AF36" s="187">
        <f t="shared" si="19"/>
        <v>6.4763144116150043E-2</v>
      </c>
    </row>
    <row r="37" spans="1:32" ht="20.149999999999999" customHeight="1" x14ac:dyDescent="0.3">
      <c r="A37" s="82">
        <v>35</v>
      </c>
      <c r="B37" s="78" t="s">
        <v>147</v>
      </c>
      <c r="C37" s="79">
        <f>SUMIFS('구매 입고 현황'!$U$4:$U$189,'구매 입고 현황'!$E$4:$E$189,$B37,'구매 입고 현황'!$H$4:$H$189,C$2)</f>
        <v>0</v>
      </c>
      <c r="D37" s="79">
        <f>SUMIFS('구매 입고 현황'!$U$4:$U$189,'구매 입고 현황'!$E$4:$E$189,$B37,'구매 입고 현황'!$H$4:$H$189,D$2)</f>
        <v>0</v>
      </c>
      <c r="E37" s="79">
        <f>SUMIFS('구매 입고 현황'!$U$4:$U$189,'구매 입고 현황'!$E$4:$E$189,$B37,'구매 입고 현황'!$H$4:$H$189,E$2)</f>
        <v>4090000</v>
      </c>
      <c r="F37" s="79">
        <f>SUMIFS('구매 입고 현황'!$U$4:$U$189,'구매 입고 현황'!$E$4:$E$189,$B37,'구매 입고 현황'!$H$4:$H$189,F$2)</f>
        <v>0</v>
      </c>
      <c r="G37" s="79">
        <f>SUMIFS('구매 입고 현황'!$U$4:$U$189,'구매 입고 현황'!$E$4:$E$189,$B37,'구매 입고 현황'!$H$4:$H$189,G$2)</f>
        <v>0</v>
      </c>
      <c r="H37" s="79">
        <f>SUMIFS('구매 입고 현황'!$U$4:$U$189,'구매 입고 현황'!$E$4:$E$189,$B37,'구매 입고 현황'!$H$4:$H$189,H$2)</f>
        <v>0</v>
      </c>
      <c r="I37" s="79">
        <f>SUMIFS('구매 입고 현황'!$U$4:$U$189,'구매 입고 현황'!$E$4:$E$189,$B37,'구매 입고 현황'!$H$4:$H$189,I$2)</f>
        <v>0</v>
      </c>
      <c r="J37" s="79">
        <f>SUMIFS('구매 입고 현황'!$U$4:$U$189,'구매 입고 현황'!$E$4:$E$189,$B37,'구매 입고 현황'!$H$4:$H$189,J$2)</f>
        <v>0</v>
      </c>
      <c r="K37" s="79">
        <f>SUMIFS('구매 입고 현황'!$U$4:$U$189,'구매 입고 현황'!$E$4:$E$189,$B37,'구매 입고 현황'!$H$4:$H$189,K$2)</f>
        <v>0</v>
      </c>
      <c r="L37" s="79">
        <f>SUMIFS('구매 입고 현황'!$U$4:$U$189,'구매 입고 현황'!$E$4:$E$189,$B37,'구매 입고 현황'!$H$4:$H$189,L$2)</f>
        <v>0</v>
      </c>
      <c r="M37" s="79">
        <f>SUMIFS('구매 입고 현황'!$U$4:$U$189,'구매 입고 현황'!$E$4:$E$189,$B37,'구매 입고 현황'!$H$4:$H$189,M$2)</f>
        <v>0</v>
      </c>
      <c r="N37" s="79">
        <f>SUMIFS('구매 입고 현황'!$U$4:$U$189,'구매 입고 현황'!$E$4:$E$189,$B37,'구매 입고 현황'!$H$4:$H$189,N$2)</f>
        <v>0</v>
      </c>
      <c r="O37" s="79">
        <f>SUMIFS('구매 입고 현황'!$U$4:$U$189,'구매 입고 현황'!$E$4:$E$189,$B37,'구매 입고 현황'!$H$4:$H$189,O$2)</f>
        <v>0</v>
      </c>
      <c r="P37" s="79">
        <f>SUMIFS('구매 입고 현황'!$U$4:$U$189,'구매 입고 현황'!$E$4:$E$189,$B37,'구매 입고 현황'!$H$4:$H$189,P$2)</f>
        <v>7522000</v>
      </c>
      <c r="Q37" s="79">
        <f>SUMIFS('구매 입고 현황'!$U$4:$U$189,'구매 입고 현황'!$E$4:$E$189,$B37,'구매 입고 현황'!$H$4:$H$189,Q$2)</f>
        <v>0</v>
      </c>
      <c r="R37" s="79">
        <f>SUMIFS('구매 입고 현황'!$U$4:$U$189,'구매 입고 현황'!$E$4:$E$189,$B37,'구매 입고 현황'!$H$4:$H$189,R$2)</f>
        <v>3800000</v>
      </c>
      <c r="S37" s="79">
        <f>SUMIFS('구매 입고 현황'!$U$4:$U$189,'구매 입고 현황'!$E$4:$E$189,$B37,'구매 입고 현황'!$H$4:$H$189,S$2)</f>
        <v>0</v>
      </c>
      <c r="T37" s="79">
        <f>SUMIFS('구매 입고 현황'!$U$4:$U$189,'구매 입고 현황'!$E$4:$E$189,$B37,'구매 입고 현황'!$H$4:$H$189,T$2)</f>
        <v>0</v>
      </c>
      <c r="U37" s="186">
        <f t="shared" si="0"/>
        <v>15412000</v>
      </c>
      <c r="V37" s="187">
        <f t="shared" ref="V37:V42" si="20">U37/$U$46</f>
        <v>2.2254881741997516E-2</v>
      </c>
      <c r="W37" s="82">
        <v>35</v>
      </c>
      <c r="X37" s="78" t="s">
        <v>147</v>
      </c>
      <c r="Y37" s="79">
        <f>SUMIFS('구매 입고 현황'!$U$4:$U$189,'구매 입고 현황'!$E$4:$E$189,$X37,'구매 입고 현황'!$L$4:$L$189,Y$2)</f>
        <v>0</v>
      </c>
      <c r="Z37" s="79">
        <f>SUMIFS('구매 입고 현황'!$U$4:$U$189,'구매 입고 현황'!$E$4:$E$189,$X37,'구매 입고 현황'!$L$4:$L$189,Z$2)</f>
        <v>485000</v>
      </c>
      <c r="AA37" s="79">
        <f>SUMIFS('구매 입고 현황'!$U$4:$U$189,'구매 입고 현황'!$E$4:$E$189,$X37,'구매 입고 현황'!$L$4:$L$189,AA$2)</f>
        <v>0</v>
      </c>
      <c r="AB37" s="79">
        <f>SUMIFS('구매 입고 현황'!$U$4:$U$189,'구매 입고 현황'!$E$4:$E$189,$X37,'구매 입고 현황'!$L$4:$L$189,AB$2)</f>
        <v>0</v>
      </c>
      <c r="AC37" s="79">
        <f>SUMIFS('구매 입고 현황'!$U$4:$U$189,'구매 입고 현황'!$E$4:$E$189,$X37,'구매 입고 현황'!$L$4:$L$189,AC$2)</f>
        <v>0</v>
      </c>
      <c r="AD37" s="79">
        <f>SUMIFS('구매 입고 현황'!$U$4:$U$189,'구매 입고 현황'!$E$4:$E$189,$X37,'구매 입고 현황'!$L$4:$L$189,AD$2)</f>
        <v>14927000</v>
      </c>
      <c r="AE37" s="186">
        <f t="shared" si="18"/>
        <v>15412000</v>
      </c>
      <c r="AF37" s="187">
        <f t="shared" si="19"/>
        <v>2.2152105666432251E-2</v>
      </c>
    </row>
    <row r="38" spans="1:32" ht="20.149999999999999" customHeight="1" x14ac:dyDescent="0.3">
      <c r="A38" s="82">
        <v>36</v>
      </c>
      <c r="B38" s="78" t="s">
        <v>223</v>
      </c>
      <c r="C38" s="79">
        <f>SUMIFS('구매 입고 현황'!$U$4:$U$189,'구매 입고 현황'!$E$4:$E$189,$B38,'구매 입고 현황'!$H$4:$H$189,C$2)</f>
        <v>0</v>
      </c>
      <c r="D38" s="79">
        <f>SUMIFS('구매 입고 현황'!$U$4:$U$189,'구매 입고 현황'!$E$4:$E$189,$B38,'구매 입고 현황'!$H$4:$H$189,D$2)</f>
        <v>0</v>
      </c>
      <c r="E38" s="79">
        <f>SUMIFS('구매 입고 현황'!$U$4:$U$189,'구매 입고 현황'!$E$4:$E$189,$B38,'구매 입고 현황'!$H$4:$H$189,E$2)</f>
        <v>6213300</v>
      </c>
      <c r="F38" s="79">
        <f>SUMIFS('구매 입고 현황'!$U$4:$U$189,'구매 입고 현황'!$E$4:$E$189,$B38,'구매 입고 현황'!$H$4:$H$189,F$2)</f>
        <v>0</v>
      </c>
      <c r="G38" s="79">
        <f>SUMIFS('구매 입고 현황'!$U$4:$U$189,'구매 입고 현황'!$E$4:$E$189,$B38,'구매 입고 현황'!$H$4:$H$189,G$2)</f>
        <v>6843000</v>
      </c>
      <c r="H38" s="79">
        <f>SUMIFS('구매 입고 현황'!$U$4:$U$189,'구매 입고 현황'!$E$4:$E$189,$B38,'구매 입고 현황'!$H$4:$H$189,H$2)</f>
        <v>0</v>
      </c>
      <c r="I38" s="79">
        <f>SUMIFS('구매 입고 현황'!$U$4:$U$189,'구매 입고 현황'!$E$4:$E$189,$B38,'구매 입고 현황'!$H$4:$H$189,I$2)</f>
        <v>0</v>
      </c>
      <c r="J38" s="79">
        <f>SUMIFS('구매 입고 현황'!$U$4:$U$189,'구매 입고 현황'!$E$4:$E$189,$B38,'구매 입고 현황'!$H$4:$H$189,J$2)</f>
        <v>0</v>
      </c>
      <c r="K38" s="79">
        <f>SUMIFS('구매 입고 현황'!$U$4:$U$189,'구매 입고 현황'!$E$4:$E$189,$B38,'구매 입고 현황'!$H$4:$H$189,K$2)</f>
        <v>0</v>
      </c>
      <c r="L38" s="79">
        <f>SUMIFS('구매 입고 현황'!$U$4:$U$189,'구매 입고 현황'!$E$4:$E$189,$B38,'구매 입고 현황'!$H$4:$H$189,L$2)</f>
        <v>0</v>
      </c>
      <c r="M38" s="79">
        <f>SUMIFS('구매 입고 현황'!$U$4:$U$189,'구매 입고 현황'!$E$4:$E$189,$B38,'구매 입고 현황'!$H$4:$H$189,M$2)</f>
        <v>0</v>
      </c>
      <c r="N38" s="79">
        <f>SUMIFS('구매 입고 현황'!$U$4:$U$189,'구매 입고 현황'!$E$4:$E$189,$B38,'구매 입고 현황'!$H$4:$H$189,N$2)</f>
        <v>0</v>
      </c>
      <c r="O38" s="79">
        <f>SUMIFS('구매 입고 현황'!$U$4:$U$189,'구매 입고 현황'!$E$4:$E$189,$B38,'구매 입고 현황'!$H$4:$H$189,O$2)</f>
        <v>0</v>
      </c>
      <c r="P38" s="79">
        <f>SUMIFS('구매 입고 현황'!$U$4:$U$189,'구매 입고 현황'!$E$4:$E$189,$B38,'구매 입고 현황'!$H$4:$H$189,P$2)</f>
        <v>0</v>
      </c>
      <c r="Q38" s="79">
        <f>SUMIFS('구매 입고 현황'!$U$4:$U$189,'구매 입고 현황'!$E$4:$E$189,$B38,'구매 입고 현황'!$H$4:$H$189,Q$2)</f>
        <v>0</v>
      </c>
      <c r="R38" s="79">
        <f>SUMIFS('구매 입고 현황'!$U$4:$U$189,'구매 입고 현황'!$E$4:$E$189,$B38,'구매 입고 현황'!$H$4:$H$189,R$2)</f>
        <v>0</v>
      </c>
      <c r="S38" s="79">
        <f>SUMIFS('구매 입고 현황'!$U$4:$U$189,'구매 입고 현황'!$E$4:$E$189,$B38,'구매 입고 현황'!$H$4:$H$189,S$2)</f>
        <v>0</v>
      </c>
      <c r="T38" s="79">
        <f>SUMIFS('구매 입고 현황'!$U$4:$U$189,'구매 입고 현황'!$E$4:$E$189,$B38,'구매 입고 현황'!$H$4:$H$189,T$2)</f>
        <v>0</v>
      </c>
      <c r="U38" s="186">
        <f t="shared" si="0"/>
        <v>13056300</v>
      </c>
      <c r="V38" s="187">
        <f t="shared" si="20"/>
        <v>1.8853258012460562E-2</v>
      </c>
      <c r="W38" s="82">
        <v>36</v>
      </c>
      <c r="X38" s="78" t="s">
        <v>223</v>
      </c>
      <c r="Y38" s="79">
        <f>SUMIFS('구매 입고 현황'!$U$4:$U$189,'구매 입고 현황'!$E$4:$E$189,$X38,'구매 입고 현황'!$L$4:$L$189,Y$2)</f>
        <v>0</v>
      </c>
      <c r="Z38" s="79">
        <f>SUMIFS('구매 입고 현황'!$U$4:$U$189,'구매 입고 현황'!$E$4:$E$189,$X38,'구매 입고 현황'!$L$4:$L$189,Z$2)</f>
        <v>0</v>
      </c>
      <c r="AA38" s="79">
        <f>SUMIFS('구매 입고 현황'!$U$4:$U$189,'구매 입고 현황'!$E$4:$E$189,$X38,'구매 입고 현황'!$L$4:$L$189,AA$2)</f>
        <v>0</v>
      </c>
      <c r="AB38" s="79">
        <f>SUMIFS('구매 입고 현황'!$U$4:$U$189,'구매 입고 현황'!$E$4:$E$189,$X38,'구매 입고 현황'!$L$4:$L$189,AB$2)</f>
        <v>0</v>
      </c>
      <c r="AC38" s="79">
        <f>SUMIFS('구매 입고 현황'!$U$4:$U$189,'구매 입고 현황'!$E$4:$E$189,$X38,'구매 입고 현황'!$L$4:$L$189,AC$2)</f>
        <v>0</v>
      </c>
      <c r="AD38" s="79">
        <f>SUMIFS('구매 입고 현황'!$U$4:$U$189,'구매 입고 현황'!$E$4:$E$189,$X38,'구매 입고 현황'!$L$4:$L$189,AD$2)</f>
        <v>13056300</v>
      </c>
      <c r="AE38" s="186">
        <f t="shared" si="18"/>
        <v>13056300</v>
      </c>
      <c r="AF38" s="187">
        <f t="shared" si="19"/>
        <v>1.8766191098665938E-2</v>
      </c>
    </row>
    <row r="39" spans="1:32" ht="20.149999999999999" customHeight="1" x14ac:dyDescent="0.3">
      <c r="A39" s="82">
        <v>37</v>
      </c>
      <c r="B39" s="78" t="s">
        <v>745</v>
      </c>
      <c r="C39" s="79">
        <f>SUMIFS('구매 입고 현황'!$U$4:$U$189,'구매 입고 현황'!$E$4:$E$189,$B39,'구매 입고 현황'!$H$4:$H$189,C$2)</f>
        <v>250000</v>
      </c>
      <c r="D39" s="79">
        <f>SUMIFS('구매 입고 현황'!$U$4:$U$189,'구매 입고 현황'!$E$4:$E$189,$B39,'구매 입고 현황'!$H$4:$H$189,D$2)</f>
        <v>0</v>
      </c>
      <c r="E39" s="79">
        <f>SUMIFS('구매 입고 현황'!$U$4:$U$189,'구매 입고 현황'!$E$4:$E$189,$B39,'구매 입고 현황'!$H$4:$H$189,E$2)</f>
        <v>0</v>
      </c>
      <c r="F39" s="79">
        <f>SUMIFS('구매 입고 현황'!$U$4:$U$189,'구매 입고 현황'!$E$4:$E$189,$B39,'구매 입고 현황'!$H$4:$H$189,F$2)</f>
        <v>0</v>
      </c>
      <c r="G39" s="79">
        <f>SUMIFS('구매 입고 현황'!$U$4:$U$189,'구매 입고 현황'!$E$4:$E$189,$B39,'구매 입고 현황'!$H$4:$H$189,G$2)</f>
        <v>0</v>
      </c>
      <c r="H39" s="79">
        <f>SUMIFS('구매 입고 현황'!$U$4:$U$189,'구매 입고 현황'!$E$4:$E$189,$B39,'구매 입고 현황'!$H$4:$H$189,H$2)</f>
        <v>0</v>
      </c>
      <c r="I39" s="79">
        <f>SUMIFS('구매 입고 현황'!$U$4:$U$189,'구매 입고 현황'!$E$4:$E$189,$B39,'구매 입고 현황'!$H$4:$H$189,I$2)</f>
        <v>0</v>
      </c>
      <c r="J39" s="79">
        <f>SUMIFS('구매 입고 현황'!$U$4:$U$189,'구매 입고 현황'!$E$4:$E$189,$B39,'구매 입고 현황'!$H$4:$H$189,J$2)</f>
        <v>0</v>
      </c>
      <c r="K39" s="79">
        <f>SUMIFS('구매 입고 현황'!$U$4:$U$189,'구매 입고 현황'!$E$4:$E$189,$B39,'구매 입고 현황'!$H$4:$H$189,K$2)</f>
        <v>0</v>
      </c>
      <c r="L39" s="79">
        <f>SUMIFS('구매 입고 현황'!$U$4:$U$189,'구매 입고 현황'!$E$4:$E$189,$B39,'구매 입고 현황'!$H$4:$H$189,L$2)</f>
        <v>0</v>
      </c>
      <c r="M39" s="79">
        <f>SUMIFS('구매 입고 현황'!$U$4:$U$189,'구매 입고 현황'!$E$4:$E$189,$B39,'구매 입고 현황'!$H$4:$H$189,M$2)</f>
        <v>0</v>
      </c>
      <c r="N39" s="79">
        <f>SUMIFS('구매 입고 현황'!$U$4:$U$189,'구매 입고 현황'!$E$4:$E$189,$B39,'구매 입고 현황'!$H$4:$H$189,N$2)</f>
        <v>0</v>
      </c>
      <c r="O39" s="79">
        <f>SUMIFS('구매 입고 현황'!$U$4:$U$189,'구매 입고 현황'!$E$4:$E$189,$B39,'구매 입고 현황'!$H$4:$H$189,O$2)</f>
        <v>0</v>
      </c>
      <c r="P39" s="79">
        <f>SUMIFS('구매 입고 현황'!$U$4:$U$189,'구매 입고 현황'!$E$4:$E$189,$B39,'구매 입고 현황'!$H$4:$H$189,P$2)</f>
        <v>0</v>
      </c>
      <c r="Q39" s="79">
        <f>SUMIFS('구매 입고 현황'!$U$4:$U$189,'구매 입고 현황'!$E$4:$E$189,$B39,'구매 입고 현황'!$H$4:$H$189,Q$2)</f>
        <v>0</v>
      </c>
      <c r="R39" s="79">
        <f>SUMIFS('구매 입고 현황'!$U$4:$U$189,'구매 입고 현황'!$E$4:$E$189,$B39,'구매 입고 현황'!$H$4:$H$189,R$2)</f>
        <v>0</v>
      </c>
      <c r="S39" s="79">
        <f>SUMIFS('구매 입고 현황'!$U$4:$U$189,'구매 입고 현황'!$E$4:$E$189,$B39,'구매 입고 현황'!$H$4:$H$189,S$2)</f>
        <v>0</v>
      </c>
      <c r="T39" s="79">
        <f>SUMIFS('구매 입고 현황'!$U$4:$U$189,'구매 입고 현황'!$E$4:$E$189,$B39,'구매 입고 현황'!$H$4:$H$189,T$2)</f>
        <v>0</v>
      </c>
      <c r="U39" s="186">
        <f t="shared" si="0"/>
        <v>250000</v>
      </c>
      <c r="V39" s="187">
        <f t="shared" si="20"/>
        <v>3.6099924964309491E-4</v>
      </c>
      <c r="W39" s="82">
        <v>37</v>
      </c>
      <c r="X39" s="78" t="s">
        <v>745</v>
      </c>
      <c r="Y39" s="79">
        <f>SUMIFS('구매 입고 현황'!$U$4:$U$189,'구매 입고 현황'!$E$4:$E$189,$X39,'구매 입고 현황'!$L$4:$L$189,Y$2)</f>
        <v>0</v>
      </c>
      <c r="Z39" s="79">
        <f>SUMIFS('구매 입고 현황'!$U$4:$U$189,'구매 입고 현황'!$E$4:$E$189,$X39,'구매 입고 현황'!$L$4:$L$189,Z$2)</f>
        <v>0</v>
      </c>
      <c r="AA39" s="79">
        <f>SUMIFS('구매 입고 현황'!$U$4:$U$189,'구매 입고 현황'!$E$4:$E$189,$X39,'구매 입고 현황'!$L$4:$L$189,AA$2)</f>
        <v>0</v>
      </c>
      <c r="AB39" s="79">
        <f>SUMIFS('구매 입고 현황'!$U$4:$U$189,'구매 입고 현황'!$E$4:$E$189,$X39,'구매 입고 현황'!$L$4:$L$189,AB$2)</f>
        <v>0</v>
      </c>
      <c r="AC39" s="79">
        <f>SUMIFS('구매 입고 현황'!$U$4:$U$189,'구매 입고 현황'!$E$4:$E$189,$X39,'구매 입고 현황'!$L$4:$L$189,AC$2)</f>
        <v>0</v>
      </c>
      <c r="AD39" s="79">
        <f>SUMIFS('구매 입고 현황'!$U$4:$U$189,'구매 입고 현황'!$E$4:$E$189,$X39,'구매 입고 현황'!$L$4:$L$189,AD$2)</f>
        <v>250000</v>
      </c>
      <c r="AE39" s="186">
        <f t="shared" si="18"/>
        <v>250000</v>
      </c>
      <c r="AF39" s="187">
        <f t="shared" si="19"/>
        <v>3.5933210593096698E-4</v>
      </c>
    </row>
    <row r="40" spans="1:32" ht="20.149999999999999" customHeight="1" x14ac:dyDescent="0.3">
      <c r="A40" s="82">
        <v>38</v>
      </c>
      <c r="B40" s="78" t="s">
        <v>344</v>
      </c>
      <c r="C40" s="79">
        <f>SUMIFS('구매 입고 현황'!$U$4:$U$189,'구매 입고 현황'!$E$4:$E$189,$B40,'구매 입고 현황'!$H$4:$H$189,C$2)</f>
        <v>0</v>
      </c>
      <c r="D40" s="79">
        <f>SUMIFS('구매 입고 현황'!$U$4:$U$189,'구매 입고 현황'!$E$4:$E$189,$B40,'구매 입고 현황'!$H$4:$H$189,D$2)</f>
        <v>0</v>
      </c>
      <c r="E40" s="79">
        <f>SUMIFS('구매 입고 현황'!$U$4:$U$189,'구매 입고 현황'!$E$4:$E$189,$B40,'구매 입고 현황'!$H$4:$H$189,E$2)</f>
        <v>0</v>
      </c>
      <c r="F40" s="79">
        <f>SUMIFS('구매 입고 현황'!$U$4:$U$189,'구매 입고 현황'!$E$4:$E$189,$B40,'구매 입고 현황'!$H$4:$H$189,F$2)</f>
        <v>0</v>
      </c>
      <c r="G40" s="79">
        <f>SUMIFS('구매 입고 현황'!$U$4:$U$189,'구매 입고 현황'!$E$4:$E$189,$B40,'구매 입고 현황'!$H$4:$H$189,G$2)</f>
        <v>0</v>
      </c>
      <c r="H40" s="79">
        <f>SUMIFS('구매 입고 현황'!$U$4:$U$189,'구매 입고 현황'!$E$4:$E$189,$B40,'구매 입고 현황'!$H$4:$H$189,H$2)</f>
        <v>1680000</v>
      </c>
      <c r="I40" s="79">
        <f>SUMIFS('구매 입고 현황'!$U$4:$U$189,'구매 입고 현황'!$E$4:$E$189,$B40,'구매 입고 현황'!$H$4:$H$189,I$2)</f>
        <v>0</v>
      </c>
      <c r="J40" s="79">
        <f>SUMIFS('구매 입고 현황'!$U$4:$U$189,'구매 입고 현황'!$E$4:$E$189,$B40,'구매 입고 현황'!$H$4:$H$189,J$2)</f>
        <v>0</v>
      </c>
      <c r="K40" s="79">
        <f>SUMIFS('구매 입고 현황'!$U$4:$U$189,'구매 입고 현황'!$E$4:$E$189,$B40,'구매 입고 현황'!$H$4:$H$189,K$2)</f>
        <v>0</v>
      </c>
      <c r="L40" s="79">
        <f>SUMIFS('구매 입고 현황'!$U$4:$U$189,'구매 입고 현황'!$E$4:$E$189,$B40,'구매 입고 현황'!$H$4:$H$189,L$2)</f>
        <v>0</v>
      </c>
      <c r="M40" s="79">
        <f>SUMIFS('구매 입고 현황'!$U$4:$U$189,'구매 입고 현황'!$E$4:$E$189,$B40,'구매 입고 현황'!$H$4:$H$189,M$2)</f>
        <v>0</v>
      </c>
      <c r="N40" s="79">
        <f>SUMIFS('구매 입고 현황'!$U$4:$U$189,'구매 입고 현황'!$E$4:$E$189,$B40,'구매 입고 현황'!$H$4:$H$189,N$2)</f>
        <v>0</v>
      </c>
      <c r="O40" s="79">
        <f>SUMIFS('구매 입고 현황'!$U$4:$U$189,'구매 입고 현황'!$E$4:$E$189,$B40,'구매 입고 현황'!$H$4:$H$189,O$2)</f>
        <v>0</v>
      </c>
      <c r="P40" s="79">
        <f>SUMIFS('구매 입고 현황'!$U$4:$U$189,'구매 입고 현황'!$E$4:$E$189,$B40,'구매 입고 현황'!$H$4:$H$189,P$2)</f>
        <v>0</v>
      </c>
      <c r="Q40" s="79">
        <f>SUMIFS('구매 입고 현황'!$U$4:$U$189,'구매 입고 현황'!$E$4:$E$189,$B40,'구매 입고 현황'!$H$4:$H$189,Q$2)</f>
        <v>0</v>
      </c>
      <c r="R40" s="79">
        <f>SUMIFS('구매 입고 현황'!$U$4:$U$189,'구매 입고 현황'!$E$4:$E$189,$B40,'구매 입고 현황'!$H$4:$H$189,R$2)</f>
        <v>0</v>
      </c>
      <c r="S40" s="79">
        <f>SUMIFS('구매 입고 현황'!$U$4:$U$189,'구매 입고 현황'!$E$4:$E$189,$B40,'구매 입고 현황'!$H$4:$H$189,S$2)</f>
        <v>0</v>
      </c>
      <c r="T40" s="79">
        <f>SUMIFS('구매 입고 현황'!$U$4:$U$189,'구매 입고 현황'!$E$4:$E$189,$B40,'구매 입고 현황'!$H$4:$H$189,T$2)</f>
        <v>0</v>
      </c>
      <c r="U40" s="186">
        <f t="shared" si="0"/>
        <v>1680000</v>
      </c>
      <c r="V40" s="187">
        <f t="shared" si="20"/>
        <v>2.4259149576015978E-3</v>
      </c>
      <c r="W40" s="82">
        <v>38</v>
      </c>
      <c r="X40" s="78" t="s">
        <v>344</v>
      </c>
      <c r="Y40" s="79">
        <f>SUMIFS('구매 입고 현황'!$U$4:$U$189,'구매 입고 현황'!$E$4:$E$189,$X40,'구매 입고 현황'!$L$4:$L$189,Y$2)</f>
        <v>0</v>
      </c>
      <c r="Z40" s="79">
        <f>SUMIFS('구매 입고 현황'!$U$4:$U$189,'구매 입고 현황'!$E$4:$E$189,$X40,'구매 입고 현황'!$L$4:$L$189,Z$2)</f>
        <v>0</v>
      </c>
      <c r="AA40" s="79">
        <f>SUMIFS('구매 입고 현황'!$U$4:$U$189,'구매 입고 현황'!$E$4:$E$189,$X40,'구매 입고 현황'!$L$4:$L$189,AA$2)</f>
        <v>0</v>
      </c>
      <c r="AB40" s="79">
        <f>SUMIFS('구매 입고 현황'!$U$4:$U$189,'구매 입고 현황'!$E$4:$E$189,$X40,'구매 입고 현황'!$L$4:$L$189,AB$2)</f>
        <v>0</v>
      </c>
      <c r="AC40" s="79">
        <f>SUMIFS('구매 입고 현황'!$U$4:$U$189,'구매 입고 현황'!$E$4:$E$189,$X40,'구매 입고 현황'!$L$4:$L$189,AC$2)</f>
        <v>0</v>
      </c>
      <c r="AD40" s="79">
        <f>SUMIFS('구매 입고 현황'!$U$4:$U$189,'구매 입고 현황'!$E$4:$E$189,$X40,'구매 입고 현황'!$L$4:$L$189,AD$2)</f>
        <v>1680000</v>
      </c>
      <c r="AE40" s="186">
        <f t="shared" si="18"/>
        <v>1680000</v>
      </c>
      <c r="AF40" s="187">
        <f t="shared" si="19"/>
        <v>2.4147117518560982E-3</v>
      </c>
    </row>
    <row r="41" spans="1:32" ht="20.149999999999999" customHeight="1" x14ac:dyDescent="0.3">
      <c r="A41" s="82">
        <v>39</v>
      </c>
      <c r="B41" s="78" t="s">
        <v>550</v>
      </c>
      <c r="C41" s="79">
        <f>SUMIFS('구매 입고 현황'!$U$4:$U$189,'구매 입고 현황'!$E$4:$E$189,$B41,'구매 입고 현황'!$H$4:$H$189,C$2)</f>
        <v>0</v>
      </c>
      <c r="D41" s="79">
        <f>SUMIFS('구매 입고 현황'!$U$4:$U$189,'구매 입고 현황'!$E$4:$E$189,$B41,'구매 입고 현황'!$H$4:$H$189,D$2)</f>
        <v>0</v>
      </c>
      <c r="E41" s="79">
        <f>SUMIFS('구매 입고 현황'!$U$4:$U$189,'구매 입고 현황'!$E$4:$E$189,$B41,'구매 입고 현황'!$H$4:$H$189,E$2)</f>
        <v>29900000</v>
      </c>
      <c r="F41" s="79">
        <f>SUMIFS('구매 입고 현황'!$U$4:$U$189,'구매 입고 현황'!$E$4:$E$189,$B41,'구매 입고 현황'!$H$4:$H$189,F$2)</f>
        <v>0</v>
      </c>
      <c r="G41" s="79">
        <f>SUMIFS('구매 입고 현황'!$U$4:$U$189,'구매 입고 현황'!$E$4:$E$189,$B41,'구매 입고 현황'!$H$4:$H$189,G$2)</f>
        <v>0</v>
      </c>
      <c r="H41" s="79">
        <f>SUMIFS('구매 입고 현황'!$U$4:$U$189,'구매 입고 현황'!$E$4:$E$189,$B41,'구매 입고 현황'!$H$4:$H$189,H$2)</f>
        <v>0</v>
      </c>
      <c r="I41" s="79">
        <f>SUMIFS('구매 입고 현황'!$U$4:$U$189,'구매 입고 현황'!$E$4:$E$189,$B41,'구매 입고 현황'!$H$4:$H$189,I$2)</f>
        <v>0</v>
      </c>
      <c r="J41" s="79">
        <f>SUMIFS('구매 입고 현황'!$U$4:$U$189,'구매 입고 현황'!$E$4:$E$189,$B41,'구매 입고 현황'!$H$4:$H$189,J$2)</f>
        <v>0</v>
      </c>
      <c r="K41" s="79">
        <f>SUMIFS('구매 입고 현황'!$U$4:$U$189,'구매 입고 현황'!$E$4:$E$189,$B41,'구매 입고 현황'!$H$4:$H$189,K$2)</f>
        <v>0</v>
      </c>
      <c r="L41" s="79">
        <f>SUMIFS('구매 입고 현황'!$U$4:$U$189,'구매 입고 현황'!$E$4:$E$189,$B41,'구매 입고 현황'!$H$4:$H$189,L$2)</f>
        <v>0</v>
      </c>
      <c r="M41" s="79">
        <f>SUMIFS('구매 입고 현황'!$U$4:$U$189,'구매 입고 현황'!$E$4:$E$189,$B41,'구매 입고 현황'!$H$4:$H$189,M$2)</f>
        <v>0</v>
      </c>
      <c r="N41" s="79">
        <f>SUMIFS('구매 입고 현황'!$U$4:$U$189,'구매 입고 현황'!$E$4:$E$189,$B41,'구매 입고 현황'!$H$4:$H$189,N$2)</f>
        <v>0</v>
      </c>
      <c r="O41" s="79">
        <f>SUMIFS('구매 입고 현황'!$U$4:$U$189,'구매 입고 현황'!$E$4:$E$189,$B41,'구매 입고 현황'!$H$4:$H$189,O$2)</f>
        <v>0</v>
      </c>
      <c r="P41" s="79">
        <f>SUMIFS('구매 입고 현황'!$U$4:$U$189,'구매 입고 현황'!$E$4:$E$189,$B41,'구매 입고 현황'!$H$4:$H$189,P$2)</f>
        <v>0</v>
      </c>
      <c r="Q41" s="79">
        <f>SUMIFS('구매 입고 현황'!$U$4:$U$189,'구매 입고 현황'!$E$4:$E$189,$B41,'구매 입고 현황'!$H$4:$H$189,Q$2)</f>
        <v>0</v>
      </c>
      <c r="R41" s="79">
        <f>SUMIFS('구매 입고 현황'!$U$4:$U$189,'구매 입고 현황'!$E$4:$E$189,$B41,'구매 입고 현황'!$H$4:$H$189,R$2)</f>
        <v>0</v>
      </c>
      <c r="S41" s="79">
        <f>SUMIFS('구매 입고 현황'!$U$4:$U$189,'구매 입고 현황'!$E$4:$E$189,$B41,'구매 입고 현황'!$H$4:$H$189,S$2)</f>
        <v>0</v>
      </c>
      <c r="T41" s="79">
        <f>SUMIFS('구매 입고 현황'!$U$4:$U$189,'구매 입고 현황'!$E$4:$E$189,$B41,'구매 입고 현황'!$H$4:$H$189,T$2)</f>
        <v>0</v>
      </c>
      <c r="U41" s="186">
        <f t="shared" si="0"/>
        <v>29900000</v>
      </c>
      <c r="V41" s="187">
        <f t="shared" si="20"/>
        <v>4.3175510257314149E-2</v>
      </c>
      <c r="W41" s="82">
        <v>39</v>
      </c>
      <c r="X41" s="78" t="s">
        <v>550</v>
      </c>
      <c r="Y41" s="79">
        <f>SUMIFS('구매 입고 현황'!$U$4:$U$189,'구매 입고 현황'!$E$4:$E$189,$X41,'구매 입고 현황'!$L$4:$L$189,Y$2)</f>
        <v>0</v>
      </c>
      <c r="Z41" s="79">
        <f>SUMIFS('구매 입고 현황'!$U$4:$U$189,'구매 입고 현황'!$E$4:$E$189,$X41,'구매 입고 현황'!$L$4:$L$189,Z$2)</f>
        <v>0</v>
      </c>
      <c r="AA41" s="79">
        <f>SUMIFS('구매 입고 현황'!$U$4:$U$189,'구매 입고 현황'!$E$4:$E$189,$X41,'구매 입고 현황'!$L$4:$L$189,AA$2)</f>
        <v>0</v>
      </c>
      <c r="AB41" s="79">
        <f>SUMIFS('구매 입고 현황'!$U$4:$U$189,'구매 입고 현황'!$E$4:$E$189,$X41,'구매 입고 현황'!$L$4:$L$189,AB$2)</f>
        <v>0</v>
      </c>
      <c r="AC41" s="79">
        <f>SUMIFS('구매 입고 현황'!$U$4:$U$189,'구매 입고 현황'!$E$4:$E$189,$X41,'구매 입고 현황'!$L$4:$L$189,AC$2)</f>
        <v>0</v>
      </c>
      <c r="AD41" s="79">
        <f>SUMIFS('구매 입고 현황'!$U$4:$U$189,'구매 입고 현황'!$E$4:$E$189,$X41,'구매 입고 현황'!$L$4:$L$189,AD$2)</f>
        <v>29900000</v>
      </c>
      <c r="AE41" s="186">
        <f t="shared" si="18"/>
        <v>29900000</v>
      </c>
      <c r="AF41" s="187">
        <f t="shared" si="19"/>
        <v>4.2976119869343653E-2</v>
      </c>
    </row>
    <row r="42" spans="1:32" ht="20.149999999999999" customHeight="1" x14ac:dyDescent="0.3">
      <c r="A42" s="82">
        <v>40</v>
      </c>
      <c r="B42" s="78" t="s">
        <v>340</v>
      </c>
      <c r="C42" s="79">
        <f>SUMIFS('구매 입고 현황'!$U$4:$U$189,'구매 입고 현황'!$E$4:$E$189,$B42,'구매 입고 현황'!$H$4:$H$189,C$2)</f>
        <v>0</v>
      </c>
      <c r="D42" s="79">
        <f>SUMIFS('구매 입고 현황'!$U$4:$U$189,'구매 입고 현황'!$E$4:$E$189,$B42,'구매 입고 현황'!$H$4:$H$189,D$2)</f>
        <v>0</v>
      </c>
      <c r="E42" s="79">
        <f>SUMIFS('구매 입고 현황'!$U$4:$U$189,'구매 입고 현황'!$E$4:$E$189,$B42,'구매 입고 현황'!$H$4:$H$189,E$2)</f>
        <v>0</v>
      </c>
      <c r="F42" s="79">
        <f>SUMIFS('구매 입고 현황'!$U$4:$U$189,'구매 입고 현황'!$E$4:$E$189,$B42,'구매 입고 현황'!$H$4:$H$189,F$2)</f>
        <v>0</v>
      </c>
      <c r="G42" s="79">
        <f>SUMIFS('구매 입고 현황'!$U$4:$U$189,'구매 입고 현황'!$E$4:$E$189,$B42,'구매 입고 현황'!$H$4:$H$189,G$2)</f>
        <v>1272055.6000000001</v>
      </c>
      <c r="H42" s="79">
        <f>SUMIFS('구매 입고 현황'!$U$4:$U$189,'구매 입고 현황'!$E$4:$E$189,$B42,'구매 입고 현황'!$H$4:$H$189,H$2)</f>
        <v>0</v>
      </c>
      <c r="I42" s="79">
        <f>SUMIFS('구매 입고 현황'!$U$4:$U$189,'구매 입고 현황'!$E$4:$E$189,$B42,'구매 입고 현황'!$H$4:$H$189,I$2)</f>
        <v>0</v>
      </c>
      <c r="J42" s="79">
        <f>SUMIFS('구매 입고 현황'!$U$4:$U$189,'구매 입고 현황'!$E$4:$E$189,$B42,'구매 입고 현황'!$H$4:$H$189,J$2)</f>
        <v>0</v>
      </c>
      <c r="K42" s="79">
        <f>SUMIFS('구매 입고 현황'!$U$4:$U$189,'구매 입고 현황'!$E$4:$E$189,$B42,'구매 입고 현황'!$H$4:$H$189,K$2)</f>
        <v>0</v>
      </c>
      <c r="L42" s="79">
        <f>SUMIFS('구매 입고 현황'!$U$4:$U$189,'구매 입고 현황'!$E$4:$E$189,$B42,'구매 입고 현황'!$H$4:$H$189,L$2)</f>
        <v>0</v>
      </c>
      <c r="M42" s="79">
        <f>SUMIFS('구매 입고 현황'!$U$4:$U$189,'구매 입고 현황'!$E$4:$E$189,$B42,'구매 입고 현황'!$H$4:$H$189,M$2)</f>
        <v>0</v>
      </c>
      <c r="N42" s="79">
        <f>SUMIFS('구매 입고 현황'!$U$4:$U$189,'구매 입고 현황'!$E$4:$E$189,$B42,'구매 입고 현황'!$H$4:$H$189,N$2)</f>
        <v>0</v>
      </c>
      <c r="O42" s="79">
        <f>SUMIFS('구매 입고 현황'!$U$4:$U$189,'구매 입고 현황'!$E$4:$E$189,$B42,'구매 입고 현황'!$H$4:$H$189,O$2)</f>
        <v>0</v>
      </c>
      <c r="P42" s="79">
        <f>SUMIFS('구매 입고 현황'!$U$4:$U$189,'구매 입고 현황'!$E$4:$E$189,$B42,'구매 입고 현황'!$H$4:$H$189,P$2)</f>
        <v>0</v>
      </c>
      <c r="Q42" s="79">
        <f>SUMIFS('구매 입고 현황'!$U$4:$U$189,'구매 입고 현황'!$E$4:$E$189,$B42,'구매 입고 현황'!$H$4:$H$189,Q$2)</f>
        <v>0</v>
      </c>
      <c r="R42" s="79">
        <f>SUMIFS('구매 입고 현황'!$U$4:$U$189,'구매 입고 현황'!$E$4:$E$189,$B42,'구매 입고 현황'!$H$4:$H$189,R$2)</f>
        <v>0</v>
      </c>
      <c r="S42" s="79">
        <f>SUMIFS('구매 입고 현황'!$U$4:$U$189,'구매 입고 현황'!$E$4:$E$189,$B42,'구매 입고 현황'!$H$4:$H$189,S$2)</f>
        <v>0</v>
      </c>
      <c r="T42" s="79">
        <f>SUMIFS('구매 입고 현황'!$U$4:$U$189,'구매 입고 현황'!$E$4:$E$189,$B42,'구매 입고 현황'!$H$4:$H$189,T$2)</f>
        <v>0</v>
      </c>
      <c r="U42" s="186">
        <f t="shared" si="0"/>
        <v>1272055.6000000001</v>
      </c>
      <c r="V42" s="187">
        <f t="shared" si="20"/>
        <v>1.8368444684171877E-3</v>
      </c>
      <c r="W42" s="82">
        <v>40</v>
      </c>
      <c r="X42" s="78" t="s">
        <v>340</v>
      </c>
      <c r="Y42" s="79">
        <f>SUMIFS('구매 입고 현황'!$U$4:$U$189,'구매 입고 현황'!$E$4:$E$189,$X42,'구매 입고 현황'!$L$4:$L$189,Y$2)</f>
        <v>0</v>
      </c>
      <c r="Z42" s="79">
        <f>SUMIFS('구매 입고 현황'!$U$4:$U$189,'구매 입고 현황'!$E$4:$E$189,$X42,'구매 입고 현황'!$L$4:$L$189,Z$2)</f>
        <v>0</v>
      </c>
      <c r="AA42" s="79">
        <f>SUMIFS('구매 입고 현황'!$U$4:$U$189,'구매 입고 현황'!$E$4:$E$189,$X42,'구매 입고 현황'!$L$4:$L$189,AA$2)</f>
        <v>0</v>
      </c>
      <c r="AB42" s="79">
        <f>SUMIFS('구매 입고 현황'!$U$4:$U$189,'구매 입고 현황'!$E$4:$E$189,$X42,'구매 입고 현황'!$L$4:$L$189,AB$2)</f>
        <v>0</v>
      </c>
      <c r="AC42" s="79">
        <f>SUMIFS('구매 입고 현황'!$U$4:$U$189,'구매 입고 현황'!$E$4:$E$189,$X42,'구매 입고 현황'!$L$4:$L$189,AC$2)</f>
        <v>0</v>
      </c>
      <c r="AD42" s="79">
        <f>SUMIFS('구매 입고 현황'!$U$4:$U$189,'구매 입고 현황'!$E$4:$E$189,$X42,'구매 입고 현황'!$L$4:$L$189,AD$2)</f>
        <v>1272055.6000000001</v>
      </c>
      <c r="AE42" s="186">
        <f t="shared" si="18"/>
        <v>1272055.6000000001</v>
      </c>
      <c r="AF42" s="187">
        <f t="shared" si="19"/>
        <v>1.8283616704371192E-3</v>
      </c>
    </row>
    <row r="43" spans="1:32" ht="20.149999999999999" customHeight="1" x14ac:dyDescent="0.3">
      <c r="A43" s="82">
        <v>41</v>
      </c>
      <c r="B43" s="78" t="s">
        <v>81</v>
      </c>
      <c r="C43" s="79">
        <f>SUMIFS('구매 입고 현황'!$U$4:$U$189,'구매 입고 현황'!$E$4:$E$189,$B43,'구매 입고 현황'!$H$4:$H$189,C$2)</f>
        <v>0</v>
      </c>
      <c r="D43" s="79">
        <f>SUMIFS('구매 입고 현황'!$U$4:$U$189,'구매 입고 현황'!$E$4:$E$189,$B43,'구매 입고 현황'!$H$4:$H$189,D$2)</f>
        <v>0</v>
      </c>
      <c r="E43" s="79">
        <f>SUMIFS('구매 입고 현황'!$U$4:$U$189,'구매 입고 현황'!$E$4:$E$189,$B43,'구매 입고 현황'!$H$4:$H$189,E$2)</f>
        <v>42693580</v>
      </c>
      <c r="F43" s="79">
        <f>SUMIFS('구매 입고 현황'!$U$4:$U$189,'구매 입고 현황'!$E$4:$E$189,$B43,'구매 입고 현황'!$H$4:$H$189,F$2)</f>
        <v>3338500</v>
      </c>
      <c r="G43" s="79">
        <f>SUMIFS('구매 입고 현황'!$U$4:$U$189,'구매 입고 현황'!$E$4:$E$189,$B43,'구매 입고 현황'!$H$4:$H$189,G$2)</f>
        <v>49983885</v>
      </c>
      <c r="H43" s="79">
        <f>SUMIFS('구매 입고 현황'!$U$4:$U$189,'구매 입고 현황'!$E$4:$E$189,$B43,'구매 입고 현황'!$H$4:$H$189,H$2)</f>
        <v>9902540</v>
      </c>
      <c r="I43" s="79">
        <f>SUMIFS('구매 입고 현황'!$U$4:$U$189,'구매 입고 현황'!$E$4:$E$189,$B43,'구매 입고 현황'!$H$4:$H$189,I$2)</f>
        <v>0</v>
      </c>
      <c r="J43" s="79">
        <f>SUMIFS('구매 입고 현황'!$U$4:$U$189,'구매 입고 현황'!$E$4:$E$189,$B43,'구매 입고 현황'!$H$4:$H$189,J$2)</f>
        <v>0</v>
      </c>
      <c r="K43" s="79">
        <f>SUMIFS('구매 입고 현황'!$U$4:$U$189,'구매 입고 현황'!$E$4:$E$189,$B43,'구매 입고 현황'!$H$4:$H$189,K$2)</f>
        <v>0</v>
      </c>
      <c r="L43" s="79">
        <f>SUMIFS('구매 입고 현황'!$U$4:$U$189,'구매 입고 현황'!$E$4:$E$189,$B43,'구매 입고 현황'!$H$4:$H$189,L$2)</f>
        <v>0</v>
      </c>
      <c r="M43" s="79">
        <f>SUMIFS('구매 입고 현황'!$U$4:$U$189,'구매 입고 현황'!$E$4:$E$189,$B43,'구매 입고 현황'!$H$4:$H$189,M$2)</f>
        <v>0</v>
      </c>
      <c r="N43" s="79">
        <f>SUMIFS('구매 입고 현황'!$U$4:$U$189,'구매 입고 현황'!$E$4:$E$189,$B43,'구매 입고 현황'!$H$4:$H$189,N$2)</f>
        <v>0</v>
      </c>
      <c r="O43" s="79">
        <f>SUMIFS('구매 입고 현황'!$U$4:$U$189,'구매 입고 현황'!$E$4:$E$189,$B43,'구매 입고 현황'!$H$4:$H$189,O$2)</f>
        <v>0</v>
      </c>
      <c r="P43" s="79">
        <f>SUMIFS('구매 입고 현황'!$U$4:$U$189,'구매 입고 현황'!$E$4:$E$189,$B43,'구매 입고 현황'!$H$4:$H$189,P$2)</f>
        <v>13653970</v>
      </c>
      <c r="Q43" s="79">
        <f>SUMIFS('구매 입고 현황'!$U$4:$U$189,'구매 입고 현황'!$E$4:$E$189,$B43,'구매 입고 현황'!$H$4:$H$189,Q$2)</f>
        <v>986900</v>
      </c>
      <c r="R43" s="79">
        <f>SUMIFS('구매 입고 현황'!$U$4:$U$189,'구매 입고 현황'!$E$4:$E$189,$B43,'구매 입고 현황'!$H$4:$H$189,R$2)</f>
        <v>2218370</v>
      </c>
      <c r="S43" s="79">
        <f>SUMIFS('구매 입고 현황'!$U$4:$U$189,'구매 입고 현황'!$E$4:$E$189,$B43,'구매 입고 현황'!$H$4:$H$189,S$2)</f>
        <v>0</v>
      </c>
      <c r="T43" s="79">
        <f>SUMIFS('구매 입고 현황'!$U$4:$U$189,'구매 입고 현황'!$E$4:$E$189,$B43,'구매 입고 현황'!$H$4:$H$189,T$2)</f>
        <v>0</v>
      </c>
      <c r="U43" s="186">
        <f t="shared" si="0"/>
        <v>122777745</v>
      </c>
      <c r="V43" s="187">
        <f t="shared" ref="V43" si="21">U43/$U$46</f>
        <v>0.177290695271485</v>
      </c>
      <c r="W43" s="82">
        <v>41</v>
      </c>
      <c r="X43" s="78" t="s">
        <v>81</v>
      </c>
      <c r="Y43" s="79">
        <f>SUMIFS('구매 입고 현황'!$U$4:$U$189,'구매 입고 현황'!$E$4:$E$189,$X43,'구매 입고 현황'!$L$4:$L$189,Y$2)</f>
        <v>0</v>
      </c>
      <c r="Z43" s="79">
        <f>SUMIFS('구매 입고 현황'!$U$4:$U$189,'구매 입고 현황'!$E$4:$E$189,$X43,'구매 입고 현황'!$L$4:$L$189,Z$2)</f>
        <v>0</v>
      </c>
      <c r="AA43" s="79">
        <f>SUMIFS('구매 입고 현황'!$U$4:$U$189,'구매 입고 현황'!$E$4:$E$189,$X43,'구매 입고 현황'!$L$4:$L$189,AA$2)</f>
        <v>0</v>
      </c>
      <c r="AB43" s="79">
        <f>SUMIFS('구매 입고 현황'!$U$4:$U$189,'구매 입고 현황'!$E$4:$E$189,$X43,'구매 입고 현황'!$L$4:$L$189,AB$2)</f>
        <v>0</v>
      </c>
      <c r="AC43" s="79">
        <f>SUMIFS('구매 입고 현황'!$U$4:$U$189,'구매 입고 현황'!$E$4:$E$189,$X43,'구매 입고 현황'!$L$4:$L$189,AC$2)</f>
        <v>0</v>
      </c>
      <c r="AD43" s="79">
        <f>SUMIFS('구매 입고 현황'!$U$4:$U$189,'구매 입고 현황'!$E$4:$E$189,$X43,'구매 입고 현황'!$L$4:$L$189,AD$2)</f>
        <v>122777745</v>
      </c>
      <c r="AE43" s="186">
        <f t="shared" si="18"/>
        <v>122777745</v>
      </c>
      <c r="AF43" s="187">
        <f t="shared" si="19"/>
        <v>0.17647194268922101</v>
      </c>
    </row>
    <row r="44" spans="1:32" ht="20.149999999999999" customHeight="1" x14ac:dyDescent="0.3">
      <c r="A44" s="82">
        <v>42</v>
      </c>
      <c r="B44" s="78" t="s">
        <v>328</v>
      </c>
      <c r="C44" s="79">
        <f>SUMIFS('구매 입고 현황'!$U$4:$U$189,'구매 입고 현황'!$E$4:$E$189,$B44,'구매 입고 현황'!$H$4:$H$189,C$2)</f>
        <v>0</v>
      </c>
      <c r="D44" s="79">
        <f>SUMIFS('구매 입고 현황'!$U$4:$U$189,'구매 입고 현황'!$E$4:$E$189,$B44,'구매 입고 현황'!$H$4:$H$189,D$2)</f>
        <v>0</v>
      </c>
      <c r="E44" s="79">
        <f>SUMIFS('구매 입고 현황'!$U$4:$U$189,'구매 입고 현황'!$E$4:$E$189,$B44,'구매 입고 현황'!$H$4:$H$189,E$2)</f>
        <v>0</v>
      </c>
      <c r="F44" s="79">
        <f>SUMIFS('구매 입고 현황'!$U$4:$U$189,'구매 입고 현황'!$E$4:$E$189,$B44,'구매 입고 현황'!$H$4:$H$189,F$2)</f>
        <v>30474085.465999998</v>
      </c>
      <c r="G44" s="79">
        <f>SUMIFS('구매 입고 현황'!$U$4:$U$189,'구매 입고 현황'!$E$4:$E$189,$B44,'구매 입고 현황'!$H$4:$H$189,G$2)</f>
        <v>0</v>
      </c>
      <c r="H44" s="79">
        <f>SUMIFS('구매 입고 현황'!$U$4:$U$189,'구매 입고 현황'!$E$4:$E$189,$B44,'구매 입고 현황'!$H$4:$H$189,H$2)</f>
        <v>0</v>
      </c>
      <c r="I44" s="79">
        <f>SUMIFS('구매 입고 현황'!$U$4:$U$189,'구매 입고 현황'!$E$4:$E$189,$B44,'구매 입고 현황'!$H$4:$H$189,I$2)</f>
        <v>0</v>
      </c>
      <c r="J44" s="79">
        <f>SUMIFS('구매 입고 현황'!$U$4:$U$189,'구매 입고 현황'!$E$4:$E$189,$B44,'구매 입고 현황'!$H$4:$H$189,J$2)</f>
        <v>0</v>
      </c>
      <c r="K44" s="79">
        <f>SUMIFS('구매 입고 현황'!$U$4:$U$189,'구매 입고 현황'!$E$4:$E$189,$B44,'구매 입고 현황'!$H$4:$H$189,K$2)</f>
        <v>0</v>
      </c>
      <c r="L44" s="79">
        <f>SUMIFS('구매 입고 현황'!$U$4:$U$189,'구매 입고 현황'!$E$4:$E$189,$B44,'구매 입고 현황'!$H$4:$H$189,L$2)</f>
        <v>0</v>
      </c>
      <c r="M44" s="79">
        <f>SUMIFS('구매 입고 현황'!$U$4:$U$189,'구매 입고 현황'!$E$4:$E$189,$B44,'구매 입고 현황'!$H$4:$H$189,M$2)</f>
        <v>0</v>
      </c>
      <c r="N44" s="79">
        <f>SUMIFS('구매 입고 현황'!$U$4:$U$189,'구매 입고 현황'!$E$4:$E$189,$B44,'구매 입고 현황'!$H$4:$H$189,N$2)</f>
        <v>0</v>
      </c>
      <c r="O44" s="79">
        <f>SUMIFS('구매 입고 현황'!$U$4:$U$189,'구매 입고 현황'!$E$4:$E$189,$B44,'구매 입고 현황'!$H$4:$H$189,O$2)</f>
        <v>0</v>
      </c>
      <c r="P44" s="79">
        <f>SUMIFS('구매 입고 현황'!$U$4:$U$189,'구매 입고 현황'!$E$4:$E$189,$B44,'구매 입고 현황'!$H$4:$H$189,P$2)</f>
        <v>0</v>
      </c>
      <c r="Q44" s="79">
        <f>SUMIFS('구매 입고 현황'!$U$4:$U$189,'구매 입고 현황'!$E$4:$E$189,$B44,'구매 입고 현황'!$H$4:$H$189,Q$2)</f>
        <v>0</v>
      </c>
      <c r="R44" s="79">
        <f>SUMIFS('구매 입고 현황'!$U$4:$U$189,'구매 입고 현황'!$E$4:$E$189,$B44,'구매 입고 현황'!$H$4:$H$189,R$2)</f>
        <v>0</v>
      </c>
      <c r="S44" s="79">
        <f>SUMIFS('구매 입고 현황'!$U$4:$U$189,'구매 입고 현황'!$E$4:$E$189,$B44,'구매 입고 현황'!$H$4:$H$189,S$2)</f>
        <v>0</v>
      </c>
      <c r="T44" s="79">
        <f>SUMIFS('구매 입고 현황'!$U$4:$U$189,'구매 입고 현황'!$E$4:$E$189,$B44,'구매 입고 현황'!$H$4:$H$189,T$2)</f>
        <v>0</v>
      </c>
      <c r="U44" s="186">
        <f t="shared" si="0"/>
        <v>30474085.465999998</v>
      </c>
      <c r="V44" s="187">
        <f>U44/$U$46</f>
        <v>4.4004487947142179E-2</v>
      </c>
      <c r="W44" s="82">
        <v>42</v>
      </c>
      <c r="X44" s="78" t="s">
        <v>328</v>
      </c>
      <c r="Y44" s="79">
        <f>SUMIFS('구매 입고 현황'!$U$4:$U$189,'구매 입고 현황'!$E$4:$E$189,$X44,'구매 입고 현황'!$L$4:$L$189,Y$2)</f>
        <v>0</v>
      </c>
      <c r="Z44" s="79">
        <f>SUMIFS('구매 입고 현황'!$U$4:$U$189,'구매 입고 현황'!$E$4:$E$189,$X44,'구매 입고 현황'!$L$4:$L$189,Z$2)</f>
        <v>0</v>
      </c>
      <c r="AA44" s="79">
        <f>SUMIFS('구매 입고 현황'!$U$4:$U$189,'구매 입고 현황'!$E$4:$E$189,$X44,'구매 입고 현황'!$L$4:$L$189,AA$2)</f>
        <v>0</v>
      </c>
      <c r="AB44" s="79">
        <f>SUMIFS('구매 입고 현황'!$U$4:$U$189,'구매 입고 현황'!$E$4:$E$189,$X44,'구매 입고 현황'!$L$4:$L$189,AB$2)</f>
        <v>0</v>
      </c>
      <c r="AC44" s="79">
        <f>SUMIFS('구매 입고 현황'!$U$4:$U$189,'구매 입고 현황'!$E$4:$E$189,$X44,'구매 입고 현황'!$L$4:$L$189,AC$2)</f>
        <v>0</v>
      </c>
      <c r="AD44" s="79">
        <f>SUMIFS('구매 입고 현황'!$U$4:$U$189,'구매 입고 현황'!$E$4:$E$189,$X44,'구매 입고 현황'!$L$4:$L$189,AD$2)</f>
        <v>30474085.465999998</v>
      </c>
      <c r="AE44" s="186">
        <f t="shared" si="18"/>
        <v>30474085.465999998</v>
      </c>
      <c r="AF44" s="187">
        <f t="shared" si="19"/>
        <v>4.3801269227272212E-2</v>
      </c>
    </row>
    <row r="45" spans="1:32" ht="20.149999999999999" customHeight="1" x14ac:dyDescent="0.3">
      <c r="A45" s="82">
        <v>43</v>
      </c>
      <c r="B45" s="78" t="s">
        <v>236</v>
      </c>
      <c r="C45" s="79">
        <f>SUMIFS('구매 입고 현황'!$U$4:$U$189,'구매 입고 현황'!$E$4:$E$189,$B45,'구매 입고 현황'!$H$4:$H$189,C$2)</f>
        <v>0</v>
      </c>
      <c r="D45" s="79">
        <f>SUMIFS('구매 입고 현황'!$U$4:$U$189,'구매 입고 현황'!$E$4:$E$189,$B45,'구매 입고 현황'!$H$4:$H$189,D$2)</f>
        <v>0</v>
      </c>
      <c r="E45" s="79">
        <f>SUMIFS('구매 입고 현황'!$U$4:$U$189,'구매 입고 현황'!$E$4:$E$189,$B45,'구매 입고 현황'!$H$4:$H$189,E$2)</f>
        <v>270000</v>
      </c>
      <c r="F45" s="79">
        <f>SUMIFS('구매 입고 현황'!$U$4:$U$189,'구매 입고 현황'!$E$4:$E$189,$B45,'구매 입고 현황'!$H$4:$H$189,F$2)</f>
        <v>0</v>
      </c>
      <c r="G45" s="79">
        <f>SUMIFS('구매 입고 현황'!$U$4:$U$189,'구매 입고 현황'!$E$4:$E$189,$B45,'구매 입고 현황'!$H$4:$H$189,G$2)</f>
        <v>0</v>
      </c>
      <c r="H45" s="79">
        <f>SUMIFS('구매 입고 현황'!$U$4:$U$189,'구매 입고 현황'!$E$4:$E$189,$B45,'구매 입고 현황'!$H$4:$H$189,H$2)</f>
        <v>0</v>
      </c>
      <c r="I45" s="79">
        <f>SUMIFS('구매 입고 현황'!$U$4:$U$189,'구매 입고 현황'!$E$4:$E$189,$B45,'구매 입고 현황'!$H$4:$H$189,I$2)</f>
        <v>0</v>
      </c>
      <c r="J45" s="79">
        <f>SUMIFS('구매 입고 현황'!$U$4:$U$189,'구매 입고 현황'!$E$4:$E$189,$B45,'구매 입고 현황'!$H$4:$H$189,J$2)</f>
        <v>0</v>
      </c>
      <c r="K45" s="79">
        <f>SUMIFS('구매 입고 현황'!$U$4:$U$189,'구매 입고 현황'!$E$4:$E$189,$B45,'구매 입고 현황'!$H$4:$H$189,K$2)</f>
        <v>0</v>
      </c>
      <c r="L45" s="79">
        <f>SUMIFS('구매 입고 현황'!$U$4:$U$189,'구매 입고 현황'!$E$4:$E$189,$B45,'구매 입고 현황'!$H$4:$H$189,L$2)</f>
        <v>0</v>
      </c>
      <c r="M45" s="79">
        <f>SUMIFS('구매 입고 현황'!$U$4:$U$189,'구매 입고 현황'!$E$4:$E$189,$B45,'구매 입고 현황'!$H$4:$H$189,M$2)</f>
        <v>0</v>
      </c>
      <c r="N45" s="79">
        <f>SUMIFS('구매 입고 현황'!$U$4:$U$189,'구매 입고 현황'!$E$4:$E$189,$B45,'구매 입고 현황'!$H$4:$H$189,N$2)</f>
        <v>0</v>
      </c>
      <c r="O45" s="79">
        <f>SUMIFS('구매 입고 현황'!$U$4:$U$189,'구매 입고 현황'!$E$4:$E$189,$B45,'구매 입고 현황'!$H$4:$H$189,O$2)</f>
        <v>0</v>
      </c>
      <c r="P45" s="79">
        <f>SUMIFS('구매 입고 현황'!$U$4:$U$189,'구매 입고 현황'!$E$4:$E$189,$B45,'구매 입고 현황'!$H$4:$H$189,P$2)</f>
        <v>0</v>
      </c>
      <c r="Q45" s="79">
        <f>SUMIFS('구매 입고 현황'!$U$4:$U$189,'구매 입고 현황'!$E$4:$E$189,$B45,'구매 입고 현황'!$H$4:$H$189,Q$2)</f>
        <v>0</v>
      </c>
      <c r="R45" s="79">
        <f>SUMIFS('구매 입고 현황'!$U$4:$U$189,'구매 입고 현황'!$E$4:$E$189,$B45,'구매 입고 현황'!$H$4:$H$189,R$2)</f>
        <v>0</v>
      </c>
      <c r="S45" s="79">
        <f>SUMIFS('구매 입고 현황'!$U$4:$U$189,'구매 입고 현황'!$E$4:$E$189,$B45,'구매 입고 현황'!$H$4:$H$189,S$2)</f>
        <v>0</v>
      </c>
      <c r="T45" s="79">
        <f>SUMIFS('구매 입고 현황'!$U$4:$U$189,'구매 입고 현황'!$E$4:$E$189,$B45,'구매 입고 현황'!$H$4:$H$189,T$2)</f>
        <v>1825000</v>
      </c>
      <c r="U45" s="186">
        <f t="shared" si="0"/>
        <v>2095000</v>
      </c>
      <c r="V45" s="187">
        <f>U45/$U$46</f>
        <v>3.0251737120091356E-3</v>
      </c>
      <c r="W45" s="82">
        <v>43</v>
      </c>
      <c r="X45" s="78" t="s">
        <v>236</v>
      </c>
      <c r="Y45" s="79">
        <f>SUMIFS('구매 입고 현황'!$U$4:$U$189,'구매 입고 현황'!$E$4:$E$189,$X45,'구매 입고 현황'!$L$4:$L$189,Y$2)</f>
        <v>0</v>
      </c>
      <c r="Z45" s="79">
        <f>SUMIFS('구매 입고 현황'!$U$4:$U$189,'구매 입고 현황'!$E$4:$E$189,$X45,'구매 입고 현황'!$L$4:$L$189,Z$2)</f>
        <v>0</v>
      </c>
      <c r="AA45" s="79">
        <f>SUMIFS('구매 입고 현황'!$U$4:$U$189,'구매 입고 현황'!$E$4:$E$189,$X45,'구매 입고 현황'!$L$4:$L$189,AA$2)</f>
        <v>0</v>
      </c>
      <c r="AB45" s="79">
        <f>SUMIFS('구매 입고 현황'!$U$4:$U$189,'구매 입고 현황'!$E$4:$E$189,$X45,'구매 입고 현황'!$L$4:$L$189,AB$2)</f>
        <v>0</v>
      </c>
      <c r="AC45" s="79">
        <f>SUMIFS('구매 입고 현황'!$U$4:$U$189,'구매 입고 현황'!$E$4:$E$189,$X45,'구매 입고 현황'!$L$4:$L$189,AC$2)</f>
        <v>0</v>
      </c>
      <c r="AD45" s="79">
        <f>SUMIFS('구매 입고 현황'!$U$4:$U$189,'구매 입고 현황'!$E$4:$E$189,$X45,'구매 입고 현황'!$L$4:$L$189,AD$2)</f>
        <v>2095000</v>
      </c>
      <c r="AE45" s="186">
        <f t="shared" si="18"/>
        <v>2095000</v>
      </c>
      <c r="AF45" s="187">
        <f t="shared" si="19"/>
        <v>3.0112030477015034E-3</v>
      </c>
    </row>
    <row r="46" spans="1:32" ht="30" customHeight="1" x14ac:dyDescent="0.3">
      <c r="B46" s="101" t="s">
        <v>576</v>
      </c>
      <c r="C46" s="102">
        <f t="shared" ref="C46:V46" si="22">SUM(C3:C45)</f>
        <v>97578370</v>
      </c>
      <c r="D46" s="102">
        <f t="shared" si="22"/>
        <v>0</v>
      </c>
      <c r="E46" s="102">
        <f t="shared" si="22"/>
        <v>192964710</v>
      </c>
      <c r="F46" s="102">
        <f t="shared" si="22"/>
        <v>90329985.465999991</v>
      </c>
      <c r="G46" s="102">
        <f t="shared" si="22"/>
        <v>201413160.59999999</v>
      </c>
      <c r="H46" s="102">
        <f t="shared" si="22"/>
        <v>48432790</v>
      </c>
      <c r="I46" s="102">
        <f t="shared" si="22"/>
        <v>7446000</v>
      </c>
      <c r="J46" s="102">
        <f t="shared" si="22"/>
        <v>0</v>
      </c>
      <c r="K46" s="102">
        <f t="shared" ref="K46:L46" si="23">SUM(K3:K45)</f>
        <v>0</v>
      </c>
      <c r="L46" s="102">
        <f t="shared" si="23"/>
        <v>0</v>
      </c>
      <c r="M46" s="102">
        <f t="shared" ref="M46:S46" si="24">SUM(M3:M45)</f>
        <v>2611000</v>
      </c>
      <c r="N46" s="102">
        <f t="shared" si="24"/>
        <v>3794000</v>
      </c>
      <c r="O46" s="102">
        <f t="shared" si="24"/>
        <v>993409</v>
      </c>
      <c r="P46" s="102">
        <f t="shared" si="24"/>
        <v>25850220</v>
      </c>
      <c r="Q46" s="102">
        <f t="shared" si="24"/>
        <v>4225900</v>
      </c>
      <c r="R46" s="102">
        <f t="shared" si="24"/>
        <v>7833670</v>
      </c>
      <c r="S46" s="102">
        <f t="shared" si="24"/>
        <v>0</v>
      </c>
      <c r="T46" s="102">
        <f t="shared" si="22"/>
        <v>9049000</v>
      </c>
      <c r="U46" s="188">
        <f t="shared" si="22"/>
        <v>692522215.06599998</v>
      </c>
      <c r="V46" s="189">
        <f t="shared" si="22"/>
        <v>1</v>
      </c>
      <c r="W46" s="103"/>
      <c r="X46" s="101" t="s">
        <v>576</v>
      </c>
      <c r="Y46" s="102">
        <f t="shared" ref="Y46:AF46" si="25">SUM(Y3:Y45)</f>
        <v>3213000</v>
      </c>
      <c r="Z46" s="102">
        <f t="shared" si="25"/>
        <v>880000</v>
      </c>
      <c r="AA46" s="102">
        <f t="shared" si="25"/>
        <v>0</v>
      </c>
      <c r="AB46" s="102">
        <f t="shared" si="25"/>
        <v>0</v>
      </c>
      <c r="AC46" s="102">
        <f t="shared" si="25"/>
        <v>0</v>
      </c>
      <c r="AD46" s="102">
        <f t="shared" si="25"/>
        <v>691642215.06599998</v>
      </c>
      <c r="AE46" s="188">
        <f t="shared" si="25"/>
        <v>695735215.06599998</v>
      </c>
      <c r="AF46" s="189">
        <f t="shared" si="25"/>
        <v>1</v>
      </c>
    </row>
    <row r="47" spans="1:32" ht="20.149999999999999" customHeight="1" x14ac:dyDescent="0.3"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66"/>
      <c r="N47" s="166"/>
      <c r="O47" s="166"/>
      <c r="P47" s="166"/>
      <c r="Q47" s="166"/>
      <c r="R47" s="166"/>
      <c r="S47" s="166"/>
      <c r="T47" s="105"/>
      <c r="U47" s="106"/>
      <c r="V47" s="107"/>
      <c r="W47" s="103"/>
      <c r="X47" s="104"/>
      <c r="Y47" s="105"/>
      <c r="Z47" s="105"/>
      <c r="AA47" s="105"/>
      <c r="AB47" s="105"/>
      <c r="AC47" s="105"/>
      <c r="AD47" s="105"/>
      <c r="AE47" s="106"/>
      <c r="AF47" s="107"/>
    </row>
    <row r="48" spans="1:32" ht="25" customHeight="1" x14ac:dyDescent="0.3">
      <c r="B48" s="190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 t="s">
        <v>783</v>
      </c>
      <c r="Q48" s="191"/>
      <c r="R48" s="191" t="s">
        <v>783</v>
      </c>
      <c r="S48" s="191" t="s">
        <v>876</v>
      </c>
      <c r="T48" s="191"/>
      <c r="U48" s="192"/>
      <c r="V48" s="193"/>
      <c r="X48" s="190"/>
      <c r="Y48" s="194"/>
      <c r="Z48" s="194"/>
      <c r="AA48" s="194"/>
      <c r="AB48" s="194"/>
      <c r="AC48" s="194"/>
      <c r="AD48" s="194"/>
      <c r="AE48" s="195"/>
      <c r="AF48" s="193"/>
    </row>
    <row r="49" spans="1:32" ht="30" customHeight="1" x14ac:dyDescent="0.3">
      <c r="B49" s="108" t="s">
        <v>684</v>
      </c>
      <c r="C49" s="109">
        <v>423083700</v>
      </c>
      <c r="D49" s="109">
        <v>3942000</v>
      </c>
      <c r="E49" s="109">
        <v>350710750</v>
      </c>
      <c r="F49" s="109">
        <v>197810000</v>
      </c>
      <c r="G49" s="109">
        <v>351015169</v>
      </c>
      <c r="H49" s="109">
        <v>161717800</v>
      </c>
      <c r="I49" s="109">
        <v>270000000</v>
      </c>
      <c r="J49" s="109">
        <v>140000000</v>
      </c>
      <c r="K49" s="109">
        <v>2350000</v>
      </c>
      <c r="L49" s="109">
        <v>1300000</v>
      </c>
      <c r="M49" s="109">
        <f>M50*M51</f>
        <v>11087755.470000001</v>
      </c>
      <c r="N49" s="109">
        <f t="shared" ref="N49:O49" si="26">N50*N51</f>
        <v>0</v>
      </c>
      <c r="O49" s="109">
        <f t="shared" si="26"/>
        <v>0</v>
      </c>
      <c r="P49" s="109">
        <f>36585000</f>
        <v>36585000</v>
      </c>
      <c r="Q49" s="109"/>
      <c r="R49" s="109">
        <f>26161000</f>
        <v>26161000</v>
      </c>
      <c r="S49" s="109">
        <v>50000000</v>
      </c>
      <c r="T49" s="109">
        <f>T46</f>
        <v>9049000</v>
      </c>
      <c r="U49" s="110">
        <f>SUM(C49:T49)</f>
        <v>2034812174.47</v>
      </c>
      <c r="V49" s="107"/>
      <c r="W49" s="103"/>
      <c r="X49" s="104"/>
      <c r="Y49" s="105"/>
      <c r="Z49" s="105"/>
      <c r="AA49" s="105"/>
      <c r="AB49" s="105"/>
      <c r="AC49" s="105"/>
      <c r="AD49" s="105"/>
      <c r="AE49" s="106"/>
      <c r="AF49" s="107"/>
    </row>
    <row r="50" spans="1:32" ht="20.149999999999999" customHeight="1" x14ac:dyDescent="0.3">
      <c r="B50" s="170" t="s">
        <v>687</v>
      </c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2">
        <v>7573.5</v>
      </c>
      <c r="N50" s="172"/>
      <c r="O50" s="172"/>
      <c r="P50" s="172"/>
      <c r="Q50" s="172"/>
      <c r="R50" s="172"/>
      <c r="S50" s="172"/>
      <c r="T50" s="171"/>
      <c r="U50" s="173"/>
      <c r="V50" s="107"/>
      <c r="W50" s="103"/>
      <c r="X50" s="104"/>
      <c r="Y50" s="105"/>
      <c r="Z50" s="105"/>
      <c r="AA50" s="105"/>
      <c r="AB50" s="105"/>
      <c r="AC50" s="105"/>
      <c r="AD50" s="105"/>
      <c r="AE50" s="106"/>
      <c r="AF50" s="107"/>
    </row>
    <row r="51" spans="1:32" ht="20.149999999999999" customHeight="1" x14ac:dyDescent="0.3">
      <c r="B51" s="174" t="s">
        <v>688</v>
      </c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6">
        <v>1464.02</v>
      </c>
      <c r="N51" s="176"/>
      <c r="O51" s="176"/>
      <c r="P51" s="176"/>
      <c r="Q51" s="176"/>
      <c r="R51" s="176"/>
      <c r="S51" s="176"/>
      <c r="T51" s="175"/>
      <c r="U51" s="177"/>
      <c r="V51" s="107"/>
      <c r="W51" s="103"/>
      <c r="X51" s="104"/>
      <c r="Y51" s="105"/>
      <c r="Z51" s="105"/>
      <c r="AA51" s="105"/>
      <c r="AB51" s="105"/>
      <c r="AC51" s="105"/>
      <c r="AD51" s="105"/>
      <c r="AE51" s="106"/>
      <c r="AF51" s="107"/>
    </row>
    <row r="52" spans="1:32" ht="30" customHeight="1" x14ac:dyDescent="0.3">
      <c r="B52" s="111" t="s">
        <v>685</v>
      </c>
      <c r="C52" s="112">
        <f>C49-C46</f>
        <v>325505330</v>
      </c>
      <c r="D52" s="112">
        <f t="shared" ref="D52:T52" si="27">D49-D46</f>
        <v>3942000</v>
      </c>
      <c r="E52" s="112">
        <f t="shared" si="27"/>
        <v>157746040</v>
      </c>
      <c r="F52" s="112">
        <f t="shared" si="27"/>
        <v>107480014.53400001</v>
      </c>
      <c r="G52" s="112">
        <f t="shared" si="27"/>
        <v>149602008.40000001</v>
      </c>
      <c r="H52" s="112">
        <f t="shared" si="27"/>
        <v>113285010</v>
      </c>
      <c r="I52" s="112">
        <f t="shared" si="27"/>
        <v>262554000</v>
      </c>
      <c r="J52" s="112">
        <f t="shared" si="27"/>
        <v>140000000</v>
      </c>
      <c r="K52" s="112">
        <f t="shared" ref="K52:L52" si="28">K49-K46</f>
        <v>2350000</v>
      </c>
      <c r="L52" s="112">
        <f t="shared" si="28"/>
        <v>1300000</v>
      </c>
      <c r="M52" s="112">
        <f t="shared" ref="M52:N52" si="29">M49-M46</f>
        <v>8476755.4700000007</v>
      </c>
      <c r="N52" s="112">
        <f t="shared" si="29"/>
        <v>-3794000</v>
      </c>
      <c r="O52" s="112">
        <f t="shared" ref="O52:P52" si="30">O49-O46</f>
        <v>-993409</v>
      </c>
      <c r="P52" s="112">
        <f t="shared" si="30"/>
        <v>10734780</v>
      </c>
      <c r="Q52" s="112">
        <f t="shared" ref="Q52" si="31">Q49-Q46</f>
        <v>-4225900</v>
      </c>
      <c r="R52" s="112">
        <f>R49-R46</f>
        <v>18327330</v>
      </c>
      <c r="S52" s="112">
        <f>S49-S46</f>
        <v>50000000</v>
      </c>
      <c r="T52" s="112">
        <f t="shared" si="27"/>
        <v>0</v>
      </c>
      <c r="U52" s="113">
        <f>SUM(C52:T52)</f>
        <v>1342289959.404</v>
      </c>
      <c r="V52" s="107"/>
      <c r="W52" s="103"/>
      <c r="X52" s="104"/>
      <c r="Y52" s="105"/>
      <c r="Z52" s="105"/>
      <c r="AA52" s="105"/>
      <c r="AB52" s="105"/>
      <c r="AC52" s="105"/>
      <c r="AD52" s="105"/>
      <c r="AE52" s="106"/>
      <c r="AF52" s="107"/>
    </row>
    <row r="53" spans="1:32" s="103" customFormat="1" ht="30" customHeight="1" x14ac:dyDescent="0.3">
      <c r="A53" s="114"/>
      <c r="B53" s="155" t="s">
        <v>686</v>
      </c>
      <c r="C53" s="167">
        <f>C52/C49</f>
        <v>0.7693639107344481</v>
      </c>
      <c r="D53" s="167">
        <f t="shared" ref="D53:U53" si="32">D52/D49</f>
        <v>1</v>
      </c>
      <c r="E53" s="167">
        <f t="shared" si="32"/>
        <v>0.44978957730836594</v>
      </c>
      <c r="F53" s="167">
        <f t="shared" si="32"/>
        <v>0.54334975245943085</v>
      </c>
      <c r="G53" s="167">
        <f t="shared" si="32"/>
        <v>0.42619812934637025</v>
      </c>
      <c r="H53" s="167">
        <f t="shared" si="32"/>
        <v>0.70051045710490745</v>
      </c>
      <c r="I53" s="167">
        <f t="shared" si="32"/>
        <v>0.97242222222222219</v>
      </c>
      <c r="J53" s="167">
        <f t="shared" si="32"/>
        <v>1</v>
      </c>
      <c r="K53" s="167">
        <f t="shared" ref="K53:L53" si="33">K52/K49</f>
        <v>1</v>
      </c>
      <c r="L53" s="167">
        <f t="shared" si="33"/>
        <v>1</v>
      </c>
      <c r="M53" s="167">
        <f t="shared" ref="M53:N53" si="34">M52/M49</f>
        <v>0.76451500873512679</v>
      </c>
      <c r="N53" s="167" t="e">
        <f t="shared" si="34"/>
        <v>#DIV/0!</v>
      </c>
      <c r="O53" s="167" t="e">
        <f t="shared" ref="O53:P53" si="35">O52/O49</f>
        <v>#DIV/0!</v>
      </c>
      <c r="P53" s="167">
        <f t="shared" si="35"/>
        <v>0.29342025420254203</v>
      </c>
      <c r="Q53" s="167" t="e">
        <f t="shared" ref="Q53" si="36">Q52/Q49</f>
        <v>#DIV/0!</v>
      </c>
      <c r="R53" s="167">
        <f t="shared" ref="R53:S53" si="37">R52/R49</f>
        <v>0.70055922938725579</v>
      </c>
      <c r="S53" s="167">
        <f t="shared" si="37"/>
        <v>1</v>
      </c>
      <c r="T53" s="167">
        <f t="shared" si="32"/>
        <v>0</v>
      </c>
      <c r="U53" s="168">
        <f t="shared" si="32"/>
        <v>0.65966283092129685</v>
      </c>
      <c r="V53" s="107"/>
      <c r="X53" s="104"/>
      <c r="Y53" s="105"/>
      <c r="Z53" s="105"/>
      <c r="AA53" s="105"/>
      <c r="AB53" s="105"/>
      <c r="AC53" s="105"/>
      <c r="AD53" s="105"/>
      <c r="AE53" s="106"/>
      <c r="AF53" s="107"/>
    </row>
    <row r="54" spans="1:32" ht="20.149999999999999" customHeight="1" x14ac:dyDescent="0.3">
      <c r="B54" s="90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2"/>
      <c r="V54" s="93"/>
      <c r="X54" s="90"/>
      <c r="Y54" s="91"/>
      <c r="Z54" s="91"/>
      <c r="AA54" s="91"/>
      <c r="AB54" s="91"/>
      <c r="AC54" s="91"/>
      <c r="AD54" s="91"/>
      <c r="AE54" s="92"/>
      <c r="AF54" s="93"/>
    </row>
    <row r="55" spans="1:32" s="80" customFormat="1" ht="20.149999999999999" customHeight="1" x14ac:dyDescent="0.3">
      <c r="A55" s="83"/>
      <c r="B55" s="80" t="s">
        <v>280</v>
      </c>
      <c r="X55" s="80" t="s">
        <v>280</v>
      </c>
    </row>
    <row r="56" spans="1:32" s="80" customFormat="1" ht="20.149999999999999" customHeight="1" x14ac:dyDescent="0.3">
      <c r="A56" s="83"/>
      <c r="B56" s="80" t="s">
        <v>478</v>
      </c>
      <c r="X56" s="80" t="s">
        <v>478</v>
      </c>
    </row>
    <row r="57" spans="1:32" s="80" customFormat="1" ht="20.149999999999999" customHeight="1" x14ac:dyDescent="0.3">
      <c r="A57" s="83"/>
      <c r="B57" s="80" t="s">
        <v>479</v>
      </c>
    </row>
    <row r="58" spans="1:32" s="80" customFormat="1" ht="20.149999999999999" customHeight="1" x14ac:dyDescent="0.3">
      <c r="A58" s="83"/>
    </row>
    <row r="59" spans="1:32" s="80" customFormat="1" ht="20.149999999999999" customHeight="1" x14ac:dyDescent="0.3">
      <c r="A59" s="83"/>
    </row>
    <row r="60" spans="1:32" s="80" customFormat="1" ht="20.149999999999999" customHeight="1" x14ac:dyDescent="0.3">
      <c r="A60" s="83"/>
      <c r="U60" s="179"/>
    </row>
    <row r="61" spans="1:32" s="80" customFormat="1" ht="20.149999999999999" customHeight="1" x14ac:dyDescent="0.3">
      <c r="A61" s="83"/>
    </row>
    <row r="62" spans="1:32" s="80" customFormat="1" ht="20.149999999999999" customHeight="1" x14ac:dyDescent="0.3">
      <c r="A62" s="83"/>
    </row>
    <row r="63" spans="1:32" s="80" customFormat="1" ht="20.149999999999999" customHeight="1" x14ac:dyDescent="0.3">
      <c r="A63" s="83"/>
    </row>
    <row r="64" spans="1:32" s="80" customFormat="1" ht="20.149999999999999" customHeight="1" x14ac:dyDescent="0.3">
      <c r="A64" s="83"/>
    </row>
    <row r="65" spans="1:1" s="80" customFormat="1" ht="20.149999999999999" customHeight="1" x14ac:dyDescent="0.3">
      <c r="A65" s="83"/>
    </row>
    <row r="66" spans="1:1" s="80" customFormat="1" ht="20.149999999999999" customHeight="1" x14ac:dyDescent="0.3">
      <c r="A66" s="83"/>
    </row>
    <row r="67" spans="1:1" s="80" customFormat="1" ht="20.149999999999999" customHeight="1" x14ac:dyDescent="0.3">
      <c r="A67" s="83"/>
    </row>
  </sheetData>
  <phoneticPr fontId="1" type="noConversion"/>
  <conditionalFormatting sqref="B3:V45">
    <cfRule type="expression" dxfId="11" priority="1">
      <formula>ISODD(ROW($B3))</formula>
    </cfRule>
  </conditionalFormatting>
  <conditionalFormatting sqref="X3:AF45">
    <cfRule type="expression" dxfId="10" priority="5">
      <formula>ISODD(ROW($X3))</formula>
    </cfRule>
  </conditionalFormatting>
  <pageMargins left="0.59055118110236227" right="0.59055118110236227" top="0.39370078740157483" bottom="0.39370078740157483" header="0.39370078740157483" footer="0.39370078740157483"/>
  <pageSetup paperSize="9" scale="55" orientation="landscape" r:id="rId1"/>
  <headerFooter>
    <oddFooter>&amp;C&amp;9&amp;P / &amp;N&amp;R&amp;9&amp;D</oddFooter>
  </headerFooter>
  <colBreaks count="1" manualBreakCount="1">
    <brk id="22" max="4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DA9E-6E78-470E-A7C2-CD79325A5A60}">
  <sheetPr>
    <tabColor theme="9"/>
    <outlinePr summaryBelow="0"/>
    <pageSetUpPr fitToPage="1"/>
  </sheetPr>
  <dimension ref="A1:AF204"/>
  <sheetViews>
    <sheetView tabSelected="1" zoomScale="115" zoomScaleNormal="115" workbookViewId="0">
      <pane xSplit="12" ySplit="3" topLeftCell="M139" activePane="bottomRight" state="frozen"/>
      <selection pane="topRight" activeCell="L1" sqref="L1"/>
      <selection pane="bottomLeft" activeCell="A4" sqref="A4"/>
      <selection pane="bottomRight" activeCell="AF148" sqref="AF148"/>
    </sheetView>
  </sheetViews>
  <sheetFormatPr defaultColWidth="9.33203125" defaultRowHeight="16.5" customHeight="1" outlineLevelRow="1" outlineLevelCol="2" x14ac:dyDescent="0.3"/>
  <cols>
    <col min="1" max="1" width="6.77734375" style="8" customWidth="1"/>
    <col min="2" max="2" width="10.77734375" style="2" customWidth="1"/>
    <col min="3" max="3" width="12.77734375" style="2" customWidth="1"/>
    <col min="4" max="4" width="15.77734375" style="2" customWidth="1"/>
    <col min="5" max="5" width="20.77734375" style="2" customWidth="1"/>
    <col min="6" max="6" width="25.77734375" style="6" customWidth="1"/>
    <col min="7" max="7" width="18.77734375" style="6" hidden="1" customWidth="1" outlineLevel="1"/>
    <col min="8" max="8" width="25.77734375" style="6" hidden="1" customWidth="1" outlineLevel="1"/>
    <col min="9" max="9" width="30.77734375" style="2" hidden="1" customWidth="1" outlineLevel="1"/>
    <col min="10" max="10" width="35.77734375" style="2" customWidth="1" collapsed="1"/>
    <col min="11" max="11" width="40.77734375" style="1" customWidth="1"/>
    <col min="12" max="12" width="13.77734375" style="2" customWidth="1"/>
    <col min="13" max="13" width="8.77734375" style="2" hidden="1" customWidth="1" outlineLevel="2"/>
    <col min="14" max="14" width="14.77734375" style="2" hidden="1" customWidth="1" outlineLevel="2"/>
    <col min="15" max="15" width="16.77734375" style="1" hidden="1" customWidth="1" outlineLevel="2"/>
    <col min="16" max="16" width="8.77734375" style="2" hidden="1" customWidth="1" outlineLevel="2"/>
    <col min="17" max="17" width="15.77734375" style="1" hidden="1" customWidth="1" outlineLevel="2"/>
    <col min="18" max="18" width="16.77734375" style="2" hidden="1" customWidth="1" outlineLevel="2"/>
    <col min="19" max="19" width="8.77734375" style="2" hidden="1" customWidth="1" outlineLevel="1"/>
    <col min="20" max="20" width="15.77734375" style="2" hidden="1" customWidth="1" outlineLevel="1"/>
    <col min="21" max="21" width="16.77734375" style="1" hidden="1" customWidth="1" outlineLevel="1"/>
    <col min="22" max="22" width="10.77734375" style="2" hidden="1" customWidth="1" outlineLevel="1"/>
    <col min="23" max="23" width="25.77734375" style="2" hidden="1" customWidth="1" outlineLevel="1"/>
    <col min="24" max="24" width="15.77734375" style="2" customWidth="1" collapsed="1"/>
    <col min="25" max="26" width="15.77734375" style="2" customWidth="1"/>
    <col min="27" max="27" width="13.77734375" style="2" customWidth="1"/>
    <col min="28" max="30" width="16.77734375" style="1" customWidth="1"/>
    <col min="31" max="31" width="30.77734375" style="2" customWidth="1"/>
    <col min="32" max="32" width="167.77734375" style="127" customWidth="1"/>
    <col min="33" max="33" width="15.77734375" style="2" customWidth="1"/>
    <col min="34" max="34" width="9.33203125" style="2"/>
    <col min="35" max="35" width="9.77734375" style="2" bestFit="1" customWidth="1"/>
    <col min="36" max="16384" width="9.33203125" style="2"/>
  </cols>
  <sheetData>
    <row r="1" spans="1:32" s="124" customFormat="1" ht="18" customHeight="1" x14ac:dyDescent="0.3">
      <c r="A1" s="129" t="s">
        <v>352</v>
      </c>
      <c r="B1" s="130"/>
      <c r="C1" s="130"/>
      <c r="D1" s="130"/>
      <c r="E1" s="130"/>
      <c r="F1" s="130"/>
      <c r="G1" s="130"/>
      <c r="H1" s="130"/>
      <c r="I1" s="130"/>
      <c r="J1" s="130"/>
      <c r="K1" s="131"/>
      <c r="L1" s="132"/>
      <c r="R1" s="133"/>
      <c r="S1" s="133"/>
    </row>
    <row r="2" spans="1:32" s="133" customFormat="1" ht="18" customHeight="1" thickBot="1" x14ac:dyDescent="0.3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6">
        <v>45930</v>
      </c>
      <c r="L2" s="137"/>
      <c r="M2" s="139">
        <f>SUBTOTAL(9,M4:M189)</f>
        <v>6199</v>
      </c>
      <c r="N2" s="140"/>
      <c r="O2" s="141">
        <f>SUBTOTAL(9,O4:O189)</f>
        <v>656513351</v>
      </c>
      <c r="P2" s="138"/>
      <c r="T2" s="142"/>
      <c r="U2" s="141">
        <f>SUBTOTAL(9,U4:U189)</f>
        <v>695735215.06599998</v>
      </c>
      <c r="V2" s="142"/>
      <c r="W2" s="142"/>
      <c r="X2" s="142"/>
      <c r="Y2" s="142"/>
      <c r="Z2" s="142"/>
      <c r="AA2" s="142"/>
      <c r="AB2" s="141">
        <f>SUBTOTAL(9,AB4:AB189)</f>
        <v>695735215.06599998</v>
      </c>
      <c r="AC2" s="141">
        <f>SUBTOTAL(9,AC4:AC189)</f>
        <v>64359921.5066</v>
      </c>
      <c r="AD2" s="141">
        <f>SUBTOTAL(9,AD4:AD189)</f>
        <v>760095136.57260001</v>
      </c>
      <c r="AE2" s="138"/>
      <c r="AF2" s="138"/>
    </row>
    <row r="3" spans="1:32" s="153" customFormat="1" ht="35.15" customHeight="1" thickTop="1" thickBot="1" x14ac:dyDescent="0.35">
      <c r="A3" s="143" t="s">
        <v>5</v>
      </c>
      <c r="B3" s="144" t="s">
        <v>3</v>
      </c>
      <c r="C3" s="144" t="s">
        <v>4</v>
      </c>
      <c r="D3" s="159" t="s">
        <v>659</v>
      </c>
      <c r="E3" s="145" t="s">
        <v>276</v>
      </c>
      <c r="F3" s="145" t="s">
        <v>853</v>
      </c>
      <c r="G3" s="145" t="s">
        <v>58</v>
      </c>
      <c r="H3" s="144" t="s">
        <v>852</v>
      </c>
      <c r="I3" s="145" t="s">
        <v>37</v>
      </c>
      <c r="J3" s="146" t="s">
        <v>1</v>
      </c>
      <c r="K3" s="146" t="s">
        <v>2</v>
      </c>
      <c r="L3" s="161" t="s">
        <v>50</v>
      </c>
      <c r="M3" s="144" t="s">
        <v>53</v>
      </c>
      <c r="N3" s="144" t="s">
        <v>54</v>
      </c>
      <c r="O3" s="144" t="s">
        <v>55</v>
      </c>
      <c r="P3" s="148" t="s">
        <v>52</v>
      </c>
      <c r="Q3" s="147" t="s">
        <v>595</v>
      </c>
      <c r="R3" s="148" t="s">
        <v>61</v>
      </c>
      <c r="S3" s="164" t="s">
        <v>490</v>
      </c>
      <c r="T3" s="147" t="s">
        <v>663</v>
      </c>
      <c r="U3" s="148" t="s">
        <v>432</v>
      </c>
      <c r="V3" s="144" t="s">
        <v>431</v>
      </c>
      <c r="W3" s="147" t="s">
        <v>350</v>
      </c>
      <c r="X3" s="149" t="s">
        <v>56</v>
      </c>
      <c r="Y3" s="149" t="s">
        <v>480</v>
      </c>
      <c r="Z3" s="147" t="s">
        <v>57</v>
      </c>
      <c r="AA3" s="150" t="s">
        <v>447</v>
      </c>
      <c r="AB3" s="144" t="s">
        <v>433</v>
      </c>
      <c r="AC3" s="144" t="s">
        <v>435</v>
      </c>
      <c r="AD3" s="148" t="s">
        <v>434</v>
      </c>
      <c r="AE3" s="151" t="s">
        <v>16</v>
      </c>
      <c r="AF3" s="152" t="s">
        <v>15</v>
      </c>
    </row>
    <row r="4" spans="1:32" ht="15" customHeight="1" outlineLevel="1" x14ac:dyDescent="0.3">
      <c r="A4" s="70">
        <v>1</v>
      </c>
      <c r="B4" s="3" t="s">
        <v>639</v>
      </c>
      <c r="C4" s="3" t="s">
        <v>640</v>
      </c>
      <c r="D4" s="160">
        <v>45392</v>
      </c>
      <c r="E4" s="3" t="s">
        <v>62</v>
      </c>
      <c r="F4" s="5" t="s">
        <v>63</v>
      </c>
      <c r="G4" s="5" t="s">
        <v>59</v>
      </c>
      <c r="H4" s="5" t="s">
        <v>211</v>
      </c>
      <c r="I4" s="3" t="s">
        <v>10</v>
      </c>
      <c r="J4" s="9" t="s">
        <v>245</v>
      </c>
      <c r="K4" s="9" t="s">
        <v>64</v>
      </c>
      <c r="L4" s="162" t="s">
        <v>215</v>
      </c>
      <c r="M4" s="4">
        <v>1</v>
      </c>
      <c r="N4" s="7"/>
      <c r="O4" s="7">
        <v>5000000</v>
      </c>
      <c r="P4" s="116" t="s">
        <v>216</v>
      </c>
      <c r="Q4" s="64">
        <v>45657</v>
      </c>
      <c r="R4" s="116"/>
      <c r="T4" s="64">
        <v>45644</v>
      </c>
      <c r="U4" s="65">
        <f t="shared" ref="U4:U40" si="0">O4*V4</f>
        <v>5000000</v>
      </c>
      <c r="V4" s="97">
        <v>1</v>
      </c>
      <c r="W4" s="157" t="s">
        <v>65</v>
      </c>
      <c r="X4" s="68"/>
      <c r="Y4" s="68" t="s">
        <v>484</v>
      </c>
      <c r="Z4" s="64">
        <v>45657</v>
      </c>
      <c r="AA4" s="69">
        <v>-3.3000000000000002E-2</v>
      </c>
      <c r="AB4" s="7">
        <f>U4</f>
        <v>5000000</v>
      </c>
      <c r="AC4" s="7">
        <f>AB4*AA4</f>
        <v>-165000</v>
      </c>
      <c r="AD4" s="65">
        <f t="shared" ref="AD4:AD13" si="1">SUM(AB4:AC4)</f>
        <v>4835000</v>
      </c>
      <c r="AE4" s="99" t="s">
        <v>66</v>
      </c>
      <c r="AF4" s="125" t="s">
        <v>67</v>
      </c>
    </row>
    <row r="5" spans="1:32" ht="15" customHeight="1" outlineLevel="1" x14ac:dyDescent="0.3">
      <c r="A5" s="70" t="s">
        <v>286</v>
      </c>
      <c r="B5" s="3" t="s">
        <v>287</v>
      </c>
      <c r="C5" s="3" t="s">
        <v>288</v>
      </c>
      <c r="D5" s="160">
        <v>45413</v>
      </c>
      <c r="E5" s="3" t="s">
        <v>289</v>
      </c>
      <c r="F5" s="5" t="s">
        <v>290</v>
      </c>
      <c r="G5" s="5" t="s">
        <v>59</v>
      </c>
      <c r="H5" s="5" t="s">
        <v>428</v>
      </c>
      <c r="I5" s="3" t="s">
        <v>10</v>
      </c>
      <c r="J5" s="9" t="s">
        <v>291</v>
      </c>
      <c r="K5" s="9" t="s">
        <v>322</v>
      </c>
      <c r="L5" s="162" t="s">
        <v>292</v>
      </c>
      <c r="M5" s="4">
        <v>1</v>
      </c>
      <c r="N5" s="7"/>
      <c r="O5" s="7">
        <v>6874012.7272727266</v>
      </c>
      <c r="P5" s="116" t="s">
        <v>293</v>
      </c>
      <c r="Q5" s="64"/>
      <c r="R5" s="116"/>
      <c r="T5" s="64">
        <v>45428</v>
      </c>
      <c r="U5" s="65">
        <f t="shared" si="0"/>
        <v>6874012.7272727266</v>
      </c>
      <c r="V5" s="97">
        <v>1</v>
      </c>
      <c r="W5" s="157" t="s">
        <v>249</v>
      </c>
      <c r="X5" s="68"/>
      <c r="Y5" s="68"/>
      <c r="Z5" s="64">
        <v>45428</v>
      </c>
      <c r="AA5" s="69">
        <v>0.1</v>
      </c>
      <c r="AB5" s="7">
        <f>U5</f>
        <v>6874012.7272727266</v>
      </c>
      <c r="AC5" s="7">
        <f t="shared" ref="AC5" si="2">AB5*AA5</f>
        <v>687401.27272727271</v>
      </c>
      <c r="AD5" s="65">
        <f t="shared" si="1"/>
        <v>7561413.9999999991</v>
      </c>
      <c r="AE5" s="99" t="s">
        <v>294</v>
      </c>
      <c r="AF5" s="125"/>
    </row>
    <row r="6" spans="1:32" ht="15" customHeight="1" outlineLevel="1" x14ac:dyDescent="0.3">
      <c r="A6" s="70" t="s">
        <v>295</v>
      </c>
      <c r="B6" s="3" t="s">
        <v>287</v>
      </c>
      <c r="C6" s="3" t="s">
        <v>288</v>
      </c>
      <c r="D6" s="160">
        <v>45413</v>
      </c>
      <c r="E6" s="3" t="s">
        <v>289</v>
      </c>
      <c r="F6" s="5" t="s">
        <v>290</v>
      </c>
      <c r="G6" s="5" t="s">
        <v>59</v>
      </c>
      <c r="H6" s="5" t="s">
        <v>428</v>
      </c>
      <c r="I6" s="3" t="s">
        <v>10</v>
      </c>
      <c r="J6" s="9" t="s">
        <v>291</v>
      </c>
      <c r="K6" s="9" t="s">
        <v>323</v>
      </c>
      <c r="L6" s="162" t="s">
        <v>292</v>
      </c>
      <c r="M6" s="4">
        <v>1</v>
      </c>
      <c r="N6" s="7"/>
      <c r="O6" s="7">
        <v>16039357.272727273</v>
      </c>
      <c r="P6" s="116" t="s">
        <v>293</v>
      </c>
      <c r="Q6" s="64"/>
      <c r="R6" s="116"/>
      <c r="T6" s="64">
        <v>45436</v>
      </c>
      <c r="U6" s="65">
        <f t="shared" si="0"/>
        <v>16039357.272727273</v>
      </c>
      <c r="V6" s="97">
        <v>1</v>
      </c>
      <c r="W6" s="157" t="s">
        <v>582</v>
      </c>
      <c r="X6" s="68"/>
      <c r="Y6" s="68"/>
      <c r="Z6" s="64">
        <v>45436</v>
      </c>
      <c r="AA6" s="69">
        <v>0.1</v>
      </c>
      <c r="AB6" s="7">
        <f t="shared" ref="AB6:AB13" si="3">U6</f>
        <v>16039357.272727273</v>
      </c>
      <c r="AC6" s="7">
        <f t="shared" ref="AC6:AC13" si="4">AB6*AA6</f>
        <v>1603935.7272727275</v>
      </c>
      <c r="AD6" s="65">
        <f t="shared" si="1"/>
        <v>17643293</v>
      </c>
      <c r="AE6" s="99" t="s">
        <v>294</v>
      </c>
      <c r="AF6" s="125"/>
    </row>
    <row r="7" spans="1:32" ht="15" customHeight="1" outlineLevel="1" x14ac:dyDescent="0.3">
      <c r="A7" s="70" t="s">
        <v>297</v>
      </c>
      <c r="B7" s="3" t="s">
        <v>287</v>
      </c>
      <c r="C7" s="3" t="s">
        <v>288</v>
      </c>
      <c r="D7" s="160">
        <v>45414</v>
      </c>
      <c r="E7" s="3" t="s">
        <v>299</v>
      </c>
      <c r="F7" s="5" t="s">
        <v>300</v>
      </c>
      <c r="G7" s="5" t="s">
        <v>59</v>
      </c>
      <c r="H7" s="5" t="s">
        <v>428</v>
      </c>
      <c r="I7" s="3" t="s">
        <v>10</v>
      </c>
      <c r="J7" s="9" t="s">
        <v>301</v>
      </c>
      <c r="K7" s="9" t="s">
        <v>316</v>
      </c>
      <c r="L7" s="162" t="s">
        <v>292</v>
      </c>
      <c r="M7" s="4">
        <v>1</v>
      </c>
      <c r="N7" s="7"/>
      <c r="O7" s="7">
        <v>18780000</v>
      </c>
      <c r="P7" s="116" t="s">
        <v>293</v>
      </c>
      <c r="Q7" s="64"/>
      <c r="R7" s="116"/>
      <c r="T7" s="64">
        <v>45429</v>
      </c>
      <c r="U7" s="65">
        <f t="shared" si="0"/>
        <v>18780000</v>
      </c>
      <c r="V7" s="97">
        <v>1</v>
      </c>
      <c r="W7" s="157" t="s">
        <v>249</v>
      </c>
      <c r="X7" s="68"/>
      <c r="Y7" s="68"/>
      <c r="Z7" s="64">
        <v>45431</v>
      </c>
      <c r="AA7" s="69">
        <v>0.1</v>
      </c>
      <c r="AB7" s="7">
        <f t="shared" si="3"/>
        <v>18780000</v>
      </c>
      <c r="AC7" s="7">
        <f t="shared" si="4"/>
        <v>1878000</v>
      </c>
      <c r="AD7" s="65">
        <f t="shared" si="1"/>
        <v>20658000</v>
      </c>
      <c r="AE7" s="99" t="s">
        <v>294</v>
      </c>
      <c r="AF7" s="125"/>
    </row>
    <row r="8" spans="1:32" ht="15" customHeight="1" outlineLevel="1" x14ac:dyDescent="0.3">
      <c r="A8" s="70" t="s">
        <v>353</v>
      </c>
      <c r="B8" s="3" t="s">
        <v>287</v>
      </c>
      <c r="C8" s="3" t="s">
        <v>288</v>
      </c>
      <c r="D8" s="160">
        <v>45414</v>
      </c>
      <c r="E8" s="3" t="s">
        <v>299</v>
      </c>
      <c r="F8" s="5" t="s">
        <v>598</v>
      </c>
      <c r="G8" s="5" t="s">
        <v>59</v>
      </c>
      <c r="H8" s="5" t="s">
        <v>428</v>
      </c>
      <c r="I8" s="3" t="s">
        <v>10</v>
      </c>
      <c r="J8" s="9" t="s">
        <v>301</v>
      </c>
      <c r="K8" s="9" t="s">
        <v>317</v>
      </c>
      <c r="L8" s="162" t="s">
        <v>292</v>
      </c>
      <c r="M8" s="4">
        <v>1</v>
      </c>
      <c r="N8" s="7"/>
      <c r="O8" s="7">
        <v>43820000</v>
      </c>
      <c r="P8" s="116" t="s">
        <v>293</v>
      </c>
      <c r="Q8" s="64"/>
      <c r="R8" s="116"/>
      <c r="T8" s="64">
        <v>45505</v>
      </c>
      <c r="U8" s="65">
        <f t="shared" si="0"/>
        <v>43820000</v>
      </c>
      <c r="V8" s="97">
        <v>1</v>
      </c>
      <c r="W8" s="157" t="s">
        <v>582</v>
      </c>
      <c r="X8" s="68"/>
      <c r="Y8" s="68"/>
      <c r="Z8" s="64">
        <v>45506</v>
      </c>
      <c r="AA8" s="69">
        <v>0.1</v>
      </c>
      <c r="AB8" s="7">
        <f t="shared" si="3"/>
        <v>43820000</v>
      </c>
      <c r="AC8" s="7">
        <f t="shared" si="4"/>
        <v>4382000</v>
      </c>
      <c r="AD8" s="65">
        <f t="shared" si="1"/>
        <v>48202000</v>
      </c>
      <c r="AE8" s="99" t="s">
        <v>294</v>
      </c>
      <c r="AF8" s="125"/>
    </row>
    <row r="9" spans="1:32" ht="15" customHeight="1" outlineLevel="1" x14ac:dyDescent="0.3">
      <c r="A9" s="70" t="s">
        <v>354</v>
      </c>
      <c r="B9" s="3" t="s">
        <v>287</v>
      </c>
      <c r="C9" s="3" t="s">
        <v>23</v>
      </c>
      <c r="D9" s="160">
        <v>45415</v>
      </c>
      <c r="E9" s="3" t="s">
        <v>302</v>
      </c>
      <c r="F9" s="5" t="s">
        <v>303</v>
      </c>
      <c r="G9" s="5" t="s">
        <v>59</v>
      </c>
      <c r="H9" s="5" t="s">
        <v>428</v>
      </c>
      <c r="I9" s="3" t="s">
        <v>10</v>
      </c>
      <c r="J9" s="9" t="s">
        <v>304</v>
      </c>
      <c r="K9" s="9" t="s">
        <v>318</v>
      </c>
      <c r="L9" s="162" t="s">
        <v>292</v>
      </c>
      <c r="M9" s="4">
        <v>1</v>
      </c>
      <c r="N9" s="7"/>
      <c r="O9" s="7">
        <v>2112000</v>
      </c>
      <c r="P9" s="116" t="s">
        <v>293</v>
      </c>
      <c r="Q9" s="64"/>
      <c r="R9" s="116"/>
      <c r="T9" s="64">
        <v>45431</v>
      </c>
      <c r="U9" s="65">
        <f t="shared" si="0"/>
        <v>2112000</v>
      </c>
      <c r="V9" s="97">
        <v>1</v>
      </c>
      <c r="W9" s="157" t="s">
        <v>249</v>
      </c>
      <c r="X9" s="68"/>
      <c r="Y9" s="68"/>
      <c r="Z9" s="64">
        <v>45431</v>
      </c>
      <c r="AA9" s="69">
        <v>0.1</v>
      </c>
      <c r="AB9" s="7">
        <f t="shared" si="3"/>
        <v>2112000</v>
      </c>
      <c r="AC9" s="7">
        <f t="shared" si="4"/>
        <v>211200</v>
      </c>
      <c r="AD9" s="65">
        <f t="shared" si="1"/>
        <v>2323200</v>
      </c>
      <c r="AE9" s="99" t="s">
        <v>294</v>
      </c>
      <c r="AF9" s="125"/>
    </row>
    <row r="10" spans="1:32" ht="15" customHeight="1" outlineLevel="1" x14ac:dyDescent="0.3">
      <c r="A10" s="70" t="s">
        <v>355</v>
      </c>
      <c r="B10" s="3" t="s">
        <v>287</v>
      </c>
      <c r="C10" s="3" t="s">
        <v>23</v>
      </c>
      <c r="D10" s="160">
        <v>45415</v>
      </c>
      <c r="E10" s="3" t="s">
        <v>302</v>
      </c>
      <c r="F10" s="5" t="s">
        <v>303</v>
      </c>
      <c r="G10" s="5" t="s">
        <v>59</v>
      </c>
      <c r="H10" s="5" t="s">
        <v>428</v>
      </c>
      <c r="I10" s="3" t="s">
        <v>10</v>
      </c>
      <c r="J10" s="9" t="s">
        <v>304</v>
      </c>
      <c r="K10" s="9" t="s">
        <v>319</v>
      </c>
      <c r="L10" s="162" t="s">
        <v>292</v>
      </c>
      <c r="M10" s="4">
        <v>1</v>
      </c>
      <c r="N10" s="7"/>
      <c r="O10" s="7">
        <v>4928000</v>
      </c>
      <c r="P10" s="116" t="s">
        <v>293</v>
      </c>
      <c r="Q10" s="64"/>
      <c r="R10" s="116"/>
      <c r="T10" s="64">
        <v>45456</v>
      </c>
      <c r="U10" s="65">
        <f t="shared" si="0"/>
        <v>4928000</v>
      </c>
      <c r="V10" s="97">
        <v>1</v>
      </c>
      <c r="W10" s="157" t="s">
        <v>582</v>
      </c>
      <c r="X10" s="68"/>
      <c r="Y10" s="68"/>
      <c r="Z10" s="64">
        <v>45457</v>
      </c>
      <c r="AA10" s="69">
        <v>0.1</v>
      </c>
      <c r="AB10" s="7">
        <f t="shared" si="3"/>
        <v>4928000</v>
      </c>
      <c r="AC10" s="7">
        <f t="shared" si="4"/>
        <v>492800</v>
      </c>
      <c r="AD10" s="65">
        <f t="shared" si="1"/>
        <v>5420800</v>
      </c>
      <c r="AE10" s="99" t="s">
        <v>294</v>
      </c>
      <c r="AF10" s="125"/>
    </row>
    <row r="11" spans="1:32" ht="15" customHeight="1" outlineLevel="1" x14ac:dyDescent="0.3">
      <c r="A11" s="70" t="s">
        <v>356</v>
      </c>
      <c r="B11" s="3" t="s">
        <v>287</v>
      </c>
      <c r="C11" s="3" t="s">
        <v>288</v>
      </c>
      <c r="D11" s="160">
        <v>45432</v>
      </c>
      <c r="E11" s="3" t="s">
        <v>306</v>
      </c>
      <c r="F11" s="5" t="s">
        <v>307</v>
      </c>
      <c r="G11" s="5" t="s">
        <v>59</v>
      </c>
      <c r="H11" s="5" t="s">
        <v>428</v>
      </c>
      <c r="I11" s="3" t="s">
        <v>10</v>
      </c>
      <c r="J11" s="9" t="s">
        <v>308</v>
      </c>
      <c r="K11" s="9" t="s">
        <v>309</v>
      </c>
      <c r="L11" s="162" t="s">
        <v>292</v>
      </c>
      <c r="M11" s="4">
        <v>50</v>
      </c>
      <c r="N11" s="7">
        <v>45500</v>
      </c>
      <c r="O11" s="7">
        <f>M11*N11</f>
        <v>2275000</v>
      </c>
      <c r="P11" s="116" t="s">
        <v>293</v>
      </c>
      <c r="Q11" s="64"/>
      <c r="R11" s="116"/>
      <c r="T11" s="64"/>
      <c r="U11" s="65">
        <f t="shared" si="0"/>
        <v>2275000</v>
      </c>
      <c r="V11" s="97">
        <v>1</v>
      </c>
      <c r="W11" s="157"/>
      <c r="X11" s="68"/>
      <c r="Y11" s="68"/>
      <c r="Z11" s="64">
        <v>45440</v>
      </c>
      <c r="AA11" s="69">
        <v>0.1</v>
      </c>
      <c r="AB11" s="7">
        <f t="shared" si="3"/>
        <v>2275000</v>
      </c>
      <c r="AC11" s="7">
        <f t="shared" si="4"/>
        <v>227500</v>
      </c>
      <c r="AD11" s="65">
        <f t="shared" si="1"/>
        <v>2502500</v>
      </c>
      <c r="AE11" s="99" t="s">
        <v>294</v>
      </c>
      <c r="AF11" s="125"/>
    </row>
    <row r="12" spans="1:32" ht="15" customHeight="1" outlineLevel="1" x14ac:dyDescent="0.3">
      <c r="A12" s="70" t="s">
        <v>357</v>
      </c>
      <c r="B12" s="3" t="s">
        <v>287</v>
      </c>
      <c r="C12" s="3" t="s">
        <v>288</v>
      </c>
      <c r="D12" s="160">
        <v>45435</v>
      </c>
      <c r="E12" s="3" t="s">
        <v>310</v>
      </c>
      <c r="F12" s="5" t="s">
        <v>311</v>
      </c>
      <c r="G12" s="5" t="s">
        <v>59</v>
      </c>
      <c r="H12" s="5" t="s">
        <v>429</v>
      </c>
      <c r="I12" s="3" t="s">
        <v>10</v>
      </c>
      <c r="J12" s="9" t="s">
        <v>312</v>
      </c>
      <c r="K12" s="9" t="s">
        <v>324</v>
      </c>
      <c r="L12" s="162" t="s">
        <v>292</v>
      </c>
      <c r="M12" s="4">
        <v>1</v>
      </c>
      <c r="N12" s="7"/>
      <c r="O12" s="7">
        <v>16197119</v>
      </c>
      <c r="P12" s="116" t="s">
        <v>293</v>
      </c>
      <c r="Q12" s="64"/>
      <c r="R12" s="116"/>
      <c r="T12" s="64">
        <v>45440</v>
      </c>
      <c r="U12" s="65">
        <f t="shared" si="0"/>
        <v>16197119</v>
      </c>
      <c r="V12" s="97">
        <v>1</v>
      </c>
      <c r="W12" s="157" t="s">
        <v>583</v>
      </c>
      <c r="X12" s="68"/>
      <c r="Y12" s="68"/>
      <c r="Z12" s="64">
        <v>45440</v>
      </c>
      <c r="AA12" s="69">
        <v>0.1</v>
      </c>
      <c r="AB12" s="7">
        <f t="shared" si="3"/>
        <v>16197119</v>
      </c>
      <c r="AC12" s="7">
        <f t="shared" si="4"/>
        <v>1619711.9000000001</v>
      </c>
      <c r="AD12" s="65">
        <f t="shared" si="1"/>
        <v>17816830.899999999</v>
      </c>
      <c r="AE12" s="99" t="s">
        <v>294</v>
      </c>
      <c r="AF12" s="125"/>
    </row>
    <row r="13" spans="1:32" ht="15" customHeight="1" outlineLevel="1" x14ac:dyDescent="0.3">
      <c r="A13" s="70" t="s">
        <v>358</v>
      </c>
      <c r="B13" s="3" t="s">
        <v>287</v>
      </c>
      <c r="C13" s="3" t="s">
        <v>288</v>
      </c>
      <c r="D13" s="160">
        <v>45435</v>
      </c>
      <c r="E13" s="3" t="s">
        <v>310</v>
      </c>
      <c r="F13" s="5" t="s">
        <v>311</v>
      </c>
      <c r="G13" s="5" t="s">
        <v>59</v>
      </c>
      <c r="H13" s="5" t="s">
        <v>70</v>
      </c>
      <c r="I13" s="3" t="s">
        <v>10</v>
      </c>
      <c r="J13" s="9" t="s">
        <v>312</v>
      </c>
      <c r="K13" s="9" t="s">
        <v>325</v>
      </c>
      <c r="L13" s="162" t="s">
        <v>292</v>
      </c>
      <c r="M13" s="4">
        <v>1</v>
      </c>
      <c r="N13" s="7"/>
      <c r="O13" s="7">
        <v>26496461</v>
      </c>
      <c r="P13" s="116" t="s">
        <v>293</v>
      </c>
      <c r="Q13" s="64"/>
      <c r="R13" s="116"/>
      <c r="T13" s="64">
        <v>45497</v>
      </c>
      <c r="U13" s="65">
        <f t="shared" si="0"/>
        <v>26496461</v>
      </c>
      <c r="V13" s="97">
        <v>1</v>
      </c>
      <c r="W13" s="157" t="s">
        <v>584</v>
      </c>
      <c r="X13" s="68"/>
      <c r="Y13" s="68"/>
      <c r="Z13" s="64">
        <v>45497</v>
      </c>
      <c r="AA13" s="69">
        <v>0.1</v>
      </c>
      <c r="AB13" s="7">
        <f t="shared" si="3"/>
        <v>26496461</v>
      </c>
      <c r="AC13" s="7">
        <f t="shared" si="4"/>
        <v>2649646.1</v>
      </c>
      <c r="AD13" s="65">
        <f t="shared" si="1"/>
        <v>29146107.100000001</v>
      </c>
      <c r="AE13" s="99" t="s">
        <v>294</v>
      </c>
      <c r="AF13" s="125"/>
    </row>
    <row r="14" spans="1:32" ht="15" customHeight="1" outlineLevel="1" x14ac:dyDescent="0.3">
      <c r="A14" s="70" t="s">
        <v>296</v>
      </c>
      <c r="B14" s="3" t="s">
        <v>287</v>
      </c>
      <c r="C14" s="3" t="s">
        <v>288</v>
      </c>
      <c r="D14" s="160">
        <v>45435</v>
      </c>
      <c r="E14" s="3" t="s">
        <v>314</v>
      </c>
      <c r="F14" s="5" t="s">
        <v>313</v>
      </c>
      <c r="G14" s="5" t="s">
        <v>59</v>
      </c>
      <c r="H14" s="5" t="s">
        <v>70</v>
      </c>
      <c r="I14" s="3" t="s">
        <v>10</v>
      </c>
      <c r="J14" s="9" t="s">
        <v>315</v>
      </c>
      <c r="K14" s="9" t="s">
        <v>320</v>
      </c>
      <c r="L14" s="162" t="s">
        <v>292</v>
      </c>
      <c r="M14" s="4">
        <v>1</v>
      </c>
      <c r="N14" s="7"/>
      <c r="O14" s="7">
        <f>6213300*0.3</f>
        <v>1863990</v>
      </c>
      <c r="P14" s="116" t="s">
        <v>293</v>
      </c>
      <c r="Q14" s="64"/>
      <c r="R14" s="116"/>
      <c r="T14" s="64">
        <v>45436</v>
      </c>
      <c r="U14" s="65">
        <f t="shared" si="0"/>
        <v>1863990</v>
      </c>
      <c r="V14" s="97">
        <v>1</v>
      </c>
      <c r="W14" s="157" t="s">
        <v>249</v>
      </c>
      <c r="X14" s="68"/>
      <c r="Y14" s="68"/>
      <c r="Z14" s="64">
        <v>45436</v>
      </c>
      <c r="AA14" s="69">
        <v>0.1</v>
      </c>
      <c r="AB14" s="7">
        <f t="shared" ref="AB14:AB18" si="5">U14</f>
        <v>1863990</v>
      </c>
      <c r="AC14" s="7">
        <f t="shared" ref="AC14:AC18" si="6">AB14*AA14</f>
        <v>186399</v>
      </c>
      <c r="AD14" s="65">
        <f t="shared" ref="AD14:AD82" si="7">SUM(AB14:AC14)</f>
        <v>2050389</v>
      </c>
      <c r="AE14" s="99" t="s">
        <v>294</v>
      </c>
      <c r="AF14" s="125"/>
    </row>
    <row r="15" spans="1:32" ht="15" customHeight="1" outlineLevel="1" x14ac:dyDescent="0.3">
      <c r="A15" s="70" t="s">
        <v>359</v>
      </c>
      <c r="B15" s="3" t="s">
        <v>287</v>
      </c>
      <c r="C15" s="3" t="s">
        <v>288</v>
      </c>
      <c r="D15" s="160">
        <v>45435</v>
      </c>
      <c r="E15" s="3" t="s">
        <v>314</v>
      </c>
      <c r="F15" s="5" t="s">
        <v>313</v>
      </c>
      <c r="G15" s="5" t="s">
        <v>59</v>
      </c>
      <c r="H15" s="5" t="s">
        <v>70</v>
      </c>
      <c r="I15" s="3" t="s">
        <v>10</v>
      </c>
      <c r="J15" s="9" t="s">
        <v>315</v>
      </c>
      <c r="K15" s="9" t="s">
        <v>321</v>
      </c>
      <c r="L15" s="162" t="s">
        <v>292</v>
      </c>
      <c r="M15" s="4">
        <v>1</v>
      </c>
      <c r="N15" s="7"/>
      <c r="O15" s="7">
        <f>6213300*0.7</f>
        <v>4349310</v>
      </c>
      <c r="P15" s="116" t="s">
        <v>293</v>
      </c>
      <c r="Q15" s="64"/>
      <c r="R15" s="116"/>
      <c r="T15" s="64">
        <v>45462</v>
      </c>
      <c r="U15" s="65">
        <f t="shared" si="0"/>
        <v>4349310</v>
      </c>
      <c r="V15" s="97">
        <v>1</v>
      </c>
      <c r="W15" s="157" t="s">
        <v>582</v>
      </c>
      <c r="X15" s="68"/>
      <c r="Y15" s="68"/>
      <c r="Z15" s="64">
        <v>45462</v>
      </c>
      <c r="AA15" s="69">
        <v>0.1</v>
      </c>
      <c r="AB15" s="7">
        <f t="shared" si="5"/>
        <v>4349310</v>
      </c>
      <c r="AC15" s="7">
        <f t="shared" si="6"/>
        <v>434931</v>
      </c>
      <c r="AD15" s="65">
        <f t="shared" si="7"/>
        <v>4784241</v>
      </c>
      <c r="AE15" s="99" t="s">
        <v>294</v>
      </c>
      <c r="AF15" s="125"/>
    </row>
    <row r="16" spans="1:32" ht="15" customHeight="1" outlineLevel="1" x14ac:dyDescent="0.3">
      <c r="A16" s="70" t="s">
        <v>360</v>
      </c>
      <c r="B16" s="3" t="s">
        <v>287</v>
      </c>
      <c r="C16" s="3" t="s">
        <v>288</v>
      </c>
      <c r="D16" s="160">
        <v>45453</v>
      </c>
      <c r="E16" s="3" t="s">
        <v>329</v>
      </c>
      <c r="F16" s="5" t="s">
        <v>327</v>
      </c>
      <c r="G16" s="5" t="s">
        <v>59</v>
      </c>
      <c r="H16" s="5" t="s">
        <v>450</v>
      </c>
      <c r="I16" s="3" t="s">
        <v>10</v>
      </c>
      <c r="J16" s="9" t="s">
        <v>330</v>
      </c>
      <c r="K16" s="9" t="s">
        <v>331</v>
      </c>
      <c r="L16" s="162" t="s">
        <v>292</v>
      </c>
      <c r="M16" s="4">
        <v>1</v>
      </c>
      <c r="N16" s="7"/>
      <c r="O16" s="84">
        <v>24200</v>
      </c>
      <c r="P16" s="116" t="s">
        <v>326</v>
      </c>
      <c r="Q16" s="64"/>
      <c r="R16" s="116" t="s">
        <v>248</v>
      </c>
      <c r="T16" s="64"/>
      <c r="U16" s="65">
        <f t="shared" si="0"/>
        <v>30474085.465999998</v>
      </c>
      <c r="V16" s="97">
        <v>1259.25973</v>
      </c>
      <c r="W16" s="157" t="s">
        <v>45</v>
      </c>
      <c r="X16" s="68"/>
      <c r="Y16" s="68"/>
      <c r="Z16" s="64"/>
      <c r="AA16" s="69">
        <v>0.1</v>
      </c>
      <c r="AB16" s="7">
        <f t="shared" si="5"/>
        <v>30474085.465999998</v>
      </c>
      <c r="AC16" s="7">
        <f t="shared" si="6"/>
        <v>3047408.5466</v>
      </c>
      <c r="AD16" s="65">
        <f t="shared" si="7"/>
        <v>33521494.012599997</v>
      </c>
      <c r="AE16" s="99" t="s">
        <v>446</v>
      </c>
      <c r="AF16" s="125"/>
    </row>
    <row r="17" spans="1:32" ht="15" customHeight="1" outlineLevel="1" x14ac:dyDescent="0.3">
      <c r="A17" s="70" t="s">
        <v>361</v>
      </c>
      <c r="B17" s="3" t="s">
        <v>287</v>
      </c>
      <c r="C17" s="3" t="s">
        <v>288</v>
      </c>
      <c r="D17" s="160">
        <v>45453</v>
      </c>
      <c r="E17" s="3" t="s">
        <v>333</v>
      </c>
      <c r="F17" s="5" t="s">
        <v>652</v>
      </c>
      <c r="G17" s="5" t="s">
        <v>59</v>
      </c>
      <c r="H17" s="5" t="s">
        <v>430</v>
      </c>
      <c r="I17" s="3" t="s">
        <v>10</v>
      </c>
      <c r="J17" s="9" t="s">
        <v>334</v>
      </c>
      <c r="K17" s="9" t="s">
        <v>335</v>
      </c>
      <c r="L17" s="162" t="s">
        <v>292</v>
      </c>
      <c r="M17" s="4">
        <v>1</v>
      </c>
      <c r="N17" s="7"/>
      <c r="O17" s="7">
        <v>2409000</v>
      </c>
      <c r="P17" s="116" t="s">
        <v>293</v>
      </c>
      <c r="Q17" s="64"/>
      <c r="R17" s="116"/>
      <c r="T17" s="64">
        <v>45462</v>
      </c>
      <c r="U17" s="65">
        <f t="shared" si="0"/>
        <v>2409000</v>
      </c>
      <c r="V17" s="97">
        <v>1</v>
      </c>
      <c r="W17" s="157"/>
      <c r="X17" s="68"/>
      <c r="Y17" s="68"/>
      <c r="Z17" s="64">
        <v>45462</v>
      </c>
      <c r="AA17" s="69">
        <v>0.1</v>
      </c>
      <c r="AB17" s="7">
        <f t="shared" si="5"/>
        <v>2409000</v>
      </c>
      <c r="AC17" s="7">
        <f t="shared" si="6"/>
        <v>240900</v>
      </c>
      <c r="AD17" s="65">
        <f t="shared" si="7"/>
        <v>2649900</v>
      </c>
      <c r="AE17" s="99" t="s">
        <v>294</v>
      </c>
      <c r="AF17" s="125"/>
    </row>
    <row r="18" spans="1:32" ht="15" customHeight="1" outlineLevel="1" x14ac:dyDescent="0.3">
      <c r="A18" s="70" t="s">
        <v>362</v>
      </c>
      <c r="B18" s="3" t="s">
        <v>43</v>
      </c>
      <c r="C18" s="3" t="s">
        <v>548</v>
      </c>
      <c r="D18" s="160">
        <v>45458</v>
      </c>
      <c r="E18" s="3" t="s">
        <v>68</v>
      </c>
      <c r="F18" s="5" t="s">
        <v>69</v>
      </c>
      <c r="G18" s="5" t="s">
        <v>59</v>
      </c>
      <c r="H18" s="5" t="s">
        <v>70</v>
      </c>
      <c r="I18" s="3" t="s">
        <v>10</v>
      </c>
      <c r="J18" s="9" t="s">
        <v>246</v>
      </c>
      <c r="K18" s="9" t="s">
        <v>486</v>
      </c>
      <c r="L18" s="162" t="s">
        <v>215</v>
      </c>
      <c r="M18" s="4">
        <v>1</v>
      </c>
      <c r="N18" s="7"/>
      <c r="O18" s="7">
        <v>32000000</v>
      </c>
      <c r="P18" s="116" t="s">
        <v>22</v>
      </c>
      <c r="Q18" s="64"/>
      <c r="R18" s="116"/>
      <c r="S18" s="2" t="s">
        <v>491</v>
      </c>
      <c r="T18" s="64">
        <v>45469</v>
      </c>
      <c r="U18" s="65">
        <f t="shared" si="0"/>
        <v>32000000</v>
      </c>
      <c r="V18" s="97">
        <v>1</v>
      </c>
      <c r="W18" s="157" t="s">
        <v>580</v>
      </c>
      <c r="X18" s="68"/>
      <c r="Y18" s="68"/>
      <c r="Z18" s="64">
        <v>45470</v>
      </c>
      <c r="AA18" s="69">
        <v>0.1</v>
      </c>
      <c r="AB18" s="7">
        <f t="shared" si="5"/>
        <v>32000000</v>
      </c>
      <c r="AC18" s="7">
        <f t="shared" si="6"/>
        <v>3200000</v>
      </c>
      <c r="AD18" s="65">
        <f t="shared" si="7"/>
        <v>35200000</v>
      </c>
      <c r="AE18" s="99"/>
      <c r="AF18" s="125" t="s">
        <v>71</v>
      </c>
    </row>
    <row r="19" spans="1:32" ht="15" customHeight="1" outlineLevel="1" x14ac:dyDescent="0.3">
      <c r="A19" s="70" t="s">
        <v>363</v>
      </c>
      <c r="B19" s="3" t="s">
        <v>241</v>
      </c>
      <c r="C19" s="3" t="s">
        <v>548</v>
      </c>
      <c r="D19" s="160">
        <v>45458</v>
      </c>
      <c r="E19" s="3" t="s">
        <v>68</v>
      </c>
      <c r="F19" s="5" t="s">
        <v>69</v>
      </c>
      <c r="G19" s="5" t="s">
        <v>59</v>
      </c>
      <c r="H19" s="5" t="s">
        <v>70</v>
      </c>
      <c r="I19" s="3" t="s">
        <v>10</v>
      </c>
      <c r="J19" s="9" t="s">
        <v>246</v>
      </c>
      <c r="K19" s="9" t="s">
        <v>487</v>
      </c>
      <c r="L19" s="162" t="s">
        <v>215</v>
      </c>
      <c r="M19" s="4">
        <v>1</v>
      </c>
      <c r="N19" s="7"/>
      <c r="O19" s="7">
        <v>24000000</v>
      </c>
      <c r="P19" s="116" t="s">
        <v>216</v>
      </c>
      <c r="Q19" s="64"/>
      <c r="R19" s="116"/>
      <c r="S19" s="2" t="s">
        <v>491</v>
      </c>
      <c r="T19" s="64">
        <v>45622</v>
      </c>
      <c r="U19" s="65">
        <f t="shared" si="0"/>
        <v>24000000</v>
      </c>
      <c r="V19" s="97">
        <v>1</v>
      </c>
      <c r="W19" s="157" t="s">
        <v>589</v>
      </c>
      <c r="X19" s="68"/>
      <c r="Y19" s="68">
        <v>45622</v>
      </c>
      <c r="Z19" s="64">
        <v>45625</v>
      </c>
      <c r="AA19" s="69">
        <v>0.1</v>
      </c>
      <c r="AB19" s="7">
        <f t="shared" ref="AB19:AB90" si="8">U19</f>
        <v>24000000</v>
      </c>
      <c r="AC19" s="7">
        <f t="shared" ref="AC19:AC90" si="9">AB19*AA19</f>
        <v>2400000</v>
      </c>
      <c r="AD19" s="65">
        <f t="shared" si="7"/>
        <v>26400000</v>
      </c>
      <c r="AE19" s="99"/>
      <c r="AF19" s="125" t="s">
        <v>71</v>
      </c>
    </row>
    <row r="20" spans="1:32" ht="15" customHeight="1" outlineLevel="1" x14ac:dyDescent="0.3">
      <c r="A20" s="70" t="s">
        <v>364</v>
      </c>
      <c r="B20" s="3" t="s">
        <v>43</v>
      </c>
      <c r="C20" s="3" t="s">
        <v>548</v>
      </c>
      <c r="D20" s="160">
        <v>45458</v>
      </c>
      <c r="E20" s="3" t="s">
        <v>68</v>
      </c>
      <c r="F20" s="5" t="s">
        <v>69</v>
      </c>
      <c r="G20" s="5" t="s">
        <v>59</v>
      </c>
      <c r="H20" s="5" t="s">
        <v>70</v>
      </c>
      <c r="I20" s="3" t="s">
        <v>10</v>
      </c>
      <c r="J20" s="9" t="s">
        <v>246</v>
      </c>
      <c r="K20" s="9" t="s">
        <v>488</v>
      </c>
      <c r="L20" s="162" t="s">
        <v>20</v>
      </c>
      <c r="M20" s="4">
        <v>1</v>
      </c>
      <c r="N20" s="7"/>
      <c r="O20" s="7">
        <v>24000000</v>
      </c>
      <c r="P20" s="116" t="s">
        <v>22</v>
      </c>
      <c r="Q20" s="64"/>
      <c r="R20" s="116"/>
      <c r="S20" s="2" t="s">
        <v>491</v>
      </c>
      <c r="T20" s="64">
        <v>45681</v>
      </c>
      <c r="U20" s="65">
        <f t="shared" si="0"/>
        <v>24000000</v>
      </c>
      <c r="V20" s="97">
        <v>1</v>
      </c>
      <c r="W20" s="157" t="s">
        <v>581</v>
      </c>
      <c r="X20" s="68">
        <v>45693</v>
      </c>
      <c r="Y20" s="68"/>
      <c r="Z20" s="64">
        <v>45694</v>
      </c>
      <c r="AA20" s="69">
        <v>0.1</v>
      </c>
      <c r="AB20" s="7">
        <f t="shared" ref="AB20" si="10">U20</f>
        <v>24000000</v>
      </c>
      <c r="AC20" s="7">
        <f t="shared" ref="AC20" si="11">AB20*AA20</f>
        <v>2400000</v>
      </c>
      <c r="AD20" s="65">
        <f t="shared" si="7"/>
        <v>26400000</v>
      </c>
      <c r="AE20" s="99"/>
      <c r="AF20" s="125" t="s">
        <v>71</v>
      </c>
    </row>
    <row r="21" spans="1:32" ht="15" customHeight="1" outlineLevel="1" x14ac:dyDescent="0.3">
      <c r="A21" s="70" t="s">
        <v>365</v>
      </c>
      <c r="B21" s="3" t="s">
        <v>287</v>
      </c>
      <c r="C21" s="3" t="s">
        <v>288</v>
      </c>
      <c r="D21" s="160">
        <v>45474</v>
      </c>
      <c r="E21" s="3" t="s">
        <v>337</v>
      </c>
      <c r="F21" s="5" t="s">
        <v>339</v>
      </c>
      <c r="G21" s="5" t="s">
        <v>59</v>
      </c>
      <c r="H21" s="5" t="s">
        <v>430</v>
      </c>
      <c r="I21" s="3" t="s">
        <v>10</v>
      </c>
      <c r="J21" s="9" t="s">
        <v>338</v>
      </c>
      <c r="K21" s="9" t="s">
        <v>338</v>
      </c>
      <c r="L21" s="162" t="s">
        <v>292</v>
      </c>
      <c r="M21" s="4">
        <v>70</v>
      </c>
      <c r="N21" s="7">
        <v>6000</v>
      </c>
      <c r="O21" s="7">
        <f>M21*N21</f>
        <v>420000</v>
      </c>
      <c r="P21" s="116" t="s">
        <v>293</v>
      </c>
      <c r="Q21" s="64"/>
      <c r="R21" s="116"/>
      <c r="T21" s="64"/>
      <c r="U21" s="65">
        <f t="shared" si="0"/>
        <v>420000</v>
      </c>
      <c r="V21" s="97">
        <v>1</v>
      </c>
      <c r="W21" s="157"/>
      <c r="X21" s="68"/>
      <c r="Y21" s="68"/>
      <c r="Z21" s="64">
        <v>45474</v>
      </c>
      <c r="AA21" s="69">
        <v>0.1</v>
      </c>
      <c r="AB21" s="7">
        <f t="shared" ref="AB21:AB26" si="12">U21</f>
        <v>420000</v>
      </c>
      <c r="AC21" s="7">
        <f t="shared" ref="AC21:AC26" si="13">AB21*AA21</f>
        <v>42000</v>
      </c>
      <c r="AD21" s="65">
        <f t="shared" si="7"/>
        <v>462000</v>
      </c>
      <c r="AE21" s="99" t="s">
        <v>294</v>
      </c>
      <c r="AF21" s="125"/>
    </row>
    <row r="22" spans="1:32" ht="15" customHeight="1" outlineLevel="1" x14ac:dyDescent="0.3">
      <c r="A22" s="70" t="s">
        <v>366</v>
      </c>
      <c r="B22" s="3" t="s">
        <v>287</v>
      </c>
      <c r="C22" s="3" t="s">
        <v>288</v>
      </c>
      <c r="D22" s="160">
        <v>45475</v>
      </c>
      <c r="E22" s="3" t="s">
        <v>341</v>
      </c>
      <c r="F22" s="5" t="s">
        <v>342</v>
      </c>
      <c r="G22" s="5" t="s">
        <v>59</v>
      </c>
      <c r="H22" s="5" t="s">
        <v>105</v>
      </c>
      <c r="I22" s="3" t="s">
        <v>10</v>
      </c>
      <c r="J22" s="9" t="s">
        <v>343</v>
      </c>
      <c r="K22" s="9" t="s">
        <v>343</v>
      </c>
      <c r="L22" s="162" t="s">
        <v>292</v>
      </c>
      <c r="M22" s="4">
        <v>140</v>
      </c>
      <c r="N22" s="84">
        <v>4.9000000000000004</v>
      </c>
      <c r="O22" s="84">
        <f>M22*N22</f>
        <v>686</v>
      </c>
      <c r="P22" s="116" t="s">
        <v>326</v>
      </c>
      <c r="Q22" s="64"/>
      <c r="R22" s="116"/>
      <c r="T22" s="64"/>
      <c r="U22" s="65">
        <f t="shared" si="0"/>
        <v>941260.6</v>
      </c>
      <c r="V22" s="97">
        <v>1372.1</v>
      </c>
      <c r="W22" s="157"/>
      <c r="X22" s="68"/>
      <c r="Y22" s="68"/>
      <c r="Z22" s="64"/>
      <c r="AA22" s="69">
        <v>0.1</v>
      </c>
      <c r="AB22" s="7">
        <f t="shared" si="12"/>
        <v>941260.6</v>
      </c>
      <c r="AC22" s="7">
        <f t="shared" si="13"/>
        <v>94126.06</v>
      </c>
      <c r="AD22" s="65">
        <f t="shared" si="7"/>
        <v>1035386.6599999999</v>
      </c>
      <c r="AE22" s="99" t="s">
        <v>294</v>
      </c>
      <c r="AF22" s="125"/>
    </row>
    <row r="23" spans="1:32" ht="15" customHeight="1" outlineLevel="1" x14ac:dyDescent="0.3">
      <c r="A23" s="70" t="s">
        <v>367</v>
      </c>
      <c r="B23" s="3" t="s">
        <v>437</v>
      </c>
      <c r="C23" s="3" t="s">
        <v>438</v>
      </c>
      <c r="D23" s="160">
        <v>45475</v>
      </c>
      <c r="E23" s="3" t="s">
        <v>341</v>
      </c>
      <c r="F23" s="5" t="s">
        <v>436</v>
      </c>
      <c r="G23" s="5" t="s">
        <v>59</v>
      </c>
      <c r="H23" s="5" t="s">
        <v>105</v>
      </c>
      <c r="I23" s="3" t="s">
        <v>10</v>
      </c>
      <c r="J23" s="9" t="s">
        <v>439</v>
      </c>
      <c r="K23" s="9" t="s">
        <v>439</v>
      </c>
      <c r="L23" s="162" t="s">
        <v>443</v>
      </c>
      <c r="M23" s="4">
        <v>1</v>
      </c>
      <c r="N23" s="84">
        <v>150</v>
      </c>
      <c r="O23" s="84">
        <f>M23*N23</f>
        <v>150</v>
      </c>
      <c r="P23" s="116" t="s">
        <v>441</v>
      </c>
      <c r="Q23" s="64"/>
      <c r="R23" s="116"/>
      <c r="T23" s="64"/>
      <c r="U23" s="65">
        <f t="shared" si="0"/>
        <v>205815</v>
      </c>
      <c r="V23" s="97">
        <v>1372.1</v>
      </c>
      <c r="W23" s="157"/>
      <c r="X23" s="68"/>
      <c r="Y23" s="68"/>
      <c r="Z23" s="64"/>
      <c r="AA23" s="69">
        <v>0.1</v>
      </c>
      <c r="AB23" s="7">
        <f>U23</f>
        <v>205815</v>
      </c>
      <c r="AC23" s="7">
        <f>AB23*AA23</f>
        <v>20581.5</v>
      </c>
      <c r="AD23" s="65">
        <f t="shared" si="7"/>
        <v>226396.5</v>
      </c>
      <c r="AE23" s="99" t="s">
        <v>294</v>
      </c>
      <c r="AF23" s="125"/>
    </row>
    <row r="24" spans="1:32" ht="15" customHeight="1" outlineLevel="1" x14ac:dyDescent="0.3">
      <c r="A24" s="70" t="s">
        <v>368</v>
      </c>
      <c r="B24" s="3" t="s">
        <v>437</v>
      </c>
      <c r="C24" s="3" t="s">
        <v>438</v>
      </c>
      <c r="D24" s="160">
        <v>45475</v>
      </c>
      <c r="E24" s="3" t="s">
        <v>341</v>
      </c>
      <c r="F24" s="5" t="s">
        <v>436</v>
      </c>
      <c r="G24" s="5" t="s">
        <v>59</v>
      </c>
      <c r="H24" s="5" t="s">
        <v>105</v>
      </c>
      <c r="I24" s="3" t="s">
        <v>10</v>
      </c>
      <c r="J24" s="9" t="s">
        <v>440</v>
      </c>
      <c r="K24" s="9" t="s">
        <v>440</v>
      </c>
      <c r="L24" s="162" t="s">
        <v>443</v>
      </c>
      <c r="M24" s="4">
        <v>1</v>
      </c>
      <c r="N24" s="7">
        <v>124980</v>
      </c>
      <c r="O24" s="7">
        <f>M24*N24</f>
        <v>124980</v>
      </c>
      <c r="P24" s="116" t="s">
        <v>442</v>
      </c>
      <c r="Q24" s="64"/>
      <c r="R24" s="116"/>
      <c r="T24" s="64"/>
      <c r="U24" s="65">
        <f t="shared" si="0"/>
        <v>124980</v>
      </c>
      <c r="V24" s="97">
        <v>1</v>
      </c>
      <c r="W24" s="157"/>
      <c r="X24" s="68"/>
      <c r="Y24" s="68"/>
      <c r="Z24" s="64"/>
      <c r="AA24" s="69">
        <v>0.1</v>
      </c>
      <c r="AB24" s="7">
        <f>U24</f>
        <v>124980</v>
      </c>
      <c r="AC24" s="7">
        <f>AB24*AA24</f>
        <v>12498</v>
      </c>
      <c r="AD24" s="65">
        <f t="shared" si="7"/>
        <v>137478</v>
      </c>
      <c r="AE24" s="99" t="s">
        <v>294</v>
      </c>
      <c r="AF24" s="125"/>
    </row>
    <row r="25" spans="1:32" ht="15" customHeight="1" outlineLevel="1" x14ac:dyDescent="0.3">
      <c r="A25" s="70" t="s">
        <v>369</v>
      </c>
      <c r="B25" s="3" t="s">
        <v>287</v>
      </c>
      <c r="C25" s="3" t="s">
        <v>288</v>
      </c>
      <c r="D25" s="160">
        <v>45476</v>
      </c>
      <c r="E25" s="3" t="s">
        <v>345</v>
      </c>
      <c r="F25" s="5" t="s">
        <v>346</v>
      </c>
      <c r="G25" s="5" t="s">
        <v>59</v>
      </c>
      <c r="H25" s="5" t="s">
        <v>430</v>
      </c>
      <c r="I25" s="3" t="s">
        <v>10</v>
      </c>
      <c r="J25" s="9" t="s">
        <v>347</v>
      </c>
      <c r="K25" s="9" t="s">
        <v>347</v>
      </c>
      <c r="L25" s="162" t="s">
        <v>292</v>
      </c>
      <c r="M25" s="4">
        <v>1</v>
      </c>
      <c r="N25" s="7"/>
      <c r="O25" s="7">
        <v>1680000</v>
      </c>
      <c r="P25" s="116" t="s">
        <v>293</v>
      </c>
      <c r="Q25" s="64"/>
      <c r="R25" s="116"/>
      <c r="T25" s="64"/>
      <c r="U25" s="65">
        <f t="shared" si="0"/>
        <v>1680000</v>
      </c>
      <c r="V25" s="97">
        <v>1</v>
      </c>
      <c r="W25" s="157"/>
      <c r="X25" s="68"/>
      <c r="Y25" s="68"/>
      <c r="Z25" s="64"/>
      <c r="AA25" s="69">
        <v>0.1</v>
      </c>
      <c r="AB25" s="7">
        <f t="shared" si="12"/>
        <v>1680000</v>
      </c>
      <c r="AC25" s="7">
        <f t="shared" si="13"/>
        <v>168000</v>
      </c>
      <c r="AD25" s="65">
        <f t="shared" si="7"/>
        <v>1848000</v>
      </c>
      <c r="AE25" s="99" t="s">
        <v>294</v>
      </c>
      <c r="AF25" s="125"/>
    </row>
    <row r="26" spans="1:32" ht="15" customHeight="1" outlineLevel="1" x14ac:dyDescent="0.3">
      <c r="A26" s="70" t="s">
        <v>370</v>
      </c>
      <c r="B26" s="3" t="s">
        <v>287</v>
      </c>
      <c r="C26" s="3" t="s">
        <v>288</v>
      </c>
      <c r="D26" s="160">
        <v>45477</v>
      </c>
      <c r="E26" s="3" t="s">
        <v>333</v>
      </c>
      <c r="F26" s="5" t="s">
        <v>653</v>
      </c>
      <c r="G26" s="5" t="s">
        <v>59</v>
      </c>
      <c r="H26" s="5" t="s">
        <v>430</v>
      </c>
      <c r="I26" s="3" t="s">
        <v>10</v>
      </c>
      <c r="J26" s="9" t="s">
        <v>334</v>
      </c>
      <c r="K26" s="9" t="s">
        <v>348</v>
      </c>
      <c r="L26" s="162" t="s">
        <v>292</v>
      </c>
      <c r="M26" s="4">
        <v>1</v>
      </c>
      <c r="N26" s="7"/>
      <c r="O26" s="7">
        <v>1626700</v>
      </c>
      <c r="P26" s="116" t="s">
        <v>293</v>
      </c>
      <c r="Q26" s="64"/>
      <c r="R26" s="116"/>
      <c r="T26" s="64"/>
      <c r="U26" s="65">
        <f t="shared" si="0"/>
        <v>1626700</v>
      </c>
      <c r="V26" s="97">
        <v>1</v>
      </c>
      <c r="W26" s="157"/>
      <c r="X26" s="68"/>
      <c r="Y26" s="68"/>
      <c r="Z26" s="64">
        <v>45471</v>
      </c>
      <c r="AA26" s="69">
        <v>0.1</v>
      </c>
      <c r="AB26" s="7">
        <f t="shared" si="12"/>
        <v>1626700</v>
      </c>
      <c r="AC26" s="7">
        <f t="shared" si="13"/>
        <v>162670</v>
      </c>
      <c r="AD26" s="65">
        <f t="shared" si="7"/>
        <v>1789370</v>
      </c>
      <c r="AE26" s="99" t="s">
        <v>294</v>
      </c>
      <c r="AF26" s="125"/>
    </row>
    <row r="27" spans="1:32" ht="15" customHeight="1" outlineLevel="1" x14ac:dyDescent="0.3">
      <c r="A27" s="70" t="s">
        <v>371</v>
      </c>
      <c r="B27" s="3" t="s">
        <v>242</v>
      </c>
      <c r="C27" s="3" t="s">
        <v>7</v>
      </c>
      <c r="D27" s="160">
        <v>45495</v>
      </c>
      <c r="E27" s="3" t="s">
        <v>222</v>
      </c>
      <c r="F27" s="5" t="s">
        <v>72</v>
      </c>
      <c r="G27" s="5" t="s">
        <v>59</v>
      </c>
      <c r="H27" s="5" t="s">
        <v>70</v>
      </c>
      <c r="I27" s="3" t="s">
        <v>238</v>
      </c>
      <c r="J27" s="9" t="s">
        <v>259</v>
      </c>
      <c r="K27" s="9" t="s">
        <v>258</v>
      </c>
      <c r="L27" s="162" t="s">
        <v>215</v>
      </c>
      <c r="M27" s="4">
        <v>180</v>
      </c>
      <c r="N27" s="84">
        <v>27.5</v>
      </c>
      <c r="O27" s="84">
        <f>M27*N27</f>
        <v>4950</v>
      </c>
      <c r="P27" s="116" t="s">
        <v>351</v>
      </c>
      <c r="Q27" s="64">
        <v>45635</v>
      </c>
      <c r="R27" s="116" t="s">
        <v>73</v>
      </c>
      <c r="T27" s="64" t="s">
        <v>74</v>
      </c>
      <c r="U27" s="65">
        <f t="shared" si="0"/>
        <v>6637950</v>
      </c>
      <c r="V27" s="97">
        <v>1341</v>
      </c>
      <c r="W27" s="157" t="s">
        <v>252</v>
      </c>
      <c r="X27" s="68"/>
      <c r="Y27" s="68"/>
      <c r="Z27" s="64">
        <v>45545</v>
      </c>
      <c r="AA27" s="69">
        <v>0.1</v>
      </c>
      <c r="AB27" s="7">
        <f t="shared" si="8"/>
        <v>6637950</v>
      </c>
      <c r="AC27" s="7">
        <f t="shared" si="9"/>
        <v>663795</v>
      </c>
      <c r="AD27" s="65">
        <f t="shared" si="7"/>
        <v>7301745</v>
      </c>
      <c r="AE27" s="100" t="s">
        <v>349</v>
      </c>
      <c r="AF27" s="125" t="s">
        <v>75</v>
      </c>
    </row>
    <row r="28" spans="1:32" ht="15" customHeight="1" outlineLevel="1" x14ac:dyDescent="0.3">
      <c r="A28" s="70" t="s">
        <v>372</v>
      </c>
      <c r="B28" s="3" t="s">
        <v>6</v>
      </c>
      <c r="C28" s="3" t="s">
        <v>7</v>
      </c>
      <c r="D28" s="160">
        <v>45488</v>
      </c>
      <c r="E28" s="3" t="s">
        <v>237</v>
      </c>
      <c r="F28" s="5" t="s">
        <v>240</v>
      </c>
      <c r="G28" s="5" t="s">
        <v>240</v>
      </c>
      <c r="H28" s="5" t="s">
        <v>283</v>
      </c>
      <c r="I28" s="3" t="s">
        <v>238</v>
      </c>
      <c r="J28" s="9" t="s">
        <v>634</v>
      </c>
      <c r="K28" s="9" t="s">
        <v>617</v>
      </c>
      <c r="L28" s="162" t="s">
        <v>215</v>
      </c>
      <c r="M28" s="4">
        <v>1</v>
      </c>
      <c r="N28" s="7">
        <v>800000</v>
      </c>
      <c r="O28" s="7">
        <f t="shared" ref="O28:O32" si="14">M28*N28</f>
        <v>800000</v>
      </c>
      <c r="P28" s="116" t="s">
        <v>22</v>
      </c>
      <c r="Q28" s="64"/>
      <c r="R28" s="116"/>
      <c r="T28" s="64"/>
      <c r="U28" s="65">
        <f t="shared" si="0"/>
        <v>800000</v>
      </c>
      <c r="V28" s="97">
        <v>1</v>
      </c>
      <c r="W28" s="157"/>
      <c r="X28" s="68"/>
      <c r="Y28" s="68"/>
      <c r="Z28" s="64"/>
      <c r="AA28" s="69">
        <v>0.1</v>
      </c>
      <c r="AB28" s="7">
        <f t="shared" ref="AB28:AB32" si="15">U28</f>
        <v>800000</v>
      </c>
      <c r="AC28" s="7">
        <f t="shared" ref="AC28:AC32" si="16">AB28*AA28</f>
        <v>80000</v>
      </c>
      <c r="AD28" s="65">
        <f t="shared" ref="AD28:AD32" si="17">SUM(AB28:AC28)</f>
        <v>880000</v>
      </c>
      <c r="AE28" s="100" t="s">
        <v>463</v>
      </c>
      <c r="AF28" s="125"/>
    </row>
    <row r="29" spans="1:32" ht="15" customHeight="1" outlineLevel="1" x14ac:dyDescent="0.3">
      <c r="A29" s="70" t="s">
        <v>373</v>
      </c>
      <c r="B29" s="3" t="s">
        <v>6</v>
      </c>
      <c r="C29" s="3" t="s">
        <v>7</v>
      </c>
      <c r="D29" s="160">
        <v>45488</v>
      </c>
      <c r="E29" s="3" t="s">
        <v>237</v>
      </c>
      <c r="F29" s="5" t="s">
        <v>240</v>
      </c>
      <c r="G29" s="5" t="s">
        <v>240</v>
      </c>
      <c r="H29" s="5" t="s">
        <v>283</v>
      </c>
      <c r="I29" s="3" t="s">
        <v>238</v>
      </c>
      <c r="J29" s="9" t="s">
        <v>635</v>
      </c>
      <c r="K29" s="9" t="s">
        <v>618</v>
      </c>
      <c r="L29" s="162" t="s">
        <v>215</v>
      </c>
      <c r="M29" s="4">
        <v>100</v>
      </c>
      <c r="N29" s="7">
        <v>950</v>
      </c>
      <c r="O29" s="7">
        <f t="shared" si="14"/>
        <v>95000</v>
      </c>
      <c r="P29" s="116" t="s">
        <v>22</v>
      </c>
      <c r="Q29" s="64"/>
      <c r="R29" s="116"/>
      <c r="T29" s="64"/>
      <c r="U29" s="65">
        <f t="shared" si="0"/>
        <v>95000</v>
      </c>
      <c r="V29" s="97">
        <v>1</v>
      </c>
      <c r="W29" s="157"/>
      <c r="X29" s="68"/>
      <c r="Y29" s="68"/>
      <c r="Z29" s="64"/>
      <c r="AA29" s="69">
        <v>0.1</v>
      </c>
      <c r="AB29" s="7">
        <f t="shared" si="15"/>
        <v>95000</v>
      </c>
      <c r="AC29" s="7">
        <f t="shared" si="16"/>
        <v>9500</v>
      </c>
      <c r="AD29" s="65">
        <f t="shared" si="17"/>
        <v>104500</v>
      </c>
      <c r="AE29" s="100" t="s">
        <v>463</v>
      </c>
      <c r="AF29" s="125"/>
    </row>
    <row r="30" spans="1:32" ht="15" customHeight="1" outlineLevel="1" x14ac:dyDescent="0.3">
      <c r="A30" s="70" t="s">
        <v>374</v>
      </c>
      <c r="B30" s="3" t="s">
        <v>6</v>
      </c>
      <c r="C30" s="3" t="s">
        <v>7</v>
      </c>
      <c r="D30" s="160">
        <v>45488</v>
      </c>
      <c r="E30" s="3" t="s">
        <v>237</v>
      </c>
      <c r="F30" s="5" t="s">
        <v>240</v>
      </c>
      <c r="G30" s="5" t="s">
        <v>240</v>
      </c>
      <c r="H30" s="5" t="s">
        <v>283</v>
      </c>
      <c r="I30" s="3" t="s">
        <v>238</v>
      </c>
      <c r="J30" s="9" t="s">
        <v>635</v>
      </c>
      <c r="K30" s="9" t="s">
        <v>619</v>
      </c>
      <c r="L30" s="162" t="s">
        <v>215</v>
      </c>
      <c r="M30" s="4">
        <v>100</v>
      </c>
      <c r="N30" s="7">
        <v>550</v>
      </c>
      <c r="O30" s="7">
        <f t="shared" si="14"/>
        <v>55000</v>
      </c>
      <c r="P30" s="116" t="s">
        <v>22</v>
      </c>
      <c r="Q30" s="64"/>
      <c r="R30" s="116"/>
      <c r="T30" s="64"/>
      <c r="U30" s="65">
        <f t="shared" si="0"/>
        <v>55000</v>
      </c>
      <c r="V30" s="97">
        <v>1</v>
      </c>
      <c r="W30" s="157"/>
      <c r="X30" s="68"/>
      <c r="Y30" s="68"/>
      <c r="Z30" s="64"/>
      <c r="AA30" s="69">
        <v>0.1</v>
      </c>
      <c r="AB30" s="7">
        <f t="shared" si="15"/>
        <v>55000</v>
      </c>
      <c r="AC30" s="7">
        <f t="shared" si="16"/>
        <v>5500</v>
      </c>
      <c r="AD30" s="65">
        <f t="shared" si="17"/>
        <v>60500</v>
      </c>
      <c r="AE30" s="100" t="s">
        <v>463</v>
      </c>
      <c r="AF30" s="125"/>
    </row>
    <row r="31" spans="1:32" ht="15" customHeight="1" outlineLevel="1" x14ac:dyDescent="0.3">
      <c r="A31" s="70" t="s">
        <v>375</v>
      </c>
      <c r="B31" s="3" t="s">
        <v>6</v>
      </c>
      <c r="C31" s="3" t="s">
        <v>7</v>
      </c>
      <c r="D31" s="160">
        <v>45488</v>
      </c>
      <c r="E31" s="3" t="s">
        <v>237</v>
      </c>
      <c r="F31" s="5" t="s">
        <v>240</v>
      </c>
      <c r="G31" s="5" t="s">
        <v>240</v>
      </c>
      <c r="H31" s="5" t="s">
        <v>283</v>
      </c>
      <c r="I31" s="3" t="s">
        <v>238</v>
      </c>
      <c r="J31" s="9" t="s">
        <v>636</v>
      </c>
      <c r="K31" s="9" t="s">
        <v>620</v>
      </c>
      <c r="L31" s="162" t="s">
        <v>215</v>
      </c>
      <c r="M31" s="4">
        <v>50</v>
      </c>
      <c r="N31" s="7">
        <v>1500</v>
      </c>
      <c r="O31" s="7">
        <f t="shared" si="14"/>
        <v>75000</v>
      </c>
      <c r="P31" s="116" t="s">
        <v>22</v>
      </c>
      <c r="Q31" s="64"/>
      <c r="R31" s="116"/>
      <c r="T31" s="64"/>
      <c r="U31" s="65">
        <f t="shared" si="0"/>
        <v>75000</v>
      </c>
      <c r="V31" s="97">
        <v>1</v>
      </c>
      <c r="W31" s="157"/>
      <c r="X31" s="68"/>
      <c r="Y31" s="68"/>
      <c r="Z31" s="64"/>
      <c r="AA31" s="69">
        <v>0.1</v>
      </c>
      <c r="AB31" s="7">
        <f t="shared" si="15"/>
        <v>75000</v>
      </c>
      <c r="AC31" s="7">
        <f t="shared" si="16"/>
        <v>7500</v>
      </c>
      <c r="AD31" s="65">
        <f t="shared" si="17"/>
        <v>82500</v>
      </c>
      <c r="AE31" s="100" t="s">
        <v>463</v>
      </c>
      <c r="AF31" s="125"/>
    </row>
    <row r="32" spans="1:32" ht="15" customHeight="1" outlineLevel="1" x14ac:dyDescent="0.3">
      <c r="A32" s="70" t="s">
        <v>376</v>
      </c>
      <c r="B32" s="3" t="s">
        <v>6</v>
      </c>
      <c r="C32" s="3" t="s">
        <v>7</v>
      </c>
      <c r="D32" s="160">
        <v>45488</v>
      </c>
      <c r="E32" s="3" t="s">
        <v>237</v>
      </c>
      <c r="F32" s="5" t="s">
        <v>240</v>
      </c>
      <c r="G32" s="5" t="s">
        <v>240</v>
      </c>
      <c r="H32" s="5" t="s">
        <v>283</v>
      </c>
      <c r="I32" s="3" t="s">
        <v>238</v>
      </c>
      <c r="J32" s="9" t="s">
        <v>621</v>
      </c>
      <c r="K32" s="9" t="s">
        <v>621</v>
      </c>
      <c r="L32" s="162" t="s">
        <v>215</v>
      </c>
      <c r="M32" s="4">
        <v>1</v>
      </c>
      <c r="N32" s="7">
        <v>800000</v>
      </c>
      <c r="O32" s="7">
        <f t="shared" si="14"/>
        <v>800000</v>
      </c>
      <c r="P32" s="116" t="s">
        <v>22</v>
      </c>
      <c r="Q32" s="64"/>
      <c r="R32" s="116"/>
      <c r="T32" s="64"/>
      <c r="U32" s="65">
        <f t="shared" si="0"/>
        <v>800000</v>
      </c>
      <c r="V32" s="97">
        <v>1</v>
      </c>
      <c r="W32" s="157"/>
      <c r="X32" s="68"/>
      <c r="Y32" s="68"/>
      <c r="Z32" s="64"/>
      <c r="AA32" s="69">
        <v>0.1</v>
      </c>
      <c r="AB32" s="7">
        <f t="shared" si="15"/>
        <v>800000</v>
      </c>
      <c r="AC32" s="7">
        <f t="shared" si="16"/>
        <v>80000</v>
      </c>
      <c r="AD32" s="65">
        <f t="shared" si="17"/>
        <v>880000</v>
      </c>
      <c r="AE32" s="100" t="s">
        <v>463</v>
      </c>
      <c r="AF32" s="125"/>
    </row>
    <row r="33" spans="1:32" ht="15" customHeight="1" outlineLevel="1" x14ac:dyDescent="0.3">
      <c r="A33" s="70" t="s">
        <v>377</v>
      </c>
      <c r="B33" s="3" t="s">
        <v>453</v>
      </c>
      <c r="C33" s="3" t="s">
        <v>7</v>
      </c>
      <c r="D33" s="160">
        <v>45496</v>
      </c>
      <c r="E33" s="3" t="s">
        <v>461</v>
      </c>
      <c r="F33" s="5" t="s">
        <v>462</v>
      </c>
      <c r="G33" s="5" t="s">
        <v>240</v>
      </c>
      <c r="H33" s="5" t="s">
        <v>283</v>
      </c>
      <c r="I33" s="3" t="s">
        <v>238</v>
      </c>
      <c r="J33" s="9" t="s">
        <v>466</v>
      </c>
      <c r="K33" s="9" t="s">
        <v>464</v>
      </c>
      <c r="L33" s="162" t="s">
        <v>215</v>
      </c>
      <c r="M33" s="4">
        <v>1</v>
      </c>
      <c r="N33" s="7">
        <v>1500000</v>
      </c>
      <c r="O33" s="7">
        <f>M33*N33</f>
        <v>1500000</v>
      </c>
      <c r="P33" s="116" t="s">
        <v>458</v>
      </c>
      <c r="Q33" s="64"/>
      <c r="R33" s="116"/>
      <c r="T33" s="64"/>
      <c r="U33" s="65">
        <f t="shared" si="0"/>
        <v>1500000</v>
      </c>
      <c r="V33" s="97">
        <v>1</v>
      </c>
      <c r="W33" s="157" t="s">
        <v>467</v>
      </c>
      <c r="X33" s="68"/>
      <c r="Y33" s="68"/>
      <c r="Z33" s="64"/>
      <c r="AA33" s="69">
        <v>0.1</v>
      </c>
      <c r="AB33" s="7">
        <f t="shared" ref="AB33:AB34" si="18">U33</f>
        <v>1500000</v>
      </c>
      <c r="AC33" s="7">
        <f t="shared" ref="AC33:AC34" si="19">AB33*AA33</f>
        <v>150000</v>
      </c>
      <c r="AD33" s="65">
        <f t="shared" si="7"/>
        <v>1650000</v>
      </c>
      <c r="AE33" s="100" t="s">
        <v>463</v>
      </c>
      <c r="AF33" s="125"/>
    </row>
    <row r="34" spans="1:32" ht="15" customHeight="1" outlineLevel="1" x14ac:dyDescent="0.3">
      <c r="A34" s="70" t="s">
        <v>378</v>
      </c>
      <c r="B34" s="3" t="s">
        <v>453</v>
      </c>
      <c r="C34" s="3" t="s">
        <v>7</v>
      </c>
      <c r="D34" s="160">
        <v>45496</v>
      </c>
      <c r="E34" s="3" t="s">
        <v>461</v>
      </c>
      <c r="F34" s="5" t="s">
        <v>462</v>
      </c>
      <c r="G34" s="5" t="s">
        <v>240</v>
      </c>
      <c r="H34" s="5" t="s">
        <v>283</v>
      </c>
      <c r="I34" s="3" t="s">
        <v>238</v>
      </c>
      <c r="J34" s="9" t="s">
        <v>269</v>
      </c>
      <c r="K34" s="9" t="s">
        <v>465</v>
      </c>
      <c r="L34" s="162" t="s">
        <v>215</v>
      </c>
      <c r="M34" s="4">
        <v>100</v>
      </c>
      <c r="N34" s="7">
        <v>1800</v>
      </c>
      <c r="O34" s="7">
        <f>M34*N34</f>
        <v>180000</v>
      </c>
      <c r="P34" s="116" t="s">
        <v>458</v>
      </c>
      <c r="Q34" s="64"/>
      <c r="R34" s="116"/>
      <c r="T34" s="64"/>
      <c r="U34" s="65">
        <f t="shared" si="0"/>
        <v>180000</v>
      </c>
      <c r="V34" s="97">
        <v>1</v>
      </c>
      <c r="W34" s="157" t="s">
        <v>467</v>
      </c>
      <c r="X34" s="68"/>
      <c r="Y34" s="68"/>
      <c r="Z34" s="64"/>
      <c r="AA34" s="69">
        <v>0.1</v>
      </c>
      <c r="AB34" s="7">
        <f t="shared" si="18"/>
        <v>180000</v>
      </c>
      <c r="AC34" s="7">
        <f t="shared" si="19"/>
        <v>18000</v>
      </c>
      <c r="AD34" s="65">
        <f t="shared" si="7"/>
        <v>198000</v>
      </c>
      <c r="AE34" s="100" t="s">
        <v>463</v>
      </c>
      <c r="AF34" s="125"/>
    </row>
    <row r="35" spans="1:32" ht="15" customHeight="1" outlineLevel="1" x14ac:dyDescent="0.3">
      <c r="A35" s="70" t="s">
        <v>379</v>
      </c>
      <c r="B35" s="3" t="s">
        <v>242</v>
      </c>
      <c r="C35" s="3" t="s">
        <v>42</v>
      </c>
      <c r="D35" s="160">
        <v>45525</v>
      </c>
      <c r="E35" s="3" t="s">
        <v>76</v>
      </c>
      <c r="F35" s="5" t="s">
        <v>77</v>
      </c>
      <c r="G35" s="5" t="s">
        <v>59</v>
      </c>
      <c r="H35" s="5" t="s">
        <v>9</v>
      </c>
      <c r="I35" s="3" t="s">
        <v>238</v>
      </c>
      <c r="J35" s="9" t="s">
        <v>261</v>
      </c>
      <c r="K35" s="9" t="s">
        <v>260</v>
      </c>
      <c r="L35" s="162" t="s">
        <v>215</v>
      </c>
      <c r="M35" s="4">
        <v>1</v>
      </c>
      <c r="N35" s="7"/>
      <c r="O35" s="7">
        <v>788000</v>
      </c>
      <c r="P35" s="116" t="s">
        <v>216</v>
      </c>
      <c r="Q35" s="64">
        <v>45553</v>
      </c>
      <c r="R35" s="116" t="s">
        <v>78</v>
      </c>
      <c r="S35" s="2" t="s">
        <v>491</v>
      </c>
      <c r="T35" s="64">
        <v>45539</v>
      </c>
      <c r="U35" s="65">
        <f t="shared" si="0"/>
        <v>788000</v>
      </c>
      <c r="V35" s="97">
        <v>1</v>
      </c>
      <c r="W35" s="157" t="s">
        <v>79</v>
      </c>
      <c r="X35" s="68"/>
      <c r="Y35" s="68">
        <v>45539</v>
      </c>
      <c r="Z35" s="64">
        <v>45569</v>
      </c>
      <c r="AA35" s="69">
        <v>0.1</v>
      </c>
      <c r="AB35" s="7">
        <f t="shared" si="8"/>
        <v>788000</v>
      </c>
      <c r="AC35" s="7">
        <f t="shared" si="9"/>
        <v>78800</v>
      </c>
      <c r="AD35" s="65">
        <f t="shared" si="7"/>
        <v>866800</v>
      </c>
      <c r="AE35" s="99"/>
      <c r="AF35" s="125" t="s">
        <v>80</v>
      </c>
    </row>
    <row r="36" spans="1:32" ht="15" customHeight="1" outlineLevel="1" x14ac:dyDescent="0.3">
      <c r="A36" s="70" t="s">
        <v>380</v>
      </c>
      <c r="B36" s="3" t="s">
        <v>242</v>
      </c>
      <c r="C36" s="3" t="s">
        <v>7</v>
      </c>
      <c r="D36" s="160">
        <v>45532</v>
      </c>
      <c r="E36" s="3" t="s">
        <v>81</v>
      </c>
      <c r="F36" s="5" t="s">
        <v>82</v>
      </c>
      <c r="G36" s="5" t="s">
        <v>59</v>
      </c>
      <c r="H36" s="5" t="s">
        <v>9</v>
      </c>
      <c r="I36" s="3" t="s">
        <v>238</v>
      </c>
      <c r="J36" s="9" t="s">
        <v>563</v>
      </c>
      <c r="K36" s="9" t="s">
        <v>563</v>
      </c>
      <c r="L36" s="162" t="s">
        <v>215</v>
      </c>
      <c r="M36" s="4">
        <v>1</v>
      </c>
      <c r="N36" s="7"/>
      <c r="O36" s="7">
        <v>982500</v>
      </c>
      <c r="P36" s="116" t="s">
        <v>216</v>
      </c>
      <c r="Q36" s="64">
        <v>45542</v>
      </c>
      <c r="R36" s="116" t="s">
        <v>83</v>
      </c>
      <c r="S36" s="2" t="s">
        <v>491</v>
      </c>
      <c r="T36" s="64">
        <v>45532</v>
      </c>
      <c r="U36" s="65">
        <f t="shared" si="0"/>
        <v>982500</v>
      </c>
      <c r="V36" s="97">
        <v>1</v>
      </c>
      <c r="W36" s="157" t="s">
        <v>84</v>
      </c>
      <c r="X36" s="68"/>
      <c r="Y36" s="68">
        <v>45532</v>
      </c>
      <c r="Z36" s="64">
        <v>45545</v>
      </c>
      <c r="AA36" s="69">
        <v>0.1</v>
      </c>
      <c r="AB36" s="7">
        <f t="shared" si="8"/>
        <v>982500</v>
      </c>
      <c r="AC36" s="7">
        <f t="shared" si="9"/>
        <v>98250</v>
      </c>
      <c r="AD36" s="65">
        <f t="shared" si="7"/>
        <v>1080750</v>
      </c>
      <c r="AE36" s="99"/>
      <c r="AF36" s="125" t="s">
        <v>85</v>
      </c>
    </row>
    <row r="37" spans="1:32" ht="15" customHeight="1" outlineLevel="1" x14ac:dyDescent="0.3">
      <c r="A37" s="70" t="s">
        <v>381</v>
      </c>
      <c r="B37" s="3" t="s">
        <v>242</v>
      </c>
      <c r="C37" s="3" t="s">
        <v>23</v>
      </c>
      <c r="D37" s="160">
        <v>45541</v>
      </c>
      <c r="E37" s="3" t="s">
        <v>220</v>
      </c>
      <c r="F37" s="5" t="s">
        <v>86</v>
      </c>
      <c r="G37" s="5" t="s">
        <v>59</v>
      </c>
      <c r="H37" s="5" t="s">
        <v>9</v>
      </c>
      <c r="I37" s="3" t="s">
        <v>238</v>
      </c>
      <c r="J37" s="9" t="s">
        <v>257</v>
      </c>
      <c r="K37" s="9" t="s">
        <v>87</v>
      </c>
      <c r="L37" s="162" t="s">
        <v>215</v>
      </c>
      <c r="M37" s="4">
        <v>1</v>
      </c>
      <c r="N37" s="7"/>
      <c r="O37" s="7">
        <v>8274400</v>
      </c>
      <c r="P37" s="116" t="s">
        <v>216</v>
      </c>
      <c r="Q37" s="64">
        <v>45681</v>
      </c>
      <c r="R37" s="116" t="s">
        <v>73</v>
      </c>
      <c r="S37" s="2" t="s">
        <v>491</v>
      </c>
      <c r="T37" s="64">
        <v>45534</v>
      </c>
      <c r="U37" s="65">
        <f t="shared" si="0"/>
        <v>8274400</v>
      </c>
      <c r="V37" s="97">
        <v>1</v>
      </c>
      <c r="W37" s="157" t="s">
        <v>88</v>
      </c>
      <c r="X37" s="68"/>
      <c r="Y37" s="68">
        <v>45535</v>
      </c>
      <c r="Z37" s="64">
        <v>45545</v>
      </c>
      <c r="AA37" s="69">
        <v>0.1</v>
      </c>
      <c r="AB37" s="7">
        <f t="shared" si="8"/>
        <v>8274400</v>
      </c>
      <c r="AC37" s="7">
        <f t="shared" si="9"/>
        <v>827440</v>
      </c>
      <c r="AD37" s="65">
        <f t="shared" si="7"/>
        <v>9101840</v>
      </c>
      <c r="AE37" s="99"/>
      <c r="AF37" s="125" t="s">
        <v>89</v>
      </c>
    </row>
    <row r="38" spans="1:32" ht="15" customHeight="1" outlineLevel="1" x14ac:dyDescent="0.3">
      <c r="A38" s="70" t="s">
        <v>382</v>
      </c>
      <c r="B38" s="3" t="s">
        <v>242</v>
      </c>
      <c r="C38" s="3" t="s">
        <v>23</v>
      </c>
      <c r="D38" s="160">
        <v>45544</v>
      </c>
      <c r="E38" s="3" t="s">
        <v>218</v>
      </c>
      <c r="F38" s="5" t="s">
        <v>90</v>
      </c>
      <c r="G38" s="5" t="s">
        <v>59</v>
      </c>
      <c r="H38" s="5" t="s">
        <v>9</v>
      </c>
      <c r="I38" s="3" t="s">
        <v>238</v>
      </c>
      <c r="J38" s="9" t="s">
        <v>528</v>
      </c>
      <c r="K38" s="9" t="s">
        <v>525</v>
      </c>
      <c r="L38" s="162" t="s">
        <v>215</v>
      </c>
      <c r="M38" s="4">
        <v>1</v>
      </c>
      <c r="N38" s="7"/>
      <c r="O38" s="7">
        <v>9015600</v>
      </c>
      <c r="P38" s="116" t="s">
        <v>216</v>
      </c>
      <c r="Q38" s="64">
        <v>45684</v>
      </c>
      <c r="R38" s="116" t="s">
        <v>73</v>
      </c>
      <c r="S38" s="8" t="s">
        <v>491</v>
      </c>
      <c r="T38" s="64">
        <v>45427</v>
      </c>
      <c r="U38" s="65">
        <f t="shared" si="0"/>
        <v>9015600</v>
      </c>
      <c r="V38" s="97">
        <v>1</v>
      </c>
      <c r="W38" s="157" t="s">
        <v>249</v>
      </c>
      <c r="X38" s="68"/>
      <c r="Y38" s="68" t="s">
        <v>484</v>
      </c>
      <c r="Z38" s="64">
        <v>45440</v>
      </c>
      <c r="AA38" s="69">
        <v>0.1</v>
      </c>
      <c r="AB38" s="7">
        <f t="shared" si="8"/>
        <v>9015600</v>
      </c>
      <c r="AC38" s="7">
        <f t="shared" si="9"/>
        <v>901560</v>
      </c>
      <c r="AD38" s="65">
        <f t="shared" si="7"/>
        <v>9917160</v>
      </c>
      <c r="AE38" s="99"/>
      <c r="AF38" s="125" t="s">
        <v>91</v>
      </c>
    </row>
    <row r="39" spans="1:32" ht="15" customHeight="1" outlineLevel="1" x14ac:dyDescent="0.3">
      <c r="A39" s="70" t="s">
        <v>383</v>
      </c>
      <c r="B39" s="3" t="s">
        <v>242</v>
      </c>
      <c r="C39" s="3" t="s">
        <v>23</v>
      </c>
      <c r="D39" s="160">
        <v>45544</v>
      </c>
      <c r="E39" s="3" t="s">
        <v>218</v>
      </c>
      <c r="F39" s="5" t="s">
        <v>90</v>
      </c>
      <c r="G39" s="5" t="s">
        <v>59</v>
      </c>
      <c r="H39" s="5" t="s">
        <v>9</v>
      </c>
      <c r="I39" s="3" t="s">
        <v>238</v>
      </c>
      <c r="J39" s="9" t="s">
        <v>528</v>
      </c>
      <c r="K39" s="9" t="s">
        <v>526</v>
      </c>
      <c r="L39" s="162" t="s">
        <v>215</v>
      </c>
      <c r="M39" s="4">
        <v>1</v>
      </c>
      <c r="N39" s="7"/>
      <c r="O39" s="7">
        <v>12020800</v>
      </c>
      <c r="P39" s="116" t="s">
        <v>216</v>
      </c>
      <c r="Q39" s="64">
        <v>45684</v>
      </c>
      <c r="R39" s="116" t="s">
        <v>73</v>
      </c>
      <c r="S39" s="2" t="s">
        <v>491</v>
      </c>
      <c r="T39" s="64">
        <v>45516</v>
      </c>
      <c r="U39" s="65">
        <f t="shared" si="0"/>
        <v>12020800</v>
      </c>
      <c r="V39" s="98">
        <v>1</v>
      </c>
      <c r="W39" s="157" t="s">
        <v>250</v>
      </c>
      <c r="X39" s="68"/>
      <c r="Y39" s="68">
        <v>45534</v>
      </c>
      <c r="Z39" s="64">
        <v>45548</v>
      </c>
      <c r="AA39" s="69">
        <v>0.1</v>
      </c>
      <c r="AB39" s="7">
        <f t="shared" si="8"/>
        <v>12020800</v>
      </c>
      <c r="AC39" s="7">
        <f t="shared" si="9"/>
        <v>1202080</v>
      </c>
      <c r="AD39" s="65">
        <f t="shared" si="7"/>
        <v>13222880</v>
      </c>
      <c r="AE39" s="99"/>
      <c r="AF39" s="125" t="s">
        <v>91</v>
      </c>
    </row>
    <row r="40" spans="1:32" ht="15" customHeight="1" outlineLevel="1" x14ac:dyDescent="0.3">
      <c r="A40" s="70" t="s">
        <v>384</v>
      </c>
      <c r="B40" s="3" t="s">
        <v>242</v>
      </c>
      <c r="C40" s="3" t="s">
        <v>23</v>
      </c>
      <c r="D40" s="160">
        <v>45544</v>
      </c>
      <c r="E40" s="3" t="s">
        <v>218</v>
      </c>
      <c r="F40" s="5" t="s">
        <v>90</v>
      </c>
      <c r="G40" s="5" t="s">
        <v>59</v>
      </c>
      <c r="H40" s="5" t="s">
        <v>9</v>
      </c>
      <c r="I40" s="3" t="s">
        <v>238</v>
      </c>
      <c r="J40" s="9" t="s">
        <v>528</v>
      </c>
      <c r="K40" s="9" t="s">
        <v>527</v>
      </c>
      <c r="L40" s="162" t="s">
        <v>215</v>
      </c>
      <c r="M40" s="4">
        <v>1</v>
      </c>
      <c r="N40" s="7"/>
      <c r="O40" s="7">
        <v>9015600</v>
      </c>
      <c r="P40" s="116" t="s">
        <v>216</v>
      </c>
      <c r="Q40" s="64">
        <v>45684</v>
      </c>
      <c r="R40" s="116" t="s">
        <v>73</v>
      </c>
      <c r="S40" s="2" t="s">
        <v>491</v>
      </c>
      <c r="T40" s="64">
        <v>45585</v>
      </c>
      <c r="U40" s="65">
        <f t="shared" si="0"/>
        <v>9015600</v>
      </c>
      <c r="V40" s="98">
        <v>1</v>
      </c>
      <c r="W40" s="157" t="s">
        <v>251</v>
      </c>
      <c r="X40" s="68"/>
      <c r="Y40" s="68">
        <v>45596</v>
      </c>
      <c r="Z40" s="64">
        <v>45604</v>
      </c>
      <c r="AA40" s="69">
        <v>0.1</v>
      </c>
      <c r="AB40" s="7">
        <f t="shared" si="8"/>
        <v>9015600</v>
      </c>
      <c r="AC40" s="7">
        <f t="shared" si="9"/>
        <v>901560</v>
      </c>
      <c r="AD40" s="65">
        <f t="shared" si="7"/>
        <v>9917160</v>
      </c>
      <c r="AE40" s="99"/>
      <c r="AF40" s="125" t="s">
        <v>91</v>
      </c>
    </row>
    <row r="41" spans="1:32" ht="15" customHeight="1" outlineLevel="1" x14ac:dyDescent="0.3">
      <c r="A41" s="70" t="s">
        <v>385</v>
      </c>
      <c r="B41" s="3" t="s">
        <v>242</v>
      </c>
      <c r="C41" s="3" t="s">
        <v>7</v>
      </c>
      <c r="D41" s="160">
        <v>45544</v>
      </c>
      <c r="E41" s="3" t="s">
        <v>92</v>
      </c>
      <c r="F41" s="5" t="s">
        <v>93</v>
      </c>
      <c r="G41" s="5" t="s">
        <v>59</v>
      </c>
      <c r="H41" s="5" t="s">
        <v>9</v>
      </c>
      <c r="I41" s="3" t="s">
        <v>238</v>
      </c>
      <c r="J41" s="9" t="s">
        <v>94</v>
      </c>
      <c r="K41" s="9" t="s">
        <v>94</v>
      </c>
      <c r="L41" s="162" t="s">
        <v>215</v>
      </c>
      <c r="M41" s="4">
        <v>320</v>
      </c>
      <c r="N41" s="7"/>
      <c r="O41" s="7">
        <v>4680000</v>
      </c>
      <c r="P41" s="116" t="s">
        <v>216</v>
      </c>
      <c r="Q41" s="64">
        <v>45572</v>
      </c>
      <c r="R41" s="116" t="s">
        <v>78</v>
      </c>
      <c r="S41" s="2" t="s">
        <v>491</v>
      </c>
      <c r="T41" s="64">
        <v>45556</v>
      </c>
      <c r="U41" s="65">
        <f t="shared" ref="U41:U72" si="20">O41*V41</f>
        <v>4680000</v>
      </c>
      <c r="V41" s="98">
        <v>1</v>
      </c>
      <c r="W41" s="157" t="s">
        <v>79</v>
      </c>
      <c r="X41" s="68"/>
      <c r="Y41" s="68">
        <v>45556</v>
      </c>
      <c r="Z41" s="64">
        <v>45569</v>
      </c>
      <c r="AA41" s="69">
        <v>0.1</v>
      </c>
      <c r="AB41" s="7">
        <f t="shared" si="8"/>
        <v>4680000</v>
      </c>
      <c r="AC41" s="7">
        <f t="shared" si="9"/>
        <v>468000</v>
      </c>
      <c r="AD41" s="65">
        <f t="shared" si="7"/>
        <v>5148000</v>
      </c>
      <c r="AE41" s="99"/>
      <c r="AF41" s="125" t="s">
        <v>95</v>
      </c>
    </row>
    <row r="42" spans="1:32" ht="15" customHeight="1" outlineLevel="1" x14ac:dyDescent="0.3">
      <c r="A42" s="70" t="s">
        <v>386</v>
      </c>
      <c r="B42" s="3" t="s">
        <v>242</v>
      </c>
      <c r="C42" s="3" t="s">
        <v>7</v>
      </c>
      <c r="D42" s="160">
        <v>45548</v>
      </c>
      <c r="E42" s="3" t="s">
        <v>76</v>
      </c>
      <c r="F42" s="5" t="s">
        <v>96</v>
      </c>
      <c r="G42" s="5" t="s">
        <v>97</v>
      </c>
      <c r="H42" s="5" t="s">
        <v>98</v>
      </c>
      <c r="I42" s="3" t="s">
        <v>239</v>
      </c>
      <c r="J42" s="9" t="s">
        <v>262</v>
      </c>
      <c r="K42" s="9" t="s">
        <v>99</v>
      </c>
      <c r="L42" s="162" t="s">
        <v>215</v>
      </c>
      <c r="M42" s="4">
        <v>2</v>
      </c>
      <c r="N42" s="7"/>
      <c r="O42" s="7">
        <v>1446000</v>
      </c>
      <c r="P42" s="116" t="s">
        <v>216</v>
      </c>
      <c r="Q42" s="64">
        <v>45576</v>
      </c>
      <c r="R42" s="116" t="s">
        <v>78</v>
      </c>
      <c r="S42" s="2" t="s">
        <v>491</v>
      </c>
      <c r="T42" s="64">
        <v>45559</v>
      </c>
      <c r="U42" s="65">
        <f t="shared" si="20"/>
        <v>1446000</v>
      </c>
      <c r="V42" s="98">
        <v>1</v>
      </c>
      <c r="W42" s="157" t="s">
        <v>79</v>
      </c>
      <c r="X42" s="68"/>
      <c r="Y42" s="68">
        <v>45562</v>
      </c>
      <c r="Z42" s="64">
        <v>45582</v>
      </c>
      <c r="AA42" s="69">
        <v>0.1</v>
      </c>
      <c r="AB42" s="7">
        <f t="shared" si="8"/>
        <v>1446000</v>
      </c>
      <c r="AC42" s="7">
        <f t="shared" si="9"/>
        <v>144600</v>
      </c>
      <c r="AD42" s="65">
        <f t="shared" si="7"/>
        <v>1590600</v>
      </c>
      <c r="AE42" s="99"/>
      <c r="AF42" s="125" t="s">
        <v>100</v>
      </c>
    </row>
    <row r="43" spans="1:32" ht="15" customHeight="1" outlineLevel="1" x14ac:dyDescent="0.3">
      <c r="A43" s="70" t="s">
        <v>387</v>
      </c>
      <c r="B43" s="3" t="s">
        <v>244</v>
      </c>
      <c r="C43" s="3" t="s">
        <v>244</v>
      </c>
      <c r="D43" s="160">
        <v>45549</v>
      </c>
      <c r="E43" s="3" t="s">
        <v>101</v>
      </c>
      <c r="F43" s="5" t="s">
        <v>102</v>
      </c>
      <c r="G43" s="5" t="s">
        <v>240</v>
      </c>
      <c r="H43" s="5" t="s">
        <v>283</v>
      </c>
      <c r="I43" s="3" t="s">
        <v>240</v>
      </c>
      <c r="J43" s="9" t="s">
        <v>243</v>
      </c>
      <c r="K43" s="9" t="s">
        <v>255</v>
      </c>
      <c r="L43" s="162" t="s">
        <v>215</v>
      </c>
      <c r="M43" s="4">
        <v>1</v>
      </c>
      <c r="N43" s="7"/>
      <c r="O43" s="7">
        <v>2772000</v>
      </c>
      <c r="P43" s="116" t="s">
        <v>216</v>
      </c>
      <c r="Q43" s="64">
        <v>45577</v>
      </c>
      <c r="R43" s="116" t="s">
        <v>78</v>
      </c>
      <c r="T43" s="64" t="s">
        <v>74</v>
      </c>
      <c r="U43" s="65">
        <f t="shared" si="20"/>
        <v>2772000</v>
      </c>
      <c r="V43" s="98">
        <v>1</v>
      </c>
      <c r="W43" s="157" t="s">
        <v>253</v>
      </c>
      <c r="X43" s="68"/>
      <c r="Y43" s="68">
        <v>45549</v>
      </c>
      <c r="Z43" s="64">
        <v>45549</v>
      </c>
      <c r="AA43" s="69">
        <v>0.1</v>
      </c>
      <c r="AB43" s="7">
        <f t="shared" si="8"/>
        <v>2772000</v>
      </c>
      <c r="AC43" s="7">
        <f t="shared" si="9"/>
        <v>277200</v>
      </c>
      <c r="AD43" s="65">
        <f t="shared" si="7"/>
        <v>3049200</v>
      </c>
      <c r="AE43" s="99"/>
      <c r="AF43" s="125" t="s">
        <v>103</v>
      </c>
    </row>
    <row r="44" spans="1:32" ht="15" customHeight="1" outlineLevel="1" x14ac:dyDescent="0.3">
      <c r="A44" s="70" t="s">
        <v>388</v>
      </c>
      <c r="B44" s="3" t="s">
        <v>244</v>
      </c>
      <c r="C44" s="3" t="s">
        <v>244</v>
      </c>
      <c r="D44" s="160">
        <v>45549</v>
      </c>
      <c r="E44" s="3" t="s">
        <v>101</v>
      </c>
      <c r="F44" s="5" t="s">
        <v>102</v>
      </c>
      <c r="G44" s="5" t="s">
        <v>240</v>
      </c>
      <c r="H44" s="5" t="s">
        <v>283</v>
      </c>
      <c r="I44" s="3" t="s">
        <v>240</v>
      </c>
      <c r="J44" s="9" t="s">
        <v>243</v>
      </c>
      <c r="K44" s="9" t="s">
        <v>256</v>
      </c>
      <c r="L44" s="162" t="s">
        <v>215</v>
      </c>
      <c r="M44" s="4">
        <v>1</v>
      </c>
      <c r="N44" s="7"/>
      <c r="O44" s="7">
        <v>2772000</v>
      </c>
      <c r="P44" s="116" t="s">
        <v>216</v>
      </c>
      <c r="Q44" s="64">
        <v>45577</v>
      </c>
      <c r="R44" s="116" t="s">
        <v>78</v>
      </c>
      <c r="T44" s="64" t="s">
        <v>74</v>
      </c>
      <c r="U44" s="65">
        <f t="shared" si="20"/>
        <v>2772000</v>
      </c>
      <c r="V44" s="98">
        <v>1</v>
      </c>
      <c r="W44" s="157" t="s">
        <v>254</v>
      </c>
      <c r="X44" s="68"/>
      <c r="Y44" s="68">
        <v>45581</v>
      </c>
      <c r="Z44" s="64">
        <v>45582</v>
      </c>
      <c r="AA44" s="69">
        <v>0.1</v>
      </c>
      <c r="AB44" s="7">
        <f t="shared" si="8"/>
        <v>2772000</v>
      </c>
      <c r="AC44" s="7">
        <f t="shared" si="9"/>
        <v>277200</v>
      </c>
      <c r="AD44" s="65">
        <f t="shared" si="7"/>
        <v>3049200</v>
      </c>
      <c r="AE44" s="99"/>
      <c r="AF44" s="125" t="s">
        <v>103</v>
      </c>
    </row>
    <row r="45" spans="1:32" ht="15" customHeight="1" outlineLevel="1" x14ac:dyDescent="0.3">
      <c r="A45" s="70" t="s">
        <v>389</v>
      </c>
      <c r="B45" s="3" t="s">
        <v>242</v>
      </c>
      <c r="C45" s="3" t="s">
        <v>7</v>
      </c>
      <c r="D45" s="160">
        <v>45558</v>
      </c>
      <c r="E45" s="3" t="s">
        <v>81</v>
      </c>
      <c r="F45" s="5" t="s">
        <v>104</v>
      </c>
      <c r="G45" s="5" t="s">
        <v>59</v>
      </c>
      <c r="H45" s="5" t="s">
        <v>105</v>
      </c>
      <c r="I45" s="3" t="s">
        <v>10</v>
      </c>
      <c r="J45" s="9" t="s">
        <v>503</v>
      </c>
      <c r="K45" s="9" t="s">
        <v>498</v>
      </c>
      <c r="L45" s="162" t="s">
        <v>215</v>
      </c>
      <c r="M45" s="4">
        <v>1</v>
      </c>
      <c r="N45" s="7"/>
      <c r="O45" s="7">
        <v>15905345</v>
      </c>
      <c r="P45" s="116" t="s">
        <v>216</v>
      </c>
      <c r="Q45" s="64">
        <v>45568</v>
      </c>
      <c r="R45" s="116" t="s">
        <v>83</v>
      </c>
      <c r="S45" s="2" t="s">
        <v>491</v>
      </c>
      <c r="T45" s="64">
        <v>45560</v>
      </c>
      <c r="U45" s="65">
        <f t="shared" si="20"/>
        <v>15905345</v>
      </c>
      <c r="V45" s="98">
        <v>1</v>
      </c>
      <c r="W45" s="157" t="s">
        <v>84</v>
      </c>
      <c r="X45" s="68"/>
      <c r="Y45" s="68">
        <v>45565</v>
      </c>
      <c r="Z45" s="64">
        <v>45569</v>
      </c>
      <c r="AA45" s="69">
        <v>0.1</v>
      </c>
      <c r="AB45" s="7">
        <f t="shared" si="8"/>
        <v>15905345</v>
      </c>
      <c r="AC45" s="7">
        <f t="shared" si="9"/>
        <v>1590534.5</v>
      </c>
      <c r="AD45" s="65">
        <f t="shared" si="7"/>
        <v>17495879.5</v>
      </c>
      <c r="AE45" s="99"/>
      <c r="AF45" s="125" t="s">
        <v>107</v>
      </c>
    </row>
    <row r="46" spans="1:32" ht="15" customHeight="1" outlineLevel="1" x14ac:dyDescent="0.3">
      <c r="A46" s="70" t="s">
        <v>390</v>
      </c>
      <c r="B46" s="3" t="s">
        <v>242</v>
      </c>
      <c r="C46" s="3" t="s">
        <v>7</v>
      </c>
      <c r="D46" s="160">
        <v>45558</v>
      </c>
      <c r="E46" s="3" t="s">
        <v>81</v>
      </c>
      <c r="F46" s="5" t="s">
        <v>108</v>
      </c>
      <c r="G46" s="5" t="s">
        <v>59</v>
      </c>
      <c r="H46" s="5" t="s">
        <v>109</v>
      </c>
      <c r="I46" s="3" t="s">
        <v>10</v>
      </c>
      <c r="J46" s="9" t="s">
        <v>564</v>
      </c>
      <c r="K46" s="9" t="s">
        <v>514</v>
      </c>
      <c r="L46" s="162" t="s">
        <v>215</v>
      </c>
      <c r="M46" s="4">
        <v>1</v>
      </c>
      <c r="N46" s="7"/>
      <c r="O46" s="7">
        <v>1304100</v>
      </c>
      <c r="P46" s="116" t="s">
        <v>216</v>
      </c>
      <c r="Q46" s="64">
        <v>45568</v>
      </c>
      <c r="R46" s="116" t="s">
        <v>83</v>
      </c>
      <c r="S46" s="2" t="s">
        <v>491</v>
      </c>
      <c r="T46" s="64">
        <v>45560</v>
      </c>
      <c r="U46" s="65">
        <f t="shared" si="20"/>
        <v>1304100</v>
      </c>
      <c r="V46" s="98">
        <v>1</v>
      </c>
      <c r="W46" s="157" t="s">
        <v>84</v>
      </c>
      <c r="X46" s="68"/>
      <c r="Y46" s="68">
        <v>45565</v>
      </c>
      <c r="Z46" s="64">
        <v>45569</v>
      </c>
      <c r="AA46" s="69">
        <v>0.1</v>
      </c>
      <c r="AB46" s="7">
        <f t="shared" si="8"/>
        <v>1304100</v>
      </c>
      <c r="AC46" s="7">
        <f t="shared" si="9"/>
        <v>130410</v>
      </c>
      <c r="AD46" s="65">
        <f t="shared" si="7"/>
        <v>1434510</v>
      </c>
      <c r="AE46" s="99"/>
      <c r="AF46" s="125" t="s">
        <v>110</v>
      </c>
    </row>
    <row r="47" spans="1:32" ht="15" customHeight="1" outlineLevel="1" x14ac:dyDescent="0.3">
      <c r="A47" s="70" t="s">
        <v>391</v>
      </c>
      <c r="B47" s="3" t="s">
        <v>242</v>
      </c>
      <c r="C47" s="3" t="s">
        <v>23</v>
      </c>
      <c r="D47" s="160">
        <v>45559</v>
      </c>
      <c r="E47" s="3" t="s">
        <v>220</v>
      </c>
      <c r="F47" s="5" t="s">
        <v>111</v>
      </c>
      <c r="G47" s="5" t="s">
        <v>59</v>
      </c>
      <c r="H47" s="5" t="s">
        <v>109</v>
      </c>
      <c r="I47" s="3" t="s">
        <v>238</v>
      </c>
      <c r="J47" s="9" t="s">
        <v>257</v>
      </c>
      <c r="K47" s="9" t="s">
        <v>112</v>
      </c>
      <c r="L47" s="162" t="s">
        <v>215</v>
      </c>
      <c r="M47" s="4">
        <v>14</v>
      </c>
      <c r="N47" s="7"/>
      <c r="O47" s="7">
        <v>210000</v>
      </c>
      <c r="P47" s="116" t="s">
        <v>216</v>
      </c>
      <c r="Q47" s="64">
        <v>45587</v>
      </c>
      <c r="R47" s="116" t="s">
        <v>78</v>
      </c>
      <c r="S47" s="2" t="s">
        <v>491</v>
      </c>
      <c r="T47" s="64">
        <v>45565</v>
      </c>
      <c r="U47" s="65">
        <f t="shared" si="20"/>
        <v>210000</v>
      </c>
      <c r="V47" s="98">
        <v>1</v>
      </c>
      <c r="W47" s="157" t="s">
        <v>88</v>
      </c>
      <c r="X47" s="68"/>
      <c r="Y47" s="68">
        <v>45565</v>
      </c>
      <c r="Z47" s="64">
        <v>45569</v>
      </c>
      <c r="AA47" s="69">
        <v>0.1</v>
      </c>
      <c r="AB47" s="7">
        <f t="shared" si="8"/>
        <v>210000</v>
      </c>
      <c r="AC47" s="7">
        <f t="shared" si="9"/>
        <v>21000</v>
      </c>
      <c r="AD47" s="65">
        <f t="shared" si="7"/>
        <v>231000</v>
      </c>
      <c r="AE47" s="99"/>
      <c r="AF47" s="125" t="s">
        <v>575</v>
      </c>
    </row>
    <row r="48" spans="1:32" ht="15" customHeight="1" outlineLevel="1" x14ac:dyDescent="0.3">
      <c r="A48" s="70" t="s">
        <v>392</v>
      </c>
      <c r="B48" s="3" t="s">
        <v>242</v>
      </c>
      <c r="C48" s="3" t="s">
        <v>7</v>
      </c>
      <c r="D48" s="160">
        <v>45562</v>
      </c>
      <c r="E48" s="3" t="s">
        <v>235</v>
      </c>
      <c r="F48" s="5" t="s">
        <v>113</v>
      </c>
      <c r="G48" s="5" t="s">
        <v>59</v>
      </c>
      <c r="H48" s="5" t="s">
        <v>105</v>
      </c>
      <c r="I48" s="3" t="s">
        <v>238</v>
      </c>
      <c r="J48" s="9" t="s">
        <v>263</v>
      </c>
      <c r="K48" s="9" t="s">
        <v>106</v>
      </c>
      <c r="L48" s="162" t="s">
        <v>215</v>
      </c>
      <c r="M48" s="4">
        <v>1</v>
      </c>
      <c r="N48" s="7"/>
      <c r="O48" s="7">
        <v>66782940</v>
      </c>
      <c r="P48" s="116" t="s">
        <v>216</v>
      </c>
      <c r="Q48" s="64">
        <v>45577</v>
      </c>
      <c r="R48" s="116" t="s">
        <v>114</v>
      </c>
      <c r="S48" s="2" t="s">
        <v>491</v>
      </c>
      <c r="T48" s="64">
        <v>45579</v>
      </c>
      <c r="U48" s="65">
        <f t="shared" si="20"/>
        <v>66782940</v>
      </c>
      <c r="V48" s="98">
        <v>1</v>
      </c>
      <c r="W48" s="157" t="s">
        <v>84</v>
      </c>
      <c r="X48" s="68"/>
      <c r="Y48" s="68">
        <v>45579</v>
      </c>
      <c r="Z48" s="64">
        <v>45582</v>
      </c>
      <c r="AA48" s="69">
        <v>0.1</v>
      </c>
      <c r="AB48" s="7">
        <f t="shared" si="8"/>
        <v>66782940</v>
      </c>
      <c r="AC48" s="7">
        <f t="shared" si="9"/>
        <v>6678294</v>
      </c>
      <c r="AD48" s="65">
        <f t="shared" si="7"/>
        <v>73461234</v>
      </c>
      <c r="AE48" s="99"/>
      <c r="AF48" s="125" t="s">
        <v>115</v>
      </c>
    </row>
    <row r="49" spans="1:32" ht="15" customHeight="1" outlineLevel="1" x14ac:dyDescent="0.3">
      <c r="A49" s="70" t="s">
        <v>393</v>
      </c>
      <c r="B49" s="3" t="s">
        <v>242</v>
      </c>
      <c r="C49" s="3" t="s">
        <v>23</v>
      </c>
      <c r="D49" s="160">
        <v>45573</v>
      </c>
      <c r="E49" s="3" t="s">
        <v>220</v>
      </c>
      <c r="F49" s="5" t="s">
        <v>116</v>
      </c>
      <c r="G49" s="5" t="s">
        <v>59</v>
      </c>
      <c r="H49" s="5" t="s">
        <v>9</v>
      </c>
      <c r="I49" s="3" t="s">
        <v>238</v>
      </c>
      <c r="J49" s="9" t="s">
        <v>552</v>
      </c>
      <c r="K49" s="9" t="s">
        <v>552</v>
      </c>
      <c r="L49" s="162" t="s">
        <v>215</v>
      </c>
      <c r="M49" s="4">
        <v>103</v>
      </c>
      <c r="N49" s="7"/>
      <c r="O49" s="7">
        <v>400000</v>
      </c>
      <c r="P49" s="116" t="s">
        <v>216</v>
      </c>
      <c r="Q49" s="64">
        <v>45601</v>
      </c>
      <c r="R49" s="116" t="s">
        <v>78</v>
      </c>
      <c r="S49" s="2" t="s">
        <v>491</v>
      </c>
      <c r="T49" s="64">
        <v>45596</v>
      </c>
      <c r="U49" s="65">
        <f t="shared" si="20"/>
        <v>400000</v>
      </c>
      <c r="V49" s="98">
        <v>1</v>
      </c>
      <c r="W49" s="157" t="s">
        <v>88</v>
      </c>
      <c r="X49" s="68"/>
      <c r="Y49" s="68">
        <v>45596</v>
      </c>
      <c r="Z49" s="64">
        <v>45604</v>
      </c>
      <c r="AA49" s="69">
        <v>0.1</v>
      </c>
      <c r="AB49" s="7">
        <f t="shared" si="8"/>
        <v>400000</v>
      </c>
      <c r="AC49" s="7">
        <f t="shared" si="9"/>
        <v>40000</v>
      </c>
      <c r="AD49" s="65">
        <f t="shared" si="7"/>
        <v>440000</v>
      </c>
      <c r="AE49" s="99" t="s">
        <v>554</v>
      </c>
      <c r="AF49" s="125" t="s">
        <v>117</v>
      </c>
    </row>
    <row r="50" spans="1:32" ht="15" customHeight="1" outlineLevel="1" x14ac:dyDescent="0.3">
      <c r="A50" s="70" t="s">
        <v>394</v>
      </c>
      <c r="B50" s="3" t="s">
        <v>242</v>
      </c>
      <c r="C50" s="3" t="s">
        <v>7</v>
      </c>
      <c r="D50" s="160">
        <v>45573</v>
      </c>
      <c r="E50" s="3" t="s">
        <v>92</v>
      </c>
      <c r="F50" s="5" t="s">
        <v>597</v>
      </c>
      <c r="G50" s="5" t="s">
        <v>59</v>
      </c>
      <c r="H50" s="5" t="s">
        <v>9</v>
      </c>
      <c r="I50" s="3" t="s">
        <v>238</v>
      </c>
      <c r="J50" s="9" t="s">
        <v>118</v>
      </c>
      <c r="K50" s="9" t="s">
        <v>118</v>
      </c>
      <c r="L50" s="162" t="s">
        <v>215</v>
      </c>
      <c r="M50" s="4">
        <v>45</v>
      </c>
      <c r="N50" s="7"/>
      <c r="O50" s="7">
        <v>5475000</v>
      </c>
      <c r="P50" s="116" t="s">
        <v>216</v>
      </c>
      <c r="Q50" s="64">
        <v>45643</v>
      </c>
      <c r="R50" s="116"/>
      <c r="S50" s="2" t="s">
        <v>491</v>
      </c>
      <c r="T50" s="64">
        <v>45638</v>
      </c>
      <c r="U50" s="65">
        <f t="shared" si="20"/>
        <v>5475000</v>
      </c>
      <c r="V50" s="98">
        <v>1</v>
      </c>
      <c r="W50" s="157" t="s">
        <v>79</v>
      </c>
      <c r="X50" s="68"/>
      <c r="Y50" s="68">
        <v>45639</v>
      </c>
      <c r="Z50" s="64">
        <v>45646</v>
      </c>
      <c r="AA50" s="69">
        <v>0.1</v>
      </c>
      <c r="AB50" s="7">
        <f t="shared" si="8"/>
        <v>5475000</v>
      </c>
      <c r="AC50" s="7">
        <f t="shared" si="9"/>
        <v>547500</v>
      </c>
      <c r="AD50" s="65">
        <f t="shared" si="7"/>
        <v>6022500</v>
      </c>
      <c r="AE50" s="99"/>
      <c r="AF50" s="125" t="s">
        <v>119</v>
      </c>
    </row>
    <row r="51" spans="1:32" ht="15" customHeight="1" outlineLevel="1" x14ac:dyDescent="0.3">
      <c r="A51" s="70" t="s">
        <v>395</v>
      </c>
      <c r="B51" s="3" t="s">
        <v>242</v>
      </c>
      <c r="C51" s="3" t="s">
        <v>7</v>
      </c>
      <c r="D51" s="160">
        <v>45573</v>
      </c>
      <c r="E51" s="3" t="s">
        <v>231</v>
      </c>
      <c r="F51" s="5" t="s">
        <v>120</v>
      </c>
      <c r="G51" s="5" t="s">
        <v>59</v>
      </c>
      <c r="H51" s="5" t="s">
        <v>109</v>
      </c>
      <c r="I51" s="3" t="s">
        <v>238</v>
      </c>
      <c r="J51" s="9" t="s">
        <v>121</v>
      </c>
      <c r="K51" s="9" t="s">
        <v>121</v>
      </c>
      <c r="L51" s="162" t="s">
        <v>215</v>
      </c>
      <c r="M51" s="4">
        <v>1</v>
      </c>
      <c r="N51" s="7"/>
      <c r="O51" s="7">
        <v>1970000</v>
      </c>
      <c r="P51" s="116" t="s">
        <v>216</v>
      </c>
      <c r="Q51" s="64">
        <v>45601</v>
      </c>
      <c r="R51" s="116" t="s">
        <v>78</v>
      </c>
      <c r="S51" s="2" t="s">
        <v>491</v>
      </c>
      <c r="T51" s="64">
        <v>45586</v>
      </c>
      <c r="U51" s="65">
        <f t="shared" si="20"/>
        <v>1970000</v>
      </c>
      <c r="V51" s="98">
        <v>1</v>
      </c>
      <c r="W51" s="157" t="s">
        <v>79</v>
      </c>
      <c r="X51" s="68"/>
      <c r="Y51" s="68">
        <v>45586</v>
      </c>
      <c r="Z51" s="64">
        <v>45609</v>
      </c>
      <c r="AA51" s="69">
        <v>0.1</v>
      </c>
      <c r="AB51" s="7">
        <f t="shared" si="8"/>
        <v>1970000</v>
      </c>
      <c r="AC51" s="7">
        <f t="shared" si="9"/>
        <v>197000</v>
      </c>
      <c r="AD51" s="65">
        <f t="shared" si="7"/>
        <v>2167000</v>
      </c>
      <c r="AE51" s="99"/>
      <c r="AF51" s="125" t="s">
        <v>122</v>
      </c>
    </row>
    <row r="52" spans="1:32" ht="15" customHeight="1" outlineLevel="1" x14ac:dyDescent="0.3">
      <c r="A52" s="70" t="s">
        <v>396</v>
      </c>
      <c r="B52" s="3" t="s">
        <v>242</v>
      </c>
      <c r="C52" s="3" t="s">
        <v>7</v>
      </c>
      <c r="D52" s="160">
        <v>45573</v>
      </c>
      <c r="E52" s="3" t="s">
        <v>81</v>
      </c>
      <c r="F52" s="5" t="s">
        <v>123</v>
      </c>
      <c r="G52" s="5" t="s">
        <v>59</v>
      </c>
      <c r="H52" s="5" t="s">
        <v>105</v>
      </c>
      <c r="I52" s="3" t="s">
        <v>238</v>
      </c>
      <c r="J52" s="9" t="s">
        <v>504</v>
      </c>
      <c r="K52" s="9" t="s">
        <v>500</v>
      </c>
      <c r="L52" s="162" t="s">
        <v>215</v>
      </c>
      <c r="M52" s="4">
        <v>1</v>
      </c>
      <c r="N52" s="7"/>
      <c r="O52" s="7">
        <v>16832480</v>
      </c>
      <c r="P52" s="116" t="s">
        <v>216</v>
      </c>
      <c r="Q52" s="64">
        <v>45583</v>
      </c>
      <c r="R52" s="116" t="s">
        <v>83</v>
      </c>
      <c r="S52" s="2" t="s">
        <v>491</v>
      </c>
      <c r="T52" s="64">
        <v>45595</v>
      </c>
      <c r="U52" s="65">
        <f t="shared" si="20"/>
        <v>16832480</v>
      </c>
      <c r="V52" s="98">
        <v>1</v>
      </c>
      <c r="W52" s="157" t="s">
        <v>84</v>
      </c>
      <c r="X52" s="68"/>
      <c r="Y52" s="68">
        <v>45595</v>
      </c>
      <c r="Z52" s="64">
        <v>45600</v>
      </c>
      <c r="AA52" s="69">
        <v>0.1</v>
      </c>
      <c r="AB52" s="7">
        <f t="shared" si="8"/>
        <v>16832480</v>
      </c>
      <c r="AC52" s="7">
        <f t="shared" si="9"/>
        <v>1683248</v>
      </c>
      <c r="AD52" s="65">
        <f t="shared" si="7"/>
        <v>18515728</v>
      </c>
      <c r="AE52" s="99"/>
      <c r="AF52" s="125" t="s">
        <v>124</v>
      </c>
    </row>
    <row r="53" spans="1:32" ht="15" customHeight="1" outlineLevel="1" x14ac:dyDescent="0.3">
      <c r="A53" s="70" t="s">
        <v>397</v>
      </c>
      <c r="B53" s="3" t="s">
        <v>242</v>
      </c>
      <c r="C53" s="3" t="s">
        <v>7</v>
      </c>
      <c r="D53" s="160">
        <v>45580</v>
      </c>
      <c r="E53" s="3" t="s">
        <v>224</v>
      </c>
      <c r="F53" s="5" t="s">
        <v>125</v>
      </c>
      <c r="G53" s="5" t="s">
        <v>59</v>
      </c>
      <c r="H53" s="5" t="s">
        <v>105</v>
      </c>
      <c r="I53" s="3" t="s">
        <v>238</v>
      </c>
      <c r="J53" s="9" t="s">
        <v>264</v>
      </c>
      <c r="K53" s="9" t="s">
        <v>126</v>
      </c>
      <c r="L53" s="162" t="s">
        <v>215</v>
      </c>
      <c r="M53" s="4">
        <v>50</v>
      </c>
      <c r="N53" s="7"/>
      <c r="O53" s="7">
        <v>450000</v>
      </c>
      <c r="P53" s="116" t="s">
        <v>216</v>
      </c>
      <c r="Q53" s="64">
        <v>45608</v>
      </c>
      <c r="R53" s="116" t="s">
        <v>78</v>
      </c>
      <c r="S53" s="2" t="s">
        <v>491</v>
      </c>
      <c r="T53" s="64">
        <v>45594</v>
      </c>
      <c r="U53" s="65">
        <f t="shared" si="20"/>
        <v>450000</v>
      </c>
      <c r="V53" s="98">
        <v>1</v>
      </c>
      <c r="W53" s="157" t="s">
        <v>127</v>
      </c>
      <c r="X53" s="68"/>
      <c r="Y53" s="68">
        <v>45594</v>
      </c>
      <c r="Z53" s="64">
        <v>45600</v>
      </c>
      <c r="AA53" s="69">
        <v>0.1</v>
      </c>
      <c r="AB53" s="7">
        <f t="shared" si="8"/>
        <v>450000</v>
      </c>
      <c r="AC53" s="7">
        <f t="shared" si="9"/>
        <v>45000</v>
      </c>
      <c r="AD53" s="65">
        <f t="shared" si="7"/>
        <v>495000</v>
      </c>
      <c r="AE53" s="99"/>
      <c r="AF53" s="125" t="s">
        <v>128</v>
      </c>
    </row>
    <row r="54" spans="1:32" ht="15" customHeight="1" outlineLevel="1" x14ac:dyDescent="0.3">
      <c r="A54" s="70" t="s">
        <v>398</v>
      </c>
      <c r="B54" s="3" t="s">
        <v>242</v>
      </c>
      <c r="C54" s="3" t="s">
        <v>7</v>
      </c>
      <c r="D54" s="160">
        <v>45580</v>
      </c>
      <c r="E54" s="3" t="s">
        <v>224</v>
      </c>
      <c r="F54" s="5" t="s">
        <v>125</v>
      </c>
      <c r="G54" s="5" t="s">
        <v>59</v>
      </c>
      <c r="H54" s="5" t="s">
        <v>105</v>
      </c>
      <c r="I54" s="3" t="s">
        <v>238</v>
      </c>
      <c r="J54" s="9" t="s">
        <v>264</v>
      </c>
      <c r="K54" s="9" t="s">
        <v>129</v>
      </c>
      <c r="L54" s="162" t="s">
        <v>215</v>
      </c>
      <c r="M54" s="4">
        <v>50</v>
      </c>
      <c r="N54" s="7"/>
      <c r="O54" s="7">
        <v>250000</v>
      </c>
      <c r="P54" s="116" t="s">
        <v>216</v>
      </c>
      <c r="Q54" s="64">
        <v>45608</v>
      </c>
      <c r="R54" s="116" t="s">
        <v>78</v>
      </c>
      <c r="S54" s="2" t="s">
        <v>491</v>
      </c>
      <c r="T54" s="64">
        <v>45594</v>
      </c>
      <c r="U54" s="65">
        <f t="shared" si="20"/>
        <v>250000</v>
      </c>
      <c r="V54" s="98">
        <v>1</v>
      </c>
      <c r="W54" s="157" t="s">
        <v>127</v>
      </c>
      <c r="X54" s="68"/>
      <c r="Y54" s="68">
        <v>45594</v>
      </c>
      <c r="Z54" s="64">
        <v>45600</v>
      </c>
      <c r="AA54" s="69">
        <v>0.1</v>
      </c>
      <c r="AB54" s="7">
        <f t="shared" si="8"/>
        <v>250000</v>
      </c>
      <c r="AC54" s="7">
        <f t="shared" si="9"/>
        <v>25000</v>
      </c>
      <c r="AD54" s="65">
        <f t="shared" si="7"/>
        <v>275000</v>
      </c>
      <c r="AE54" s="99"/>
      <c r="AF54" s="125" t="s">
        <v>128</v>
      </c>
    </row>
    <row r="55" spans="1:32" ht="15" customHeight="1" outlineLevel="1" x14ac:dyDescent="0.3">
      <c r="A55" s="70" t="s">
        <v>399</v>
      </c>
      <c r="B55" s="3" t="s">
        <v>242</v>
      </c>
      <c r="C55" s="3" t="s">
        <v>7</v>
      </c>
      <c r="D55" s="160">
        <v>45580</v>
      </c>
      <c r="E55" s="3" t="s">
        <v>224</v>
      </c>
      <c r="F55" s="5" t="s">
        <v>125</v>
      </c>
      <c r="G55" s="5" t="s">
        <v>59</v>
      </c>
      <c r="H55" s="5" t="s">
        <v>105</v>
      </c>
      <c r="I55" s="3" t="s">
        <v>238</v>
      </c>
      <c r="J55" s="9" t="s">
        <v>264</v>
      </c>
      <c r="K55" s="9" t="s">
        <v>130</v>
      </c>
      <c r="L55" s="162" t="s">
        <v>215</v>
      </c>
      <c r="M55" s="4">
        <v>50</v>
      </c>
      <c r="N55" s="7"/>
      <c r="O55" s="7">
        <v>312500</v>
      </c>
      <c r="P55" s="116" t="s">
        <v>216</v>
      </c>
      <c r="Q55" s="64">
        <v>45608</v>
      </c>
      <c r="R55" s="116" t="s">
        <v>78</v>
      </c>
      <c r="S55" s="2" t="s">
        <v>491</v>
      </c>
      <c r="T55" s="64">
        <v>45594</v>
      </c>
      <c r="U55" s="65">
        <f t="shared" si="20"/>
        <v>312500</v>
      </c>
      <c r="V55" s="98">
        <v>1</v>
      </c>
      <c r="W55" s="157" t="s">
        <v>127</v>
      </c>
      <c r="X55" s="68"/>
      <c r="Y55" s="68">
        <v>45594</v>
      </c>
      <c r="Z55" s="64">
        <v>45600</v>
      </c>
      <c r="AA55" s="69">
        <v>0.1</v>
      </c>
      <c r="AB55" s="7">
        <f t="shared" si="8"/>
        <v>312500</v>
      </c>
      <c r="AC55" s="7">
        <f t="shared" si="9"/>
        <v>31250</v>
      </c>
      <c r="AD55" s="65">
        <f t="shared" si="7"/>
        <v>343750</v>
      </c>
      <c r="AE55" s="99"/>
      <c r="AF55" s="125" t="s">
        <v>128</v>
      </c>
    </row>
    <row r="56" spans="1:32" ht="15" customHeight="1" outlineLevel="1" x14ac:dyDescent="0.3">
      <c r="A56" s="70" t="s">
        <v>400</v>
      </c>
      <c r="B56" s="3" t="s">
        <v>242</v>
      </c>
      <c r="C56" s="3" t="s">
        <v>7</v>
      </c>
      <c r="D56" s="160">
        <v>45580</v>
      </c>
      <c r="E56" s="3" t="s">
        <v>224</v>
      </c>
      <c r="F56" s="5" t="s">
        <v>125</v>
      </c>
      <c r="G56" s="5" t="s">
        <v>59</v>
      </c>
      <c r="H56" s="5" t="s">
        <v>105</v>
      </c>
      <c r="I56" s="3" t="s">
        <v>238</v>
      </c>
      <c r="J56" s="9" t="s">
        <v>264</v>
      </c>
      <c r="K56" s="9" t="s">
        <v>131</v>
      </c>
      <c r="L56" s="162" t="s">
        <v>215</v>
      </c>
      <c r="M56" s="4">
        <v>75</v>
      </c>
      <c r="N56" s="7"/>
      <c r="O56" s="7">
        <v>1035000</v>
      </c>
      <c r="P56" s="116" t="s">
        <v>216</v>
      </c>
      <c r="Q56" s="64">
        <v>45608</v>
      </c>
      <c r="R56" s="116" t="s">
        <v>78</v>
      </c>
      <c r="S56" s="2" t="s">
        <v>491</v>
      </c>
      <c r="T56" s="64">
        <v>45594</v>
      </c>
      <c r="U56" s="65">
        <f t="shared" si="20"/>
        <v>1035000</v>
      </c>
      <c r="V56" s="98">
        <v>1</v>
      </c>
      <c r="W56" s="157" t="s">
        <v>127</v>
      </c>
      <c r="X56" s="68"/>
      <c r="Y56" s="68">
        <v>45594</v>
      </c>
      <c r="Z56" s="64">
        <v>45600</v>
      </c>
      <c r="AA56" s="69">
        <v>0.1</v>
      </c>
      <c r="AB56" s="7">
        <f t="shared" si="8"/>
        <v>1035000</v>
      </c>
      <c r="AC56" s="7">
        <f t="shared" si="9"/>
        <v>103500</v>
      </c>
      <c r="AD56" s="65">
        <f t="shared" si="7"/>
        <v>1138500</v>
      </c>
      <c r="AE56" s="99"/>
      <c r="AF56" s="125" t="s">
        <v>128</v>
      </c>
    </row>
    <row r="57" spans="1:32" ht="15" customHeight="1" outlineLevel="1" x14ac:dyDescent="0.3">
      <c r="A57" s="70" t="s">
        <v>401</v>
      </c>
      <c r="B57" s="3" t="s">
        <v>242</v>
      </c>
      <c r="C57" s="3" t="s">
        <v>7</v>
      </c>
      <c r="D57" s="160">
        <v>45580</v>
      </c>
      <c r="E57" s="3" t="s">
        <v>224</v>
      </c>
      <c r="F57" s="5" t="s">
        <v>125</v>
      </c>
      <c r="G57" s="5" t="s">
        <v>59</v>
      </c>
      <c r="H57" s="5" t="s">
        <v>105</v>
      </c>
      <c r="I57" s="3" t="s">
        <v>238</v>
      </c>
      <c r="J57" s="9" t="s">
        <v>264</v>
      </c>
      <c r="K57" s="9" t="s">
        <v>132</v>
      </c>
      <c r="L57" s="162" t="s">
        <v>215</v>
      </c>
      <c r="M57" s="4">
        <v>65</v>
      </c>
      <c r="N57" s="7"/>
      <c r="O57" s="7">
        <v>1137500</v>
      </c>
      <c r="P57" s="116" t="s">
        <v>216</v>
      </c>
      <c r="Q57" s="64">
        <v>45608</v>
      </c>
      <c r="R57" s="116" t="s">
        <v>78</v>
      </c>
      <c r="S57" s="2" t="s">
        <v>491</v>
      </c>
      <c r="T57" s="64">
        <v>45594</v>
      </c>
      <c r="U57" s="65">
        <f t="shared" si="20"/>
        <v>1137500</v>
      </c>
      <c r="V57" s="98">
        <v>1</v>
      </c>
      <c r="W57" s="157" t="s">
        <v>127</v>
      </c>
      <c r="X57" s="68"/>
      <c r="Y57" s="68">
        <v>45594</v>
      </c>
      <c r="Z57" s="64">
        <v>45600</v>
      </c>
      <c r="AA57" s="69">
        <v>0.1</v>
      </c>
      <c r="AB57" s="7">
        <f t="shared" si="8"/>
        <v>1137500</v>
      </c>
      <c r="AC57" s="7">
        <f t="shared" si="9"/>
        <v>113750</v>
      </c>
      <c r="AD57" s="65">
        <f t="shared" si="7"/>
        <v>1251250</v>
      </c>
      <c r="AE57" s="99"/>
      <c r="AF57" s="125" t="s">
        <v>128</v>
      </c>
    </row>
    <row r="58" spans="1:32" ht="15" customHeight="1" outlineLevel="1" x14ac:dyDescent="0.3">
      <c r="A58" s="70" t="s">
        <v>402</v>
      </c>
      <c r="B58" s="3" t="s">
        <v>242</v>
      </c>
      <c r="C58" s="3" t="s">
        <v>7</v>
      </c>
      <c r="D58" s="160">
        <v>45580</v>
      </c>
      <c r="E58" s="3" t="s">
        <v>224</v>
      </c>
      <c r="F58" s="5" t="s">
        <v>125</v>
      </c>
      <c r="G58" s="5" t="s">
        <v>59</v>
      </c>
      <c r="H58" s="5" t="s">
        <v>105</v>
      </c>
      <c r="I58" s="3" t="s">
        <v>238</v>
      </c>
      <c r="J58" s="9" t="s">
        <v>264</v>
      </c>
      <c r="K58" s="9" t="s">
        <v>133</v>
      </c>
      <c r="L58" s="162" t="s">
        <v>215</v>
      </c>
      <c r="M58" s="4">
        <v>110</v>
      </c>
      <c r="N58" s="7"/>
      <c r="O58" s="7">
        <v>1925000</v>
      </c>
      <c r="P58" s="116" t="s">
        <v>216</v>
      </c>
      <c r="Q58" s="64">
        <v>45608</v>
      </c>
      <c r="R58" s="116" t="s">
        <v>78</v>
      </c>
      <c r="S58" s="2" t="s">
        <v>491</v>
      </c>
      <c r="T58" s="64">
        <v>45594</v>
      </c>
      <c r="U58" s="65">
        <f t="shared" si="20"/>
        <v>1925000</v>
      </c>
      <c r="V58" s="98">
        <v>1</v>
      </c>
      <c r="W58" s="157" t="s">
        <v>127</v>
      </c>
      <c r="X58" s="68"/>
      <c r="Y58" s="68">
        <v>45594</v>
      </c>
      <c r="Z58" s="64">
        <v>45600</v>
      </c>
      <c r="AA58" s="69">
        <v>0.1</v>
      </c>
      <c r="AB58" s="7">
        <f t="shared" si="8"/>
        <v>1925000</v>
      </c>
      <c r="AC58" s="7">
        <f t="shared" si="9"/>
        <v>192500</v>
      </c>
      <c r="AD58" s="65">
        <f t="shared" si="7"/>
        <v>2117500</v>
      </c>
      <c r="AE58" s="99"/>
      <c r="AF58" s="125" t="s">
        <v>128</v>
      </c>
    </row>
    <row r="59" spans="1:32" ht="15" customHeight="1" outlineLevel="1" x14ac:dyDescent="0.3">
      <c r="A59" s="70" t="s">
        <v>403</v>
      </c>
      <c r="B59" s="3" t="s">
        <v>242</v>
      </c>
      <c r="C59" s="3" t="s">
        <v>7</v>
      </c>
      <c r="D59" s="160">
        <v>45582</v>
      </c>
      <c r="E59" s="3" t="s">
        <v>76</v>
      </c>
      <c r="F59" s="5" t="s">
        <v>134</v>
      </c>
      <c r="G59" s="5" t="s">
        <v>59</v>
      </c>
      <c r="H59" s="5" t="s">
        <v>109</v>
      </c>
      <c r="I59" s="3" t="s">
        <v>238</v>
      </c>
      <c r="J59" s="9" t="s">
        <v>493</v>
      </c>
      <c r="K59" s="9" t="s">
        <v>492</v>
      </c>
      <c r="L59" s="162" t="s">
        <v>215</v>
      </c>
      <c r="M59" s="4">
        <v>300</v>
      </c>
      <c r="N59" s="7"/>
      <c r="O59" s="7">
        <v>7277250</v>
      </c>
      <c r="P59" s="116" t="s">
        <v>216</v>
      </c>
      <c r="Q59" s="64">
        <v>45624</v>
      </c>
      <c r="R59" s="116" t="s">
        <v>135</v>
      </c>
      <c r="S59" s="2" t="s">
        <v>491</v>
      </c>
      <c r="T59" s="64">
        <v>45610</v>
      </c>
      <c r="U59" s="65">
        <f t="shared" si="20"/>
        <v>7277250</v>
      </c>
      <c r="V59" s="98">
        <v>1</v>
      </c>
      <c r="W59" s="157" t="s">
        <v>79</v>
      </c>
      <c r="X59" s="68"/>
      <c r="Y59" s="68">
        <v>45626</v>
      </c>
      <c r="Z59" s="64">
        <v>45646</v>
      </c>
      <c r="AA59" s="69">
        <v>0.1</v>
      </c>
      <c r="AB59" s="7">
        <f t="shared" si="8"/>
        <v>7277250</v>
      </c>
      <c r="AC59" s="7">
        <f t="shared" si="9"/>
        <v>727725</v>
      </c>
      <c r="AD59" s="65">
        <f t="shared" si="7"/>
        <v>8004975</v>
      </c>
      <c r="AE59" s="99"/>
      <c r="AF59" s="125" t="s">
        <v>136</v>
      </c>
    </row>
    <row r="60" spans="1:32" ht="15" customHeight="1" outlineLevel="1" x14ac:dyDescent="0.3">
      <c r="A60" s="70" t="s">
        <v>404</v>
      </c>
      <c r="B60" s="3" t="s">
        <v>242</v>
      </c>
      <c r="C60" s="3" t="s">
        <v>7</v>
      </c>
      <c r="D60" s="160">
        <v>45583</v>
      </c>
      <c r="E60" s="3" t="s">
        <v>220</v>
      </c>
      <c r="F60" s="5" t="s">
        <v>137</v>
      </c>
      <c r="G60" s="5" t="s">
        <v>59</v>
      </c>
      <c r="H60" s="5" t="s">
        <v>138</v>
      </c>
      <c r="I60" s="3" t="s">
        <v>238</v>
      </c>
      <c r="J60" s="9" t="s">
        <v>551</v>
      </c>
      <c r="K60" s="9" t="s">
        <v>551</v>
      </c>
      <c r="L60" s="162" t="s">
        <v>215</v>
      </c>
      <c r="M60" s="4">
        <v>50</v>
      </c>
      <c r="N60" s="7">
        <v>50000</v>
      </c>
      <c r="O60" s="7">
        <f>M60*N60</f>
        <v>2500000</v>
      </c>
      <c r="P60" s="116" t="s">
        <v>216</v>
      </c>
      <c r="Q60" s="64">
        <v>45597</v>
      </c>
      <c r="R60" s="116" t="s">
        <v>139</v>
      </c>
      <c r="S60" s="2" t="s">
        <v>491</v>
      </c>
      <c r="T60" s="64">
        <v>45596</v>
      </c>
      <c r="U60" s="65">
        <f t="shared" si="20"/>
        <v>2500000</v>
      </c>
      <c r="V60" s="98">
        <v>1</v>
      </c>
      <c r="W60" s="157" t="s">
        <v>88</v>
      </c>
      <c r="X60" s="68"/>
      <c r="Y60" s="68">
        <v>45596</v>
      </c>
      <c r="Z60" s="64">
        <v>45604</v>
      </c>
      <c r="AA60" s="69">
        <v>0.1</v>
      </c>
      <c r="AB60" s="7">
        <f t="shared" si="8"/>
        <v>2500000</v>
      </c>
      <c r="AC60" s="7">
        <f t="shared" si="9"/>
        <v>250000</v>
      </c>
      <c r="AD60" s="65">
        <f t="shared" si="7"/>
        <v>2750000</v>
      </c>
      <c r="AE60" s="99"/>
      <c r="AF60" s="125" t="s">
        <v>140</v>
      </c>
    </row>
    <row r="61" spans="1:32" ht="15" customHeight="1" outlineLevel="1" x14ac:dyDescent="0.3">
      <c r="A61" s="70" t="s">
        <v>405</v>
      </c>
      <c r="B61" s="3" t="s">
        <v>242</v>
      </c>
      <c r="C61" s="3" t="s">
        <v>42</v>
      </c>
      <c r="D61" s="160">
        <v>45583</v>
      </c>
      <c r="E61" s="3" t="s">
        <v>229</v>
      </c>
      <c r="F61" s="5" t="s">
        <v>141</v>
      </c>
      <c r="G61" s="5" t="s">
        <v>59</v>
      </c>
      <c r="H61" s="5" t="s">
        <v>109</v>
      </c>
      <c r="I61" s="3" t="s">
        <v>238</v>
      </c>
      <c r="J61" s="9" t="s">
        <v>142</v>
      </c>
      <c r="K61" s="9" t="s">
        <v>142</v>
      </c>
      <c r="L61" s="162" t="s">
        <v>215</v>
      </c>
      <c r="M61" s="4">
        <v>1</v>
      </c>
      <c r="N61" s="7"/>
      <c r="O61" s="7">
        <v>1900000</v>
      </c>
      <c r="P61" s="116" t="s">
        <v>216</v>
      </c>
      <c r="Q61" s="64">
        <v>45611</v>
      </c>
      <c r="R61" s="116" t="s">
        <v>78</v>
      </c>
      <c r="S61" s="2" t="s">
        <v>491</v>
      </c>
      <c r="T61" s="64">
        <v>45587</v>
      </c>
      <c r="U61" s="65">
        <f t="shared" si="20"/>
        <v>1900000</v>
      </c>
      <c r="V61" s="98">
        <v>1</v>
      </c>
      <c r="W61" s="157" t="s">
        <v>79</v>
      </c>
      <c r="X61" s="68"/>
      <c r="Y61" s="68">
        <v>45587</v>
      </c>
      <c r="Z61" s="64">
        <v>45609</v>
      </c>
      <c r="AA61" s="69">
        <v>0.1</v>
      </c>
      <c r="AB61" s="7">
        <f t="shared" si="8"/>
        <v>1900000</v>
      </c>
      <c r="AC61" s="7">
        <f t="shared" si="9"/>
        <v>190000</v>
      </c>
      <c r="AD61" s="65">
        <f t="shared" si="7"/>
        <v>2090000</v>
      </c>
      <c r="AE61" s="99"/>
      <c r="AF61" s="125" t="s">
        <v>143</v>
      </c>
    </row>
    <row r="62" spans="1:32" ht="15" customHeight="1" outlineLevel="1" x14ac:dyDescent="0.3">
      <c r="A62" s="70" t="s">
        <v>406</v>
      </c>
      <c r="B62" s="3" t="s">
        <v>242</v>
      </c>
      <c r="C62" s="3" t="s">
        <v>7</v>
      </c>
      <c r="D62" s="160">
        <v>45586</v>
      </c>
      <c r="E62" s="3" t="s">
        <v>218</v>
      </c>
      <c r="F62" s="5" t="s">
        <v>144</v>
      </c>
      <c r="G62" s="5" t="s">
        <v>59</v>
      </c>
      <c r="H62" s="5" t="s">
        <v>212</v>
      </c>
      <c r="I62" s="3" t="s">
        <v>238</v>
      </c>
      <c r="J62" s="9" t="s">
        <v>265</v>
      </c>
      <c r="K62" s="9" t="s">
        <v>524</v>
      </c>
      <c r="L62" s="162" t="s">
        <v>215</v>
      </c>
      <c r="M62" s="4">
        <v>1</v>
      </c>
      <c r="N62" s="7"/>
      <c r="O62" s="7">
        <v>15006000</v>
      </c>
      <c r="P62" s="116" t="s">
        <v>216</v>
      </c>
      <c r="Q62" s="64">
        <v>45726</v>
      </c>
      <c r="R62" s="116" t="s">
        <v>73</v>
      </c>
      <c r="S62" s="2" t="s">
        <v>491</v>
      </c>
      <c r="T62" s="64">
        <v>45633</v>
      </c>
      <c r="U62" s="65">
        <f t="shared" si="20"/>
        <v>15006000</v>
      </c>
      <c r="V62" s="98">
        <v>1</v>
      </c>
      <c r="W62" s="157" t="s">
        <v>145</v>
      </c>
      <c r="X62" s="68"/>
      <c r="Y62" s="68">
        <v>45644</v>
      </c>
      <c r="Z62" s="64">
        <v>45646</v>
      </c>
      <c r="AA62" s="69">
        <v>0.1</v>
      </c>
      <c r="AB62" s="7">
        <f t="shared" si="8"/>
        <v>15006000</v>
      </c>
      <c r="AC62" s="7">
        <f t="shared" si="9"/>
        <v>1500600</v>
      </c>
      <c r="AD62" s="65">
        <f t="shared" si="7"/>
        <v>16506600</v>
      </c>
      <c r="AE62" s="99"/>
      <c r="AF62" s="125" t="s">
        <v>146</v>
      </c>
    </row>
    <row r="63" spans="1:32" ht="15" customHeight="1" outlineLevel="1" x14ac:dyDescent="0.3">
      <c r="A63" s="70" t="s">
        <v>407</v>
      </c>
      <c r="B63" s="3" t="s">
        <v>242</v>
      </c>
      <c r="C63" s="3" t="s">
        <v>7</v>
      </c>
      <c r="D63" s="160">
        <v>45589</v>
      </c>
      <c r="E63" s="3" t="s">
        <v>147</v>
      </c>
      <c r="F63" s="5" t="s">
        <v>148</v>
      </c>
      <c r="G63" s="5" t="s">
        <v>59</v>
      </c>
      <c r="H63" s="5" t="s">
        <v>70</v>
      </c>
      <c r="I63" s="3" t="s">
        <v>238</v>
      </c>
      <c r="J63" s="9" t="s">
        <v>149</v>
      </c>
      <c r="K63" s="9" t="s">
        <v>149</v>
      </c>
      <c r="L63" s="162" t="s">
        <v>215</v>
      </c>
      <c r="M63" s="4">
        <v>1</v>
      </c>
      <c r="N63" s="7"/>
      <c r="O63" s="7">
        <v>4090000</v>
      </c>
      <c r="P63" s="116" t="s">
        <v>216</v>
      </c>
      <c r="Q63" s="64">
        <v>45617</v>
      </c>
      <c r="R63" s="116" t="s">
        <v>78</v>
      </c>
      <c r="S63" s="2" t="s">
        <v>491</v>
      </c>
      <c r="T63" s="64">
        <v>45597</v>
      </c>
      <c r="U63" s="65">
        <f t="shared" si="20"/>
        <v>4090000</v>
      </c>
      <c r="V63" s="98">
        <v>1</v>
      </c>
      <c r="W63" s="157" t="s">
        <v>127</v>
      </c>
      <c r="X63" s="68"/>
      <c r="Y63" s="68">
        <v>45601</v>
      </c>
      <c r="Z63" s="64">
        <v>45604</v>
      </c>
      <c r="AA63" s="69">
        <v>0.1</v>
      </c>
      <c r="AB63" s="7">
        <f t="shared" si="8"/>
        <v>4090000</v>
      </c>
      <c r="AC63" s="7">
        <f t="shared" si="9"/>
        <v>409000</v>
      </c>
      <c r="AD63" s="65">
        <f t="shared" si="7"/>
        <v>4499000</v>
      </c>
      <c r="AE63" s="99"/>
      <c r="AF63" s="125" t="s">
        <v>150</v>
      </c>
    </row>
    <row r="64" spans="1:32" ht="15" customHeight="1" outlineLevel="1" x14ac:dyDescent="0.3">
      <c r="A64" s="70" t="s">
        <v>408</v>
      </c>
      <c r="B64" s="3" t="s">
        <v>242</v>
      </c>
      <c r="C64" s="3" t="s">
        <v>7</v>
      </c>
      <c r="D64" s="160">
        <v>45594</v>
      </c>
      <c r="E64" s="3" t="s">
        <v>224</v>
      </c>
      <c r="F64" s="5" t="s">
        <v>151</v>
      </c>
      <c r="G64" s="5" t="s">
        <v>59</v>
      </c>
      <c r="H64" s="5" t="s">
        <v>105</v>
      </c>
      <c r="I64" s="3" t="s">
        <v>238</v>
      </c>
      <c r="J64" s="9" t="s">
        <v>152</v>
      </c>
      <c r="K64" s="9" t="s">
        <v>152</v>
      </c>
      <c r="L64" s="162" t="s">
        <v>215</v>
      </c>
      <c r="M64" s="4">
        <v>110</v>
      </c>
      <c r="N64" s="7"/>
      <c r="O64" s="7">
        <v>1463000</v>
      </c>
      <c r="P64" s="116" t="s">
        <v>216</v>
      </c>
      <c r="Q64" s="64">
        <v>45622</v>
      </c>
      <c r="R64" s="116" t="s">
        <v>78</v>
      </c>
      <c r="S64" s="2" t="s">
        <v>491</v>
      </c>
      <c r="T64" s="64">
        <v>45608</v>
      </c>
      <c r="U64" s="65">
        <f t="shared" si="20"/>
        <v>1463000</v>
      </c>
      <c r="V64" s="98">
        <v>1</v>
      </c>
      <c r="W64" s="157" t="s">
        <v>127</v>
      </c>
      <c r="X64" s="68"/>
      <c r="Y64" s="68">
        <v>45608</v>
      </c>
      <c r="Z64" s="64">
        <v>45646</v>
      </c>
      <c r="AA64" s="69">
        <v>0.1</v>
      </c>
      <c r="AB64" s="7">
        <f t="shared" si="8"/>
        <v>1463000</v>
      </c>
      <c r="AC64" s="7">
        <f t="shared" si="9"/>
        <v>146300</v>
      </c>
      <c r="AD64" s="65">
        <f t="shared" si="7"/>
        <v>1609300</v>
      </c>
      <c r="AE64" s="99"/>
      <c r="AF64" s="125" t="s">
        <v>153</v>
      </c>
    </row>
    <row r="65" spans="1:32" ht="15" customHeight="1" outlineLevel="1" x14ac:dyDescent="0.3">
      <c r="A65" s="70" t="s">
        <v>409</v>
      </c>
      <c r="B65" s="3" t="s">
        <v>242</v>
      </c>
      <c r="C65" s="3" t="s">
        <v>7</v>
      </c>
      <c r="D65" s="160">
        <v>45595</v>
      </c>
      <c r="E65" s="3" t="s">
        <v>220</v>
      </c>
      <c r="F65" s="5" t="s">
        <v>154</v>
      </c>
      <c r="G65" s="5" t="s">
        <v>59</v>
      </c>
      <c r="H65" s="5" t="s">
        <v>9</v>
      </c>
      <c r="I65" s="3" t="s">
        <v>238</v>
      </c>
      <c r="J65" s="9" t="s">
        <v>553</v>
      </c>
      <c r="K65" s="9" t="s">
        <v>553</v>
      </c>
      <c r="L65" s="162" t="s">
        <v>215</v>
      </c>
      <c r="M65" s="4">
        <v>200</v>
      </c>
      <c r="N65" s="7"/>
      <c r="O65" s="7">
        <v>800000</v>
      </c>
      <c r="P65" s="116" t="s">
        <v>216</v>
      </c>
      <c r="Q65" s="64">
        <v>45623</v>
      </c>
      <c r="R65" s="116" t="s">
        <v>78</v>
      </c>
      <c r="S65" s="2" t="s">
        <v>491</v>
      </c>
      <c r="T65" s="64">
        <v>45596</v>
      </c>
      <c r="U65" s="65">
        <f t="shared" si="20"/>
        <v>800000</v>
      </c>
      <c r="V65" s="98">
        <v>1</v>
      </c>
      <c r="W65" s="157" t="s">
        <v>88</v>
      </c>
      <c r="X65" s="68"/>
      <c r="Y65" s="68">
        <v>45596</v>
      </c>
      <c r="Z65" s="64">
        <v>45604</v>
      </c>
      <c r="AA65" s="69">
        <v>0.1</v>
      </c>
      <c r="AB65" s="7">
        <f t="shared" si="8"/>
        <v>800000</v>
      </c>
      <c r="AC65" s="7">
        <f t="shared" si="9"/>
        <v>80000</v>
      </c>
      <c r="AD65" s="65">
        <f t="shared" si="7"/>
        <v>880000</v>
      </c>
      <c r="AE65" s="99"/>
      <c r="AF65" s="125" t="s">
        <v>155</v>
      </c>
    </row>
    <row r="66" spans="1:32" ht="15" customHeight="1" outlineLevel="1" x14ac:dyDescent="0.3">
      <c r="A66" s="70" t="s">
        <v>410</v>
      </c>
      <c r="B66" s="3" t="s">
        <v>242</v>
      </c>
      <c r="C66" s="3" t="s">
        <v>23</v>
      </c>
      <c r="D66" s="160">
        <v>45597</v>
      </c>
      <c r="E66" s="3" t="s">
        <v>156</v>
      </c>
      <c r="F66" s="5" t="s">
        <v>157</v>
      </c>
      <c r="G66" s="5" t="s">
        <v>59</v>
      </c>
      <c r="H66" s="5" t="s">
        <v>105</v>
      </c>
      <c r="I66" s="3" t="s">
        <v>238</v>
      </c>
      <c r="J66" s="9" t="s">
        <v>270</v>
      </c>
      <c r="K66" s="9" t="s">
        <v>270</v>
      </c>
      <c r="L66" s="162" t="s">
        <v>215</v>
      </c>
      <c r="M66" s="4">
        <v>1</v>
      </c>
      <c r="N66" s="7"/>
      <c r="O66" s="7">
        <v>6675000</v>
      </c>
      <c r="P66" s="116" t="s">
        <v>216</v>
      </c>
      <c r="Q66" s="64">
        <v>45612</v>
      </c>
      <c r="R66" s="116" t="s">
        <v>114</v>
      </c>
      <c r="S66" s="2" t="s">
        <v>491</v>
      </c>
      <c r="T66" s="64">
        <v>45600</v>
      </c>
      <c r="U66" s="65">
        <f t="shared" si="20"/>
        <v>6675000</v>
      </c>
      <c r="V66" s="98">
        <v>1</v>
      </c>
      <c r="W66" s="157" t="s">
        <v>84</v>
      </c>
      <c r="X66" s="68"/>
      <c r="Y66" s="68">
        <v>45602</v>
      </c>
      <c r="Z66" s="64">
        <v>45604</v>
      </c>
      <c r="AA66" s="69">
        <v>0.1</v>
      </c>
      <c r="AB66" s="7">
        <f t="shared" si="8"/>
        <v>6675000</v>
      </c>
      <c r="AC66" s="7">
        <f t="shared" si="9"/>
        <v>667500</v>
      </c>
      <c r="AD66" s="65">
        <f t="shared" si="7"/>
        <v>7342500</v>
      </c>
      <c r="AE66" s="99"/>
      <c r="AF66" s="125" t="s">
        <v>158</v>
      </c>
    </row>
    <row r="67" spans="1:32" ht="15" customHeight="1" outlineLevel="1" x14ac:dyDescent="0.3">
      <c r="A67" s="70" t="s">
        <v>411</v>
      </c>
      <c r="B67" s="3" t="s">
        <v>242</v>
      </c>
      <c r="C67" s="3" t="s">
        <v>7</v>
      </c>
      <c r="D67" s="160">
        <v>45597</v>
      </c>
      <c r="E67" s="3" t="s">
        <v>81</v>
      </c>
      <c r="F67" s="5" t="s">
        <v>159</v>
      </c>
      <c r="G67" s="5" t="s">
        <v>59</v>
      </c>
      <c r="H67" s="5" t="s">
        <v>109</v>
      </c>
      <c r="I67" s="3" t="s">
        <v>238</v>
      </c>
      <c r="J67" s="9" t="s">
        <v>565</v>
      </c>
      <c r="K67" s="9" t="s">
        <v>515</v>
      </c>
      <c r="L67" s="162" t="s">
        <v>215</v>
      </c>
      <c r="M67" s="4">
        <v>1</v>
      </c>
      <c r="N67" s="7"/>
      <c r="O67" s="7">
        <v>761100</v>
      </c>
      <c r="P67" s="116" t="s">
        <v>216</v>
      </c>
      <c r="Q67" s="64">
        <v>45607</v>
      </c>
      <c r="R67" s="116" t="s">
        <v>83</v>
      </c>
      <c r="S67" s="2" t="s">
        <v>491</v>
      </c>
      <c r="T67" s="64">
        <v>45596</v>
      </c>
      <c r="U67" s="65">
        <f t="shared" si="20"/>
        <v>761100</v>
      </c>
      <c r="V67" s="98">
        <v>1</v>
      </c>
      <c r="W67" s="157" t="s">
        <v>84</v>
      </c>
      <c r="X67" s="68"/>
      <c r="Y67" s="68">
        <v>45595</v>
      </c>
      <c r="Z67" s="64">
        <v>45600</v>
      </c>
      <c r="AA67" s="69">
        <v>0.1</v>
      </c>
      <c r="AB67" s="7">
        <f t="shared" si="8"/>
        <v>761100</v>
      </c>
      <c r="AC67" s="7">
        <f t="shared" si="9"/>
        <v>76110</v>
      </c>
      <c r="AD67" s="65">
        <f t="shared" si="7"/>
        <v>837210</v>
      </c>
      <c r="AE67" s="99"/>
      <c r="AF67" s="125" t="s">
        <v>160</v>
      </c>
    </row>
    <row r="68" spans="1:32" ht="15" customHeight="1" outlineLevel="1" x14ac:dyDescent="0.3">
      <c r="A68" s="70" t="s">
        <v>412</v>
      </c>
      <c r="B68" s="3" t="s">
        <v>242</v>
      </c>
      <c r="C68" s="3" t="s">
        <v>7</v>
      </c>
      <c r="D68" s="160">
        <v>45602</v>
      </c>
      <c r="E68" s="3" t="s">
        <v>226</v>
      </c>
      <c r="F68" s="5" t="s">
        <v>161</v>
      </c>
      <c r="G68" s="5" t="s">
        <v>59</v>
      </c>
      <c r="H68" s="5" t="s">
        <v>70</v>
      </c>
      <c r="I68" s="3" t="s">
        <v>238</v>
      </c>
      <c r="J68" s="9" t="s">
        <v>266</v>
      </c>
      <c r="K68" s="9" t="s">
        <v>266</v>
      </c>
      <c r="L68" s="162" t="s">
        <v>215</v>
      </c>
      <c r="M68" s="4">
        <v>55</v>
      </c>
      <c r="N68" s="7"/>
      <c r="O68" s="7">
        <v>330000</v>
      </c>
      <c r="P68" s="116" t="s">
        <v>216</v>
      </c>
      <c r="Q68" s="64">
        <v>45616</v>
      </c>
      <c r="R68" s="116" t="s">
        <v>139</v>
      </c>
      <c r="S68" s="2" t="s">
        <v>491</v>
      </c>
      <c r="T68" s="64">
        <v>45609</v>
      </c>
      <c r="U68" s="65">
        <f t="shared" si="20"/>
        <v>330000</v>
      </c>
      <c r="V68" s="98">
        <v>1</v>
      </c>
      <c r="W68" s="157" t="s">
        <v>88</v>
      </c>
      <c r="X68" s="68"/>
      <c r="Y68" s="68">
        <v>45609</v>
      </c>
      <c r="Z68" s="64">
        <v>45625</v>
      </c>
      <c r="AA68" s="69">
        <v>0.1</v>
      </c>
      <c r="AB68" s="7">
        <f t="shared" si="8"/>
        <v>330000</v>
      </c>
      <c r="AC68" s="7">
        <f t="shared" si="9"/>
        <v>33000</v>
      </c>
      <c r="AD68" s="65">
        <f t="shared" si="7"/>
        <v>363000</v>
      </c>
      <c r="AE68" s="99"/>
      <c r="AF68" s="125" t="s">
        <v>717</v>
      </c>
    </row>
    <row r="69" spans="1:32" ht="15" customHeight="1" outlineLevel="1" x14ac:dyDescent="0.3">
      <c r="A69" s="70" t="s">
        <v>413</v>
      </c>
      <c r="B69" s="3" t="s">
        <v>242</v>
      </c>
      <c r="C69" s="3" t="s">
        <v>7</v>
      </c>
      <c r="D69" s="160">
        <v>45598</v>
      </c>
      <c r="E69" s="3" t="s">
        <v>81</v>
      </c>
      <c r="F69" s="5" t="s">
        <v>162</v>
      </c>
      <c r="G69" s="5" t="s">
        <v>59</v>
      </c>
      <c r="H69" s="5" t="s">
        <v>213</v>
      </c>
      <c r="I69" s="3" t="s">
        <v>238</v>
      </c>
      <c r="J69" s="9" t="s">
        <v>520</v>
      </c>
      <c r="K69" s="9" t="s">
        <v>519</v>
      </c>
      <c r="L69" s="162" t="s">
        <v>215</v>
      </c>
      <c r="M69" s="4">
        <v>1</v>
      </c>
      <c r="N69" s="7"/>
      <c r="O69" s="7">
        <v>1873650</v>
      </c>
      <c r="P69" s="116" t="s">
        <v>216</v>
      </c>
      <c r="Q69" s="64"/>
      <c r="R69" s="116"/>
      <c r="S69" s="2" t="s">
        <v>491</v>
      </c>
      <c r="T69" s="64">
        <v>45601</v>
      </c>
      <c r="U69" s="65">
        <f t="shared" si="20"/>
        <v>1873650</v>
      </c>
      <c r="V69" s="98">
        <v>1</v>
      </c>
      <c r="W69" s="157" t="s">
        <v>84</v>
      </c>
      <c r="X69" s="68"/>
      <c r="Y69" s="68">
        <v>45628</v>
      </c>
      <c r="Z69" s="64">
        <v>45642</v>
      </c>
      <c r="AA69" s="69">
        <v>0.1</v>
      </c>
      <c r="AB69" s="7">
        <f t="shared" si="8"/>
        <v>1873650</v>
      </c>
      <c r="AC69" s="7">
        <f t="shared" si="9"/>
        <v>187365</v>
      </c>
      <c r="AD69" s="65">
        <f t="shared" si="7"/>
        <v>2061015</v>
      </c>
      <c r="AE69" s="99"/>
      <c r="AF69" s="125" t="s">
        <v>163</v>
      </c>
    </row>
    <row r="70" spans="1:32" ht="15" customHeight="1" outlineLevel="1" x14ac:dyDescent="0.3">
      <c r="A70" s="70" t="s">
        <v>414</v>
      </c>
      <c r="B70" s="3" t="s">
        <v>242</v>
      </c>
      <c r="C70" s="3" t="s">
        <v>7</v>
      </c>
      <c r="D70" s="160">
        <v>45598</v>
      </c>
      <c r="E70" s="3" t="s">
        <v>81</v>
      </c>
      <c r="F70" s="5" t="s">
        <v>164</v>
      </c>
      <c r="G70" s="5" t="s">
        <v>59</v>
      </c>
      <c r="H70" s="5" t="s">
        <v>213</v>
      </c>
      <c r="I70" s="3" t="s">
        <v>238</v>
      </c>
      <c r="J70" s="9" t="s">
        <v>517</v>
      </c>
      <c r="K70" s="9" t="s">
        <v>518</v>
      </c>
      <c r="L70" s="162" t="s">
        <v>215</v>
      </c>
      <c r="M70" s="4">
        <v>1</v>
      </c>
      <c r="N70" s="7"/>
      <c r="O70" s="7">
        <v>4065500</v>
      </c>
      <c r="P70" s="116" t="s">
        <v>216</v>
      </c>
      <c r="Q70" s="64"/>
      <c r="R70" s="116"/>
      <c r="S70" s="2" t="s">
        <v>491</v>
      </c>
      <c r="T70" s="64">
        <v>45601</v>
      </c>
      <c r="U70" s="65">
        <f t="shared" si="20"/>
        <v>4065500</v>
      </c>
      <c r="V70" s="98">
        <v>1</v>
      </c>
      <c r="W70" s="157" t="s">
        <v>84</v>
      </c>
      <c r="X70" s="68"/>
      <c r="Y70" s="68">
        <v>45628</v>
      </c>
      <c r="Z70" s="64">
        <v>45642</v>
      </c>
      <c r="AA70" s="69">
        <v>0.1</v>
      </c>
      <c r="AB70" s="7">
        <f t="shared" si="8"/>
        <v>4065500</v>
      </c>
      <c r="AC70" s="7">
        <f t="shared" si="9"/>
        <v>406550</v>
      </c>
      <c r="AD70" s="65">
        <f t="shared" si="7"/>
        <v>4472050</v>
      </c>
      <c r="AE70" s="99"/>
      <c r="AF70" s="125" t="s">
        <v>165</v>
      </c>
    </row>
    <row r="71" spans="1:32" ht="15" customHeight="1" outlineLevel="1" x14ac:dyDescent="0.3">
      <c r="A71" s="70" t="s">
        <v>415</v>
      </c>
      <c r="B71" s="3" t="s">
        <v>242</v>
      </c>
      <c r="C71" s="3" t="s">
        <v>7</v>
      </c>
      <c r="D71" s="160">
        <v>45601</v>
      </c>
      <c r="E71" s="3" t="s">
        <v>81</v>
      </c>
      <c r="F71" s="5" t="s">
        <v>166</v>
      </c>
      <c r="G71" s="5" t="s">
        <v>59</v>
      </c>
      <c r="H71" s="5" t="s">
        <v>105</v>
      </c>
      <c r="I71" s="3" t="s">
        <v>238</v>
      </c>
      <c r="J71" s="9" t="s">
        <v>501</v>
      </c>
      <c r="K71" s="9" t="s">
        <v>502</v>
      </c>
      <c r="L71" s="162" t="s">
        <v>215</v>
      </c>
      <c r="M71" s="4">
        <v>1</v>
      </c>
      <c r="N71" s="7"/>
      <c r="O71" s="7">
        <v>2922850</v>
      </c>
      <c r="P71" s="116" t="s">
        <v>216</v>
      </c>
      <c r="Q71" s="64"/>
      <c r="R71" s="116"/>
      <c r="S71" s="2" t="s">
        <v>491</v>
      </c>
      <c r="T71" s="64">
        <v>45611</v>
      </c>
      <c r="U71" s="65">
        <f t="shared" si="20"/>
        <v>2922850</v>
      </c>
      <c r="V71" s="98">
        <v>1</v>
      </c>
      <c r="W71" s="157" t="s">
        <v>84</v>
      </c>
      <c r="X71" s="68"/>
      <c r="Y71" s="68">
        <v>45628</v>
      </c>
      <c r="Z71" s="64">
        <v>45642</v>
      </c>
      <c r="AA71" s="69">
        <v>0.1</v>
      </c>
      <c r="AB71" s="7">
        <f t="shared" si="8"/>
        <v>2922850</v>
      </c>
      <c r="AC71" s="7">
        <f t="shared" si="9"/>
        <v>292285</v>
      </c>
      <c r="AD71" s="65">
        <f t="shared" si="7"/>
        <v>3215135</v>
      </c>
      <c r="AE71" s="99"/>
      <c r="AF71" s="125" t="s">
        <v>167</v>
      </c>
    </row>
    <row r="72" spans="1:32" ht="15" customHeight="1" outlineLevel="1" x14ac:dyDescent="0.3">
      <c r="A72" s="70" t="s">
        <v>416</v>
      </c>
      <c r="B72" s="3" t="s">
        <v>242</v>
      </c>
      <c r="C72" s="3" t="s">
        <v>7</v>
      </c>
      <c r="D72" s="160">
        <v>45608</v>
      </c>
      <c r="E72" s="3" t="s">
        <v>81</v>
      </c>
      <c r="F72" s="5" t="s">
        <v>508</v>
      </c>
      <c r="G72" s="5" t="s">
        <v>59</v>
      </c>
      <c r="H72" s="5" t="s">
        <v>105</v>
      </c>
      <c r="I72" s="3" t="s">
        <v>238</v>
      </c>
      <c r="J72" s="9" t="s">
        <v>509</v>
      </c>
      <c r="K72" s="9" t="s">
        <v>510</v>
      </c>
      <c r="L72" s="162" t="s">
        <v>215</v>
      </c>
      <c r="M72" s="4">
        <v>1</v>
      </c>
      <c r="N72" s="7"/>
      <c r="O72" s="7">
        <v>788260</v>
      </c>
      <c r="P72" s="116" t="s">
        <v>216</v>
      </c>
      <c r="Q72" s="64"/>
      <c r="R72" s="116"/>
      <c r="S72" s="2" t="s">
        <v>491</v>
      </c>
      <c r="T72" s="64">
        <v>45616</v>
      </c>
      <c r="U72" s="65">
        <f t="shared" si="20"/>
        <v>788260</v>
      </c>
      <c r="V72" s="98">
        <v>1</v>
      </c>
      <c r="W72" s="157" t="s">
        <v>84</v>
      </c>
      <c r="X72" s="68"/>
      <c r="Y72" s="68">
        <v>45628</v>
      </c>
      <c r="Z72" s="64">
        <v>45642</v>
      </c>
      <c r="AA72" s="69">
        <v>0.1</v>
      </c>
      <c r="AB72" s="7">
        <f t="shared" si="8"/>
        <v>788260</v>
      </c>
      <c r="AC72" s="7">
        <f t="shared" si="9"/>
        <v>78826</v>
      </c>
      <c r="AD72" s="65">
        <f t="shared" si="7"/>
        <v>867086</v>
      </c>
      <c r="AE72" s="99" t="s">
        <v>511</v>
      </c>
      <c r="AF72" s="125" t="s">
        <v>168</v>
      </c>
    </row>
    <row r="73" spans="1:32" ht="15" customHeight="1" outlineLevel="1" x14ac:dyDescent="0.3">
      <c r="A73" s="70" t="s">
        <v>417</v>
      </c>
      <c r="B73" s="3" t="s">
        <v>242</v>
      </c>
      <c r="C73" s="3" t="s">
        <v>7</v>
      </c>
      <c r="D73" s="160">
        <v>45608</v>
      </c>
      <c r="E73" s="3" t="s">
        <v>81</v>
      </c>
      <c r="F73" s="5" t="s">
        <v>169</v>
      </c>
      <c r="G73" s="5" t="s">
        <v>59</v>
      </c>
      <c r="H73" s="5" t="s">
        <v>105</v>
      </c>
      <c r="I73" s="3" t="s">
        <v>238</v>
      </c>
      <c r="J73" s="9" t="s">
        <v>506</v>
      </c>
      <c r="K73" s="9" t="s">
        <v>507</v>
      </c>
      <c r="L73" s="162" t="s">
        <v>215</v>
      </c>
      <c r="M73" s="4">
        <v>1</v>
      </c>
      <c r="N73" s="7"/>
      <c r="O73" s="7">
        <v>480500</v>
      </c>
      <c r="P73" s="116" t="s">
        <v>216</v>
      </c>
      <c r="Q73" s="64"/>
      <c r="R73" s="116"/>
      <c r="S73" s="2" t="s">
        <v>491</v>
      </c>
      <c r="T73" s="64">
        <v>45616</v>
      </c>
      <c r="U73" s="65">
        <f t="shared" ref="U73:U107" si="21">O73*V73</f>
        <v>480500</v>
      </c>
      <c r="V73" s="98">
        <v>1</v>
      </c>
      <c r="W73" s="157" t="s">
        <v>84</v>
      </c>
      <c r="X73" s="68"/>
      <c r="Y73" s="68">
        <v>45628</v>
      </c>
      <c r="Z73" s="64">
        <v>45642</v>
      </c>
      <c r="AA73" s="69">
        <v>0.1</v>
      </c>
      <c r="AB73" s="7">
        <f t="shared" si="8"/>
        <v>480500</v>
      </c>
      <c r="AC73" s="7">
        <f t="shared" si="9"/>
        <v>48050</v>
      </c>
      <c r="AD73" s="65">
        <f t="shared" si="7"/>
        <v>528550</v>
      </c>
      <c r="AE73" s="99"/>
      <c r="AF73" s="125" t="s">
        <v>170</v>
      </c>
    </row>
    <row r="74" spans="1:32" ht="15" customHeight="1" outlineLevel="1" x14ac:dyDescent="0.3">
      <c r="A74" s="70" t="s">
        <v>418</v>
      </c>
      <c r="B74" s="3" t="s">
        <v>242</v>
      </c>
      <c r="C74" s="3" t="s">
        <v>7</v>
      </c>
      <c r="D74" s="160">
        <v>45621</v>
      </c>
      <c r="E74" s="3" t="s">
        <v>81</v>
      </c>
      <c r="F74" s="5" t="s">
        <v>171</v>
      </c>
      <c r="G74" s="5" t="s">
        <v>59</v>
      </c>
      <c r="H74" s="5" t="s">
        <v>213</v>
      </c>
      <c r="I74" s="3" t="s">
        <v>238</v>
      </c>
      <c r="J74" s="9" t="s">
        <v>566</v>
      </c>
      <c r="K74" s="9" t="s">
        <v>516</v>
      </c>
      <c r="L74" s="162" t="s">
        <v>215</v>
      </c>
      <c r="M74" s="4">
        <v>1</v>
      </c>
      <c r="N74" s="7"/>
      <c r="O74" s="7">
        <v>1898190</v>
      </c>
      <c r="P74" s="116" t="s">
        <v>216</v>
      </c>
      <c r="Q74" s="64"/>
      <c r="R74" s="116"/>
      <c r="S74" s="2" t="s">
        <v>491</v>
      </c>
      <c r="T74" s="64">
        <v>45623</v>
      </c>
      <c r="U74" s="65">
        <f t="shared" si="21"/>
        <v>1898190</v>
      </c>
      <c r="V74" s="98">
        <v>1</v>
      </c>
      <c r="W74" s="157" t="s">
        <v>84</v>
      </c>
      <c r="X74" s="68"/>
      <c r="Y74" s="68">
        <v>45628</v>
      </c>
      <c r="Z74" s="64">
        <v>45642</v>
      </c>
      <c r="AA74" s="69">
        <v>0.1</v>
      </c>
      <c r="AB74" s="7">
        <f t="shared" si="8"/>
        <v>1898190</v>
      </c>
      <c r="AC74" s="7">
        <f t="shared" si="9"/>
        <v>189819</v>
      </c>
      <c r="AD74" s="65">
        <f t="shared" si="7"/>
        <v>2088009</v>
      </c>
      <c r="AE74" s="99"/>
      <c r="AF74" s="125" t="s">
        <v>172</v>
      </c>
    </row>
    <row r="75" spans="1:32" ht="15" customHeight="1" outlineLevel="1" x14ac:dyDescent="0.3">
      <c r="A75" s="70" t="s">
        <v>419</v>
      </c>
      <c r="B75" s="3" t="s">
        <v>242</v>
      </c>
      <c r="C75" s="3" t="s">
        <v>7</v>
      </c>
      <c r="D75" s="160">
        <v>45629</v>
      </c>
      <c r="E75" s="3" t="s">
        <v>81</v>
      </c>
      <c r="F75" s="5" t="s">
        <v>173</v>
      </c>
      <c r="G75" s="5" t="s">
        <v>59</v>
      </c>
      <c r="H75" s="5" t="s">
        <v>105</v>
      </c>
      <c r="I75" s="3" t="s">
        <v>238</v>
      </c>
      <c r="J75" s="9" t="s">
        <v>513</v>
      </c>
      <c r="K75" s="9" t="s">
        <v>512</v>
      </c>
      <c r="L75" s="162" t="s">
        <v>215</v>
      </c>
      <c r="M75" s="4">
        <v>110</v>
      </c>
      <c r="N75" s="7"/>
      <c r="O75" s="7">
        <v>1575350</v>
      </c>
      <c r="P75" s="116" t="s">
        <v>216</v>
      </c>
      <c r="Q75" s="64">
        <v>45639</v>
      </c>
      <c r="R75" s="116"/>
      <c r="S75" s="2" t="s">
        <v>491</v>
      </c>
      <c r="T75" s="64">
        <v>45650</v>
      </c>
      <c r="U75" s="65">
        <f t="shared" si="21"/>
        <v>1575350</v>
      </c>
      <c r="V75" s="98">
        <v>1</v>
      </c>
      <c r="W75" s="157" t="s">
        <v>84</v>
      </c>
      <c r="X75" s="68"/>
      <c r="Y75" s="68">
        <v>45642</v>
      </c>
      <c r="Z75" s="64">
        <v>45657</v>
      </c>
      <c r="AA75" s="69">
        <v>0.1</v>
      </c>
      <c r="AB75" s="7">
        <f t="shared" si="8"/>
        <v>1575350</v>
      </c>
      <c r="AC75" s="7">
        <f t="shared" si="9"/>
        <v>157535</v>
      </c>
      <c r="AD75" s="65">
        <f t="shared" si="7"/>
        <v>1732885</v>
      </c>
      <c r="AE75" s="99"/>
      <c r="AF75" s="125" t="s">
        <v>174</v>
      </c>
    </row>
    <row r="76" spans="1:32" ht="15" customHeight="1" outlineLevel="1" x14ac:dyDescent="0.3">
      <c r="A76" s="70" t="s">
        <v>420</v>
      </c>
      <c r="B76" s="3" t="s">
        <v>639</v>
      </c>
      <c r="C76" s="3" t="s">
        <v>640</v>
      </c>
      <c r="D76" s="160">
        <v>45637</v>
      </c>
      <c r="E76" s="3" t="s">
        <v>175</v>
      </c>
      <c r="F76" s="5" t="s">
        <v>176</v>
      </c>
      <c r="G76" s="5" t="s">
        <v>247</v>
      </c>
      <c r="H76" s="5" t="s">
        <v>214</v>
      </c>
      <c r="I76" s="3" t="s">
        <v>239</v>
      </c>
      <c r="J76" s="9" t="s">
        <v>177</v>
      </c>
      <c r="K76" s="9" t="s">
        <v>177</v>
      </c>
      <c r="L76" s="162" t="s">
        <v>215</v>
      </c>
      <c r="M76" s="4">
        <v>1</v>
      </c>
      <c r="N76" s="7"/>
      <c r="O76" s="7">
        <v>3000000</v>
      </c>
      <c r="P76" s="116" t="s">
        <v>216</v>
      </c>
      <c r="Q76" s="64">
        <v>45716</v>
      </c>
      <c r="R76" s="116"/>
      <c r="T76" s="64"/>
      <c r="U76" s="65">
        <f t="shared" si="21"/>
        <v>3000000</v>
      </c>
      <c r="V76" s="98">
        <v>1</v>
      </c>
      <c r="W76" s="157" t="s">
        <v>648</v>
      </c>
      <c r="X76" s="68"/>
      <c r="Y76" s="68" t="s">
        <v>484</v>
      </c>
      <c r="Z76" s="64">
        <v>45646</v>
      </c>
      <c r="AA76" s="69">
        <v>-3.3000000000000002E-2</v>
      </c>
      <c r="AB76" s="7">
        <f t="shared" si="8"/>
        <v>3000000</v>
      </c>
      <c r="AC76" s="7">
        <f t="shared" si="9"/>
        <v>-99000</v>
      </c>
      <c r="AD76" s="65">
        <f t="shared" si="7"/>
        <v>2901000</v>
      </c>
      <c r="AE76" s="99" t="s">
        <v>66</v>
      </c>
      <c r="AF76" s="125" t="s">
        <v>178</v>
      </c>
    </row>
    <row r="77" spans="1:32" ht="15" customHeight="1" outlineLevel="1" x14ac:dyDescent="0.3">
      <c r="A77" s="70" t="s">
        <v>421</v>
      </c>
      <c r="B77" s="3" t="s">
        <v>639</v>
      </c>
      <c r="C77" s="3" t="s">
        <v>640</v>
      </c>
      <c r="D77" s="160">
        <v>45637</v>
      </c>
      <c r="E77" s="3" t="s">
        <v>890</v>
      </c>
      <c r="F77" s="5" t="s">
        <v>891</v>
      </c>
      <c r="G77" s="5" t="s">
        <v>247</v>
      </c>
      <c r="H77" s="5" t="s">
        <v>214</v>
      </c>
      <c r="I77" s="3" t="s">
        <v>239</v>
      </c>
      <c r="J77" s="9" t="s">
        <v>177</v>
      </c>
      <c r="K77" s="9" t="s">
        <v>892</v>
      </c>
      <c r="L77" s="162" t="s">
        <v>215</v>
      </c>
      <c r="M77" s="4">
        <v>1</v>
      </c>
      <c r="N77" s="7"/>
      <c r="O77" s="7">
        <v>3000000</v>
      </c>
      <c r="P77" s="116" t="s">
        <v>216</v>
      </c>
      <c r="Q77" s="64">
        <v>45716</v>
      </c>
      <c r="R77" s="116"/>
      <c r="T77" s="64"/>
      <c r="U77" s="65">
        <f t="shared" si="21"/>
        <v>3000000</v>
      </c>
      <c r="V77" s="98">
        <v>1</v>
      </c>
      <c r="W77" s="157" t="s">
        <v>180</v>
      </c>
      <c r="X77" s="68">
        <v>45887</v>
      </c>
      <c r="Y77" s="68"/>
      <c r="Z77" s="64">
        <v>45887</v>
      </c>
      <c r="AA77" s="69">
        <v>-3.3000000000000002E-2</v>
      </c>
      <c r="AB77" s="7">
        <f t="shared" si="8"/>
        <v>3000000</v>
      </c>
      <c r="AC77" s="7">
        <f t="shared" si="9"/>
        <v>-99000</v>
      </c>
      <c r="AD77" s="65">
        <f t="shared" si="7"/>
        <v>2901000</v>
      </c>
      <c r="AE77" s="99" t="s">
        <v>893</v>
      </c>
      <c r="AF77" s="125" t="s">
        <v>178</v>
      </c>
    </row>
    <row r="78" spans="1:32" ht="15" customHeight="1" outlineLevel="1" x14ac:dyDescent="0.3">
      <c r="A78" s="70" t="s">
        <v>422</v>
      </c>
      <c r="B78" s="3" t="s">
        <v>242</v>
      </c>
      <c r="C78" s="3" t="s">
        <v>23</v>
      </c>
      <c r="D78" s="160">
        <v>45639</v>
      </c>
      <c r="E78" s="3" t="s">
        <v>220</v>
      </c>
      <c r="F78" s="5" t="s">
        <v>181</v>
      </c>
      <c r="G78" s="5" t="s">
        <v>59</v>
      </c>
      <c r="H78" s="5" t="s">
        <v>70</v>
      </c>
      <c r="I78" s="3" t="s">
        <v>238</v>
      </c>
      <c r="J78" s="9" t="s">
        <v>182</v>
      </c>
      <c r="K78" s="9" t="s">
        <v>182</v>
      </c>
      <c r="L78" s="162" t="s">
        <v>215</v>
      </c>
      <c r="M78" s="4">
        <v>1</v>
      </c>
      <c r="N78" s="7"/>
      <c r="O78" s="7">
        <v>536000</v>
      </c>
      <c r="P78" s="116" t="s">
        <v>216</v>
      </c>
      <c r="Q78" s="64">
        <v>45667</v>
      </c>
      <c r="R78" s="116" t="s">
        <v>78</v>
      </c>
      <c r="S78" s="2" t="s">
        <v>491</v>
      </c>
      <c r="T78" s="64">
        <v>45625</v>
      </c>
      <c r="U78" s="65">
        <f t="shared" si="21"/>
        <v>536000</v>
      </c>
      <c r="V78" s="98">
        <v>1</v>
      </c>
      <c r="W78" s="157" t="s">
        <v>88</v>
      </c>
      <c r="X78" s="68"/>
      <c r="Y78" s="68">
        <v>45639</v>
      </c>
      <c r="Z78" s="64">
        <v>45646</v>
      </c>
      <c r="AA78" s="69">
        <v>0.1</v>
      </c>
      <c r="AB78" s="7">
        <f t="shared" si="8"/>
        <v>536000</v>
      </c>
      <c r="AC78" s="7">
        <f t="shared" si="9"/>
        <v>53600</v>
      </c>
      <c r="AD78" s="65">
        <f t="shared" si="7"/>
        <v>589600</v>
      </c>
      <c r="AE78" s="99"/>
      <c r="AF78" s="125" t="s">
        <v>183</v>
      </c>
    </row>
    <row r="79" spans="1:32" ht="15" customHeight="1" outlineLevel="1" x14ac:dyDescent="0.3">
      <c r="A79" s="70" t="s">
        <v>423</v>
      </c>
      <c r="B79" s="3" t="s">
        <v>242</v>
      </c>
      <c r="C79" s="3" t="s">
        <v>7</v>
      </c>
      <c r="D79" s="160">
        <v>45642</v>
      </c>
      <c r="E79" s="3" t="s">
        <v>76</v>
      </c>
      <c r="F79" s="5" t="s">
        <v>489</v>
      </c>
      <c r="G79" s="5" t="s">
        <v>59</v>
      </c>
      <c r="H79" s="5" t="s">
        <v>70</v>
      </c>
      <c r="I79" s="3" t="s">
        <v>238</v>
      </c>
      <c r="J79" s="9" t="s">
        <v>272</v>
      </c>
      <c r="K79" s="9" t="s">
        <v>271</v>
      </c>
      <c r="L79" s="162" t="s">
        <v>215</v>
      </c>
      <c r="M79" s="4">
        <v>400</v>
      </c>
      <c r="N79" s="7"/>
      <c r="O79" s="7">
        <v>1080000</v>
      </c>
      <c r="P79" s="116" t="s">
        <v>216</v>
      </c>
      <c r="Q79" s="64">
        <v>45684</v>
      </c>
      <c r="R79" s="116" t="s">
        <v>135</v>
      </c>
      <c r="S79" s="2" t="s">
        <v>491</v>
      </c>
      <c r="T79" s="64">
        <v>45639</v>
      </c>
      <c r="U79" s="65">
        <f t="shared" si="21"/>
        <v>1080000</v>
      </c>
      <c r="V79" s="98">
        <v>1</v>
      </c>
      <c r="W79" s="157" t="s">
        <v>79</v>
      </c>
      <c r="X79" s="68"/>
      <c r="Y79" s="68">
        <v>45657</v>
      </c>
      <c r="Z79" s="64">
        <v>45660</v>
      </c>
      <c r="AA79" s="69">
        <v>0.1</v>
      </c>
      <c r="AB79" s="7">
        <f t="shared" si="8"/>
        <v>1080000</v>
      </c>
      <c r="AC79" s="7">
        <f t="shared" si="9"/>
        <v>108000</v>
      </c>
      <c r="AD79" s="65">
        <f t="shared" si="7"/>
        <v>1188000</v>
      </c>
      <c r="AE79" s="99"/>
      <c r="AF79" s="125" t="s">
        <v>184</v>
      </c>
    </row>
    <row r="80" spans="1:32" ht="15" customHeight="1" outlineLevel="1" x14ac:dyDescent="0.3">
      <c r="A80" s="70" t="s">
        <v>424</v>
      </c>
      <c r="B80" s="3" t="s">
        <v>242</v>
      </c>
      <c r="C80" s="3" t="s">
        <v>7</v>
      </c>
      <c r="D80" s="160">
        <v>45645</v>
      </c>
      <c r="E80" s="3" t="s">
        <v>233</v>
      </c>
      <c r="F80" s="5" t="s">
        <v>185</v>
      </c>
      <c r="G80" s="5" t="s">
        <v>59</v>
      </c>
      <c r="H80" s="5" t="s">
        <v>70</v>
      </c>
      <c r="I80" s="3" t="s">
        <v>238</v>
      </c>
      <c r="J80" s="9" t="s">
        <v>269</v>
      </c>
      <c r="K80" s="9" t="s">
        <v>465</v>
      </c>
      <c r="L80" s="162" t="s">
        <v>20</v>
      </c>
      <c r="M80" s="4">
        <v>100</v>
      </c>
      <c r="N80" s="7"/>
      <c r="O80" s="7">
        <v>180000</v>
      </c>
      <c r="P80" s="116" t="s">
        <v>216</v>
      </c>
      <c r="Q80" s="64">
        <v>45672</v>
      </c>
      <c r="R80" s="116"/>
      <c r="S80" s="2" t="s">
        <v>491</v>
      </c>
      <c r="T80" s="64">
        <v>45659</v>
      </c>
      <c r="U80" s="65">
        <f t="shared" si="21"/>
        <v>180000</v>
      </c>
      <c r="V80" s="98">
        <v>1</v>
      </c>
      <c r="W80" s="157" t="s">
        <v>588</v>
      </c>
      <c r="X80" s="68"/>
      <c r="Y80" s="68">
        <v>45659</v>
      </c>
      <c r="Z80" s="64">
        <v>45678</v>
      </c>
      <c r="AA80" s="69">
        <v>0.1</v>
      </c>
      <c r="AB80" s="7">
        <f t="shared" si="8"/>
        <v>180000</v>
      </c>
      <c r="AC80" s="7">
        <f t="shared" si="9"/>
        <v>18000</v>
      </c>
      <c r="AD80" s="65">
        <f t="shared" si="7"/>
        <v>198000</v>
      </c>
      <c r="AE80" s="99"/>
      <c r="AF80" s="125" t="s">
        <v>186</v>
      </c>
    </row>
    <row r="81" spans="1:32" ht="15" customHeight="1" outlineLevel="1" x14ac:dyDescent="0.3">
      <c r="A81" s="70" t="s">
        <v>425</v>
      </c>
      <c r="B81" s="3" t="s">
        <v>242</v>
      </c>
      <c r="C81" s="3" t="s">
        <v>7</v>
      </c>
      <c r="D81" s="160">
        <v>45644</v>
      </c>
      <c r="E81" s="3" t="s">
        <v>237</v>
      </c>
      <c r="F81" s="5" t="s">
        <v>187</v>
      </c>
      <c r="G81" s="5" t="s">
        <v>59</v>
      </c>
      <c r="H81" s="5" t="s">
        <v>457</v>
      </c>
      <c r="I81" s="3" t="s">
        <v>238</v>
      </c>
      <c r="J81" s="9" t="s">
        <v>188</v>
      </c>
      <c r="K81" s="9" t="s">
        <v>476</v>
      </c>
      <c r="L81" s="162" t="s">
        <v>215</v>
      </c>
      <c r="M81" s="4">
        <v>300</v>
      </c>
      <c r="N81" s="7"/>
      <c r="O81" s="7">
        <v>270000</v>
      </c>
      <c r="P81" s="116" t="s">
        <v>216</v>
      </c>
      <c r="Q81" s="64">
        <v>45673</v>
      </c>
      <c r="R81" s="116"/>
      <c r="S81" s="2" t="s">
        <v>491</v>
      </c>
      <c r="T81" s="64">
        <v>45644</v>
      </c>
      <c r="U81" s="65">
        <f t="shared" si="21"/>
        <v>270000</v>
      </c>
      <c r="V81" s="98">
        <v>1</v>
      </c>
      <c r="W81" s="157" t="s">
        <v>79</v>
      </c>
      <c r="X81" s="68"/>
      <c r="Y81" s="68">
        <v>45657</v>
      </c>
      <c r="Z81" s="64">
        <v>45678</v>
      </c>
      <c r="AA81" s="69">
        <v>0.1</v>
      </c>
      <c r="AB81" s="7">
        <f t="shared" si="8"/>
        <v>270000</v>
      </c>
      <c r="AC81" s="7">
        <f t="shared" si="9"/>
        <v>27000</v>
      </c>
      <c r="AD81" s="65">
        <f t="shared" si="7"/>
        <v>297000</v>
      </c>
      <c r="AE81" s="99"/>
      <c r="AF81" s="125" t="s">
        <v>190</v>
      </c>
    </row>
    <row r="82" spans="1:32" ht="15" customHeight="1" outlineLevel="1" x14ac:dyDescent="0.3">
      <c r="A82" s="70" t="s">
        <v>426</v>
      </c>
      <c r="B82" s="3" t="s">
        <v>242</v>
      </c>
      <c r="C82" s="3" t="s">
        <v>7</v>
      </c>
      <c r="D82" s="160">
        <v>45645</v>
      </c>
      <c r="E82" s="3" t="s">
        <v>220</v>
      </c>
      <c r="F82" s="5" t="s">
        <v>191</v>
      </c>
      <c r="G82" s="5" t="s">
        <v>59</v>
      </c>
      <c r="H82" s="5" t="s">
        <v>70</v>
      </c>
      <c r="I82" s="3" t="s">
        <v>238</v>
      </c>
      <c r="J82" s="9" t="s">
        <v>192</v>
      </c>
      <c r="K82" s="9" t="s">
        <v>192</v>
      </c>
      <c r="L82" s="162" t="s">
        <v>215</v>
      </c>
      <c r="M82" s="4">
        <v>210</v>
      </c>
      <c r="N82" s="7"/>
      <c r="O82" s="7">
        <v>320000</v>
      </c>
      <c r="P82" s="116" t="s">
        <v>216</v>
      </c>
      <c r="Q82" s="64">
        <v>45673</v>
      </c>
      <c r="R82" s="116"/>
      <c r="S82" s="2" t="s">
        <v>491</v>
      </c>
      <c r="T82" s="64">
        <v>45645</v>
      </c>
      <c r="U82" s="65">
        <f t="shared" si="21"/>
        <v>320000</v>
      </c>
      <c r="V82" s="98">
        <v>1</v>
      </c>
      <c r="W82" s="157" t="s">
        <v>88</v>
      </c>
      <c r="X82" s="68"/>
      <c r="Y82" s="68">
        <v>45646</v>
      </c>
      <c r="Z82" s="64">
        <v>45657</v>
      </c>
      <c r="AA82" s="69">
        <v>0.1</v>
      </c>
      <c r="AB82" s="7">
        <f t="shared" si="8"/>
        <v>320000</v>
      </c>
      <c r="AC82" s="7">
        <f t="shared" si="9"/>
        <v>32000</v>
      </c>
      <c r="AD82" s="65">
        <f t="shared" si="7"/>
        <v>352000</v>
      </c>
      <c r="AE82" s="99"/>
      <c r="AF82" s="125" t="s">
        <v>193</v>
      </c>
    </row>
    <row r="83" spans="1:32" ht="15" customHeight="1" outlineLevel="1" x14ac:dyDescent="0.3">
      <c r="A83" s="70" t="s">
        <v>427</v>
      </c>
      <c r="B83" s="3" t="s">
        <v>639</v>
      </c>
      <c r="C83" s="3" t="s">
        <v>640</v>
      </c>
      <c r="D83" s="160">
        <v>45646</v>
      </c>
      <c r="E83" s="3" t="s">
        <v>658</v>
      </c>
      <c r="F83" s="5" t="s">
        <v>660</v>
      </c>
      <c r="G83" s="5" t="s">
        <v>60</v>
      </c>
      <c r="H83" s="5" t="s">
        <v>105</v>
      </c>
      <c r="I83" s="3" t="s">
        <v>10</v>
      </c>
      <c r="J83" s="9" t="s">
        <v>667</v>
      </c>
      <c r="K83" s="9" t="s">
        <v>667</v>
      </c>
      <c r="L83" s="162" t="s">
        <v>215</v>
      </c>
      <c r="M83" s="4">
        <v>1</v>
      </c>
      <c r="N83" s="7">
        <v>5000000</v>
      </c>
      <c r="O83" s="7">
        <f>M83*N83</f>
        <v>5000000</v>
      </c>
      <c r="P83" s="116" t="s">
        <v>22</v>
      </c>
      <c r="Q83" s="64">
        <v>45716</v>
      </c>
      <c r="R83" s="116"/>
      <c r="T83" s="64">
        <v>45716</v>
      </c>
      <c r="U83" s="65">
        <f>O83*V83</f>
        <v>5000000</v>
      </c>
      <c r="V83" s="98">
        <v>1</v>
      </c>
      <c r="W83" s="157" t="s">
        <v>649</v>
      </c>
      <c r="X83" s="68">
        <v>45721</v>
      </c>
      <c r="Y83" s="68"/>
      <c r="Z83" s="64">
        <v>45721</v>
      </c>
      <c r="AA83" s="69">
        <v>-3.3000000000000002E-2</v>
      </c>
      <c r="AB83" s="7">
        <f>U83</f>
        <v>5000000</v>
      </c>
      <c r="AC83" s="7">
        <f>AB83*AA83</f>
        <v>-165000</v>
      </c>
      <c r="AD83" s="65">
        <f>SUM(AB83:AC83)</f>
        <v>4835000</v>
      </c>
      <c r="AE83" s="99" t="s">
        <v>66</v>
      </c>
      <c r="AF83" s="125" t="s">
        <v>705</v>
      </c>
    </row>
    <row r="84" spans="1:32" ht="15" customHeight="1" outlineLevel="1" x14ac:dyDescent="0.3">
      <c r="A84" s="70" t="s">
        <v>448</v>
      </c>
      <c r="B84" s="3" t="s">
        <v>242</v>
      </c>
      <c r="C84" s="3" t="s">
        <v>23</v>
      </c>
      <c r="D84" s="160">
        <v>45650</v>
      </c>
      <c r="E84" s="3" t="s">
        <v>227</v>
      </c>
      <c r="F84" s="5" t="s">
        <v>194</v>
      </c>
      <c r="G84" s="5" t="s">
        <v>59</v>
      </c>
      <c r="H84" s="5" t="s">
        <v>105</v>
      </c>
      <c r="I84" s="3" t="s">
        <v>238</v>
      </c>
      <c r="J84" s="9" t="s">
        <v>521</v>
      </c>
      <c r="K84" s="9" t="s">
        <v>522</v>
      </c>
      <c r="L84" s="162" t="s">
        <v>215</v>
      </c>
      <c r="M84" s="4">
        <v>70</v>
      </c>
      <c r="N84" s="7"/>
      <c r="O84" s="7">
        <v>3010000</v>
      </c>
      <c r="P84" s="116" t="s">
        <v>216</v>
      </c>
      <c r="Q84" s="64">
        <v>45665</v>
      </c>
      <c r="R84" s="116"/>
      <c r="S84" s="2" t="s">
        <v>491</v>
      </c>
      <c r="T84" s="64">
        <v>45656</v>
      </c>
      <c r="U84" s="65">
        <f t="shared" si="21"/>
        <v>3010000</v>
      </c>
      <c r="V84" s="98">
        <v>1</v>
      </c>
      <c r="W84" s="157" t="s">
        <v>84</v>
      </c>
      <c r="X84" s="68"/>
      <c r="Y84" s="68">
        <v>45656</v>
      </c>
      <c r="Z84" s="64">
        <v>45657</v>
      </c>
      <c r="AA84" s="69">
        <v>0.1</v>
      </c>
      <c r="AB84" s="7">
        <f t="shared" si="8"/>
        <v>3010000</v>
      </c>
      <c r="AC84" s="7">
        <f t="shared" si="9"/>
        <v>301000</v>
      </c>
      <c r="AD84" s="65">
        <f t="shared" ref="AD84:AD189" si="22">SUM(AB84:AC84)</f>
        <v>3311000</v>
      </c>
      <c r="AE84" s="99"/>
      <c r="AF84" s="125" t="s">
        <v>195</v>
      </c>
    </row>
    <row r="85" spans="1:32" ht="15" customHeight="1" outlineLevel="1" x14ac:dyDescent="0.3">
      <c r="A85" s="70" t="s">
        <v>449</v>
      </c>
      <c r="B85" s="3" t="s">
        <v>242</v>
      </c>
      <c r="C85" s="3" t="s">
        <v>23</v>
      </c>
      <c r="D85" s="160">
        <v>45650</v>
      </c>
      <c r="E85" s="3" t="s">
        <v>227</v>
      </c>
      <c r="F85" s="5" t="s">
        <v>196</v>
      </c>
      <c r="G85" s="5" t="s">
        <v>59</v>
      </c>
      <c r="H85" s="5" t="s">
        <v>105</v>
      </c>
      <c r="I85" s="3" t="s">
        <v>238</v>
      </c>
      <c r="J85" s="9" t="s">
        <v>267</v>
      </c>
      <c r="K85" s="9" t="s">
        <v>267</v>
      </c>
      <c r="L85" s="162" t="s">
        <v>20</v>
      </c>
      <c r="M85" s="4">
        <v>70</v>
      </c>
      <c r="N85" s="7"/>
      <c r="O85" s="7">
        <v>6209000</v>
      </c>
      <c r="P85" s="116" t="s">
        <v>216</v>
      </c>
      <c r="Q85" s="64">
        <v>45665</v>
      </c>
      <c r="R85" s="116"/>
      <c r="S85" s="2" t="s">
        <v>491</v>
      </c>
      <c r="T85" s="64">
        <v>45673</v>
      </c>
      <c r="U85" s="65">
        <f t="shared" si="21"/>
        <v>6209000</v>
      </c>
      <c r="V85" s="98">
        <v>1</v>
      </c>
      <c r="W85" s="157" t="s">
        <v>84</v>
      </c>
      <c r="X85" s="68">
        <v>45693</v>
      </c>
      <c r="Y85" s="68">
        <v>45681</v>
      </c>
      <c r="Z85" s="64">
        <v>45694</v>
      </c>
      <c r="AA85" s="69">
        <v>0.1</v>
      </c>
      <c r="AB85" s="7">
        <f t="shared" si="8"/>
        <v>6209000</v>
      </c>
      <c r="AC85" s="7">
        <f t="shared" si="9"/>
        <v>620900</v>
      </c>
      <c r="AD85" s="65">
        <f t="shared" si="22"/>
        <v>6829900</v>
      </c>
      <c r="AE85" s="99"/>
      <c r="AF85" s="125" t="s">
        <v>197</v>
      </c>
    </row>
    <row r="86" spans="1:32" ht="15" customHeight="1" outlineLevel="1" x14ac:dyDescent="0.3">
      <c r="A86" s="70" t="s">
        <v>468</v>
      </c>
      <c r="B86" s="3" t="s">
        <v>242</v>
      </c>
      <c r="C86" s="3" t="s">
        <v>23</v>
      </c>
      <c r="D86" s="160">
        <v>45650</v>
      </c>
      <c r="E86" s="3" t="s">
        <v>227</v>
      </c>
      <c r="F86" s="5" t="s">
        <v>198</v>
      </c>
      <c r="G86" s="5" t="s">
        <v>59</v>
      </c>
      <c r="H86" s="5" t="s">
        <v>105</v>
      </c>
      <c r="I86" s="3" t="s">
        <v>238</v>
      </c>
      <c r="J86" s="9" t="s">
        <v>268</v>
      </c>
      <c r="K86" s="9" t="s">
        <v>268</v>
      </c>
      <c r="L86" s="162" t="s">
        <v>215</v>
      </c>
      <c r="M86" s="4">
        <v>110</v>
      </c>
      <c r="N86" s="7"/>
      <c r="O86" s="7">
        <v>1300000</v>
      </c>
      <c r="P86" s="116" t="s">
        <v>216</v>
      </c>
      <c r="Q86" s="64">
        <v>45665</v>
      </c>
      <c r="R86" s="116"/>
      <c r="S86" s="2" t="s">
        <v>491</v>
      </c>
      <c r="T86" s="64">
        <v>45646</v>
      </c>
      <c r="U86" s="65">
        <f t="shared" si="21"/>
        <v>1300000</v>
      </c>
      <c r="V86" s="98">
        <v>1</v>
      </c>
      <c r="W86" s="157" t="s">
        <v>84</v>
      </c>
      <c r="X86" s="68"/>
      <c r="Y86" s="68">
        <v>45646</v>
      </c>
      <c r="Z86" s="64">
        <v>45657</v>
      </c>
      <c r="AA86" s="69">
        <v>0.1</v>
      </c>
      <c r="AB86" s="7">
        <f t="shared" si="8"/>
        <v>1300000</v>
      </c>
      <c r="AC86" s="7">
        <f t="shared" si="9"/>
        <v>130000</v>
      </c>
      <c r="AD86" s="65">
        <f t="shared" si="22"/>
        <v>1430000</v>
      </c>
      <c r="AE86" s="99"/>
      <c r="AF86" s="125" t="s">
        <v>199</v>
      </c>
    </row>
    <row r="87" spans="1:32" ht="15" customHeight="1" outlineLevel="1" x14ac:dyDescent="0.3">
      <c r="A87" s="70" t="s">
        <v>469</v>
      </c>
      <c r="B87" s="3" t="s">
        <v>242</v>
      </c>
      <c r="C87" s="3" t="s">
        <v>7</v>
      </c>
      <c r="D87" s="160">
        <v>45652</v>
      </c>
      <c r="E87" s="3" t="s">
        <v>81</v>
      </c>
      <c r="F87" s="5" t="s">
        <v>200</v>
      </c>
      <c r="G87" s="5" t="s">
        <v>59</v>
      </c>
      <c r="H87" s="5" t="s">
        <v>105</v>
      </c>
      <c r="I87" s="3" t="s">
        <v>238</v>
      </c>
      <c r="J87" s="9" t="s">
        <v>567</v>
      </c>
      <c r="K87" s="9" t="s">
        <v>523</v>
      </c>
      <c r="L87" s="162" t="s">
        <v>215</v>
      </c>
      <c r="M87" s="4">
        <v>1</v>
      </c>
      <c r="N87" s="7"/>
      <c r="O87" s="7">
        <v>1304260</v>
      </c>
      <c r="P87" s="116" t="s">
        <v>216</v>
      </c>
      <c r="Q87" s="64">
        <v>45662</v>
      </c>
      <c r="R87" s="116"/>
      <c r="S87" s="2" t="s">
        <v>491</v>
      </c>
      <c r="T87" s="64">
        <v>45650</v>
      </c>
      <c r="U87" s="65">
        <f t="shared" si="21"/>
        <v>1304260</v>
      </c>
      <c r="V87" s="98">
        <v>1</v>
      </c>
      <c r="W87" s="157" t="s">
        <v>84</v>
      </c>
      <c r="X87" s="68"/>
      <c r="Y87" s="68">
        <v>45652</v>
      </c>
      <c r="Z87" s="64">
        <v>45657</v>
      </c>
      <c r="AA87" s="69">
        <v>0.1</v>
      </c>
      <c r="AB87" s="7">
        <f t="shared" si="8"/>
        <v>1304260</v>
      </c>
      <c r="AC87" s="7">
        <f t="shared" si="9"/>
        <v>130426</v>
      </c>
      <c r="AD87" s="65">
        <f t="shared" si="22"/>
        <v>1434686</v>
      </c>
      <c r="AE87" s="99"/>
      <c r="AF87" s="125" t="s">
        <v>201</v>
      </c>
    </row>
    <row r="88" spans="1:32" ht="15" customHeight="1" outlineLevel="1" x14ac:dyDescent="0.3">
      <c r="A88" s="70" t="s">
        <v>470</v>
      </c>
      <c r="B88" s="3" t="s">
        <v>242</v>
      </c>
      <c r="C88" s="3" t="s">
        <v>7</v>
      </c>
      <c r="D88" s="160">
        <v>45652</v>
      </c>
      <c r="E88" s="3" t="s">
        <v>81</v>
      </c>
      <c r="F88" s="5" t="s">
        <v>202</v>
      </c>
      <c r="G88" s="5" t="s">
        <v>59</v>
      </c>
      <c r="H88" s="5" t="s">
        <v>105</v>
      </c>
      <c r="I88" s="3" t="s">
        <v>238</v>
      </c>
      <c r="J88" s="9" t="s">
        <v>505</v>
      </c>
      <c r="K88" s="9" t="s">
        <v>499</v>
      </c>
      <c r="L88" s="162" t="s">
        <v>215</v>
      </c>
      <c r="M88" s="4">
        <v>1</v>
      </c>
      <c r="N88" s="7"/>
      <c r="O88" s="7">
        <v>718600</v>
      </c>
      <c r="P88" s="116" t="s">
        <v>216</v>
      </c>
      <c r="Q88" s="64">
        <v>45662</v>
      </c>
      <c r="R88" s="116"/>
      <c r="S88" s="2" t="s">
        <v>491</v>
      </c>
      <c r="T88" s="64">
        <v>45650</v>
      </c>
      <c r="U88" s="65">
        <f t="shared" si="21"/>
        <v>718600</v>
      </c>
      <c r="V88" s="98">
        <v>1</v>
      </c>
      <c r="W88" s="157" t="s">
        <v>84</v>
      </c>
      <c r="X88" s="68"/>
      <c r="Y88" s="68">
        <v>45652</v>
      </c>
      <c r="Z88" s="64">
        <v>45657</v>
      </c>
      <c r="AA88" s="69">
        <v>0.1</v>
      </c>
      <c r="AB88" s="7">
        <f t="shared" si="8"/>
        <v>718600</v>
      </c>
      <c r="AC88" s="7">
        <f t="shared" si="9"/>
        <v>71860</v>
      </c>
      <c r="AD88" s="65">
        <f t="shared" si="22"/>
        <v>790460</v>
      </c>
      <c r="AE88" s="99"/>
      <c r="AF88" s="125" t="s">
        <v>203</v>
      </c>
    </row>
    <row r="89" spans="1:32" ht="15" customHeight="1" outlineLevel="1" x14ac:dyDescent="0.3">
      <c r="A89" s="70" t="s">
        <v>485</v>
      </c>
      <c r="B89" s="3" t="s">
        <v>242</v>
      </c>
      <c r="C89" s="3" t="s">
        <v>7</v>
      </c>
      <c r="D89" s="160">
        <v>45653</v>
      </c>
      <c r="E89" s="3" t="s">
        <v>224</v>
      </c>
      <c r="F89" s="5" t="s">
        <v>204</v>
      </c>
      <c r="G89" s="5" t="s">
        <v>59</v>
      </c>
      <c r="H89" s="5" t="s">
        <v>105</v>
      </c>
      <c r="I89" s="3" t="s">
        <v>238</v>
      </c>
      <c r="J89" s="9" t="s">
        <v>452</v>
      </c>
      <c r="K89" s="9" t="s">
        <v>452</v>
      </c>
      <c r="L89" s="162" t="s">
        <v>20</v>
      </c>
      <c r="M89" s="4">
        <v>80</v>
      </c>
      <c r="N89" s="7"/>
      <c r="O89" s="7">
        <v>270000</v>
      </c>
      <c r="P89" s="116" t="s">
        <v>216</v>
      </c>
      <c r="Q89" s="64">
        <v>45681</v>
      </c>
      <c r="R89" s="116"/>
      <c r="S89" s="2" t="s">
        <v>491</v>
      </c>
      <c r="T89" s="64">
        <v>45666</v>
      </c>
      <c r="U89" s="65">
        <f t="shared" si="21"/>
        <v>270000</v>
      </c>
      <c r="V89" s="98">
        <v>1</v>
      </c>
      <c r="W89" s="157" t="s">
        <v>587</v>
      </c>
      <c r="X89" s="68">
        <v>45693</v>
      </c>
      <c r="Y89" s="68">
        <v>45681</v>
      </c>
      <c r="Z89" s="64">
        <v>45694</v>
      </c>
      <c r="AA89" s="69">
        <v>0.1</v>
      </c>
      <c r="AB89" s="7">
        <f t="shared" si="8"/>
        <v>270000</v>
      </c>
      <c r="AC89" s="7">
        <f t="shared" si="9"/>
        <v>27000</v>
      </c>
      <c r="AD89" s="65">
        <f t="shared" si="22"/>
        <v>297000</v>
      </c>
      <c r="AE89" s="99"/>
      <c r="AF89" s="125" t="s">
        <v>451</v>
      </c>
    </row>
    <row r="90" spans="1:32" ht="15" customHeight="1" outlineLevel="1" x14ac:dyDescent="0.3">
      <c r="A90" s="70" t="s">
        <v>622</v>
      </c>
      <c r="B90" s="3" t="s">
        <v>242</v>
      </c>
      <c r="C90" s="3" t="s">
        <v>23</v>
      </c>
      <c r="D90" s="160">
        <v>45653</v>
      </c>
      <c r="E90" s="3" t="s">
        <v>220</v>
      </c>
      <c r="F90" s="5" t="s">
        <v>205</v>
      </c>
      <c r="G90" s="5" t="s">
        <v>59</v>
      </c>
      <c r="H90" s="5" t="s">
        <v>109</v>
      </c>
      <c r="I90" s="3" t="s">
        <v>238</v>
      </c>
      <c r="J90" s="9" t="s">
        <v>206</v>
      </c>
      <c r="K90" s="9" t="s">
        <v>206</v>
      </c>
      <c r="L90" s="162" t="s">
        <v>215</v>
      </c>
      <c r="M90" s="4">
        <v>680</v>
      </c>
      <c r="N90" s="7"/>
      <c r="O90" s="7">
        <v>6898800</v>
      </c>
      <c r="P90" s="116" t="s">
        <v>216</v>
      </c>
      <c r="Q90" s="64">
        <v>45657</v>
      </c>
      <c r="R90" s="116"/>
      <c r="S90" s="2" t="s">
        <v>491</v>
      </c>
      <c r="T90" s="64">
        <v>45657</v>
      </c>
      <c r="U90" s="65">
        <f t="shared" si="21"/>
        <v>6898800</v>
      </c>
      <c r="V90" s="98">
        <v>1</v>
      </c>
      <c r="W90" s="157" t="s">
        <v>88</v>
      </c>
      <c r="X90" s="68"/>
      <c r="Y90" s="68">
        <v>45657</v>
      </c>
      <c r="Z90" s="64">
        <v>45660</v>
      </c>
      <c r="AA90" s="69">
        <v>0.1</v>
      </c>
      <c r="AB90" s="7">
        <f t="shared" si="8"/>
        <v>6898800</v>
      </c>
      <c r="AC90" s="7">
        <f t="shared" si="9"/>
        <v>689880</v>
      </c>
      <c r="AD90" s="65">
        <f t="shared" si="22"/>
        <v>7588680</v>
      </c>
      <c r="AE90" s="99"/>
      <c r="AF90" s="125" t="s">
        <v>207</v>
      </c>
    </row>
    <row r="91" spans="1:32" ht="15" customHeight="1" outlineLevel="1" x14ac:dyDescent="0.3">
      <c r="A91" s="70" t="s">
        <v>623</v>
      </c>
      <c r="B91" s="3" t="s">
        <v>6</v>
      </c>
      <c r="C91" s="3" t="s">
        <v>7</v>
      </c>
      <c r="D91" s="160">
        <v>45659</v>
      </c>
      <c r="E91" s="3" t="s">
        <v>38</v>
      </c>
      <c r="F91" s="5" t="s">
        <v>39</v>
      </c>
      <c r="G91" s="5" t="s">
        <v>60</v>
      </c>
      <c r="H91" s="5" t="s">
        <v>47</v>
      </c>
      <c r="I91" s="3" t="s">
        <v>10</v>
      </c>
      <c r="J91" s="9" t="s">
        <v>273</v>
      </c>
      <c r="K91" s="9" t="s">
        <v>48</v>
      </c>
      <c r="L91" s="162" t="s">
        <v>20</v>
      </c>
      <c r="M91" s="4">
        <v>1</v>
      </c>
      <c r="N91" s="7">
        <v>368000</v>
      </c>
      <c r="O91" s="7">
        <f t="shared" ref="O91:O92" si="23">M91*N91</f>
        <v>368000</v>
      </c>
      <c r="P91" s="116" t="s">
        <v>22</v>
      </c>
      <c r="Q91" s="64">
        <v>45659</v>
      </c>
      <c r="R91" s="116"/>
      <c r="S91" s="2" t="s">
        <v>491</v>
      </c>
      <c r="T91" s="64">
        <v>45659</v>
      </c>
      <c r="U91" s="65">
        <f t="shared" si="21"/>
        <v>368000</v>
      </c>
      <c r="V91" s="98">
        <v>1</v>
      </c>
      <c r="W91" s="157" t="s">
        <v>586</v>
      </c>
      <c r="X91" s="68"/>
      <c r="Y91" s="68">
        <v>45659</v>
      </c>
      <c r="Z91" s="64">
        <v>45678</v>
      </c>
      <c r="AA91" s="69">
        <v>0.1</v>
      </c>
      <c r="AB91" s="7">
        <f t="shared" ref="AB91:AB189" si="24">U91</f>
        <v>368000</v>
      </c>
      <c r="AC91" s="7">
        <f t="shared" ref="AC91:AC189" si="25">AB91*AA91</f>
        <v>36800</v>
      </c>
      <c r="AD91" s="65">
        <f t="shared" si="22"/>
        <v>404800</v>
      </c>
      <c r="AE91" s="99"/>
      <c r="AF91" s="125" t="s">
        <v>209</v>
      </c>
    </row>
    <row r="92" spans="1:32" ht="15" customHeight="1" outlineLevel="1" x14ac:dyDescent="0.3">
      <c r="A92" s="70" t="s">
        <v>624</v>
      </c>
      <c r="B92" s="3" t="s">
        <v>43</v>
      </c>
      <c r="C92" s="3" t="s">
        <v>42</v>
      </c>
      <c r="D92" s="160">
        <v>45659</v>
      </c>
      <c r="E92" s="3" t="s">
        <v>40</v>
      </c>
      <c r="F92" s="5" t="s">
        <v>41</v>
      </c>
      <c r="G92" s="5" t="s">
        <v>60</v>
      </c>
      <c r="H92" s="5" t="s">
        <v>47</v>
      </c>
      <c r="I92" s="3" t="s">
        <v>10</v>
      </c>
      <c r="J92" s="9" t="s">
        <v>44</v>
      </c>
      <c r="K92" s="9" t="s">
        <v>46</v>
      </c>
      <c r="L92" s="162" t="s">
        <v>215</v>
      </c>
      <c r="M92" s="4">
        <v>1</v>
      </c>
      <c r="N92" s="7">
        <v>3300000</v>
      </c>
      <c r="O92" s="7">
        <f t="shared" si="23"/>
        <v>3300000</v>
      </c>
      <c r="P92" s="116" t="s">
        <v>22</v>
      </c>
      <c r="Q92" s="64">
        <v>45673</v>
      </c>
      <c r="R92" s="116"/>
      <c r="S92" s="2" t="s">
        <v>491</v>
      </c>
      <c r="T92" s="64">
        <v>45677</v>
      </c>
      <c r="U92" s="65">
        <f t="shared" si="21"/>
        <v>3300000</v>
      </c>
      <c r="V92" s="98">
        <v>1</v>
      </c>
      <c r="W92" s="157" t="s">
        <v>45</v>
      </c>
      <c r="X92" s="68"/>
      <c r="Y92" s="68">
        <v>45660</v>
      </c>
      <c r="Z92" s="64">
        <v>45660</v>
      </c>
      <c r="AA92" s="69">
        <v>0.1</v>
      </c>
      <c r="AB92" s="7">
        <f t="shared" si="24"/>
        <v>3300000</v>
      </c>
      <c r="AC92" s="7">
        <f t="shared" si="25"/>
        <v>330000</v>
      </c>
      <c r="AD92" s="65">
        <f t="shared" si="22"/>
        <v>3630000</v>
      </c>
      <c r="AE92" s="99"/>
      <c r="AF92" s="125" t="s">
        <v>210</v>
      </c>
    </row>
    <row r="93" spans="1:32" ht="15" customHeight="1" outlineLevel="1" x14ac:dyDescent="0.3">
      <c r="A93" s="70" t="s">
        <v>557</v>
      </c>
      <c r="B93" s="3" t="s">
        <v>6</v>
      </c>
      <c r="C93" s="3" t="s">
        <v>7</v>
      </c>
      <c r="D93" s="160">
        <v>45666</v>
      </c>
      <c r="E93" s="3" t="s">
        <v>11</v>
      </c>
      <c r="F93" s="5" t="s">
        <v>8</v>
      </c>
      <c r="G93" s="5" t="s">
        <v>60</v>
      </c>
      <c r="H93" s="5" t="s">
        <v>9</v>
      </c>
      <c r="I93" s="3" t="s">
        <v>10</v>
      </c>
      <c r="J93" s="9" t="s">
        <v>536</v>
      </c>
      <c r="K93" s="9" t="s">
        <v>537</v>
      </c>
      <c r="L93" s="162" t="s">
        <v>20</v>
      </c>
      <c r="M93" s="4">
        <v>1</v>
      </c>
      <c r="N93" s="7">
        <v>2356000</v>
      </c>
      <c r="O93" s="7">
        <f>M93*N93</f>
        <v>2356000</v>
      </c>
      <c r="P93" s="116" t="s">
        <v>22</v>
      </c>
      <c r="Q93" s="64">
        <f>D93+14</f>
        <v>45680</v>
      </c>
      <c r="R93" s="116" t="s">
        <v>577</v>
      </c>
      <c r="S93" s="2" t="s">
        <v>491</v>
      </c>
      <c r="T93" s="64">
        <v>45677</v>
      </c>
      <c r="U93" s="65">
        <f t="shared" si="21"/>
        <v>2356000</v>
      </c>
      <c r="V93" s="98">
        <v>1</v>
      </c>
      <c r="W93" s="157" t="s">
        <v>585</v>
      </c>
      <c r="X93" s="68">
        <v>45693</v>
      </c>
      <c r="Y93" s="68"/>
      <c r="Z93" s="64">
        <v>45694</v>
      </c>
      <c r="AA93" s="69">
        <v>0.1</v>
      </c>
      <c r="AB93" s="7">
        <f t="shared" si="24"/>
        <v>2356000</v>
      </c>
      <c r="AC93" s="7">
        <f t="shared" si="25"/>
        <v>235600</v>
      </c>
      <c r="AD93" s="65">
        <f t="shared" si="22"/>
        <v>2591600</v>
      </c>
      <c r="AE93" s="99"/>
      <c r="AF93" s="125" t="s">
        <v>472</v>
      </c>
    </row>
    <row r="94" spans="1:32" ht="15" customHeight="1" outlineLevel="1" x14ac:dyDescent="0.3">
      <c r="A94" s="70" t="s">
        <v>558</v>
      </c>
      <c r="B94" s="3" t="s">
        <v>6</v>
      </c>
      <c r="C94" s="3" t="s">
        <v>23</v>
      </c>
      <c r="D94" s="160">
        <v>45666</v>
      </c>
      <c r="E94" s="3" t="s">
        <v>12</v>
      </c>
      <c r="F94" s="5" t="s">
        <v>24</v>
      </c>
      <c r="G94" s="5" t="s">
        <v>60</v>
      </c>
      <c r="H94" s="5" t="s">
        <v>9</v>
      </c>
      <c r="I94" s="3" t="s">
        <v>10</v>
      </c>
      <c r="J94" s="9" t="s">
        <v>14</v>
      </c>
      <c r="K94" s="9" t="s">
        <v>13</v>
      </c>
      <c r="L94" s="162" t="s">
        <v>20</v>
      </c>
      <c r="M94" s="4">
        <v>80</v>
      </c>
      <c r="N94" s="7">
        <v>13100</v>
      </c>
      <c r="O94" s="7">
        <f t="shared" ref="O94:O189" si="26">M94*N94</f>
        <v>1048000</v>
      </c>
      <c r="P94" s="116" t="s">
        <v>22</v>
      </c>
      <c r="Q94" s="64">
        <f>D94+28</f>
        <v>45694</v>
      </c>
      <c r="R94" s="116" t="s">
        <v>578</v>
      </c>
      <c r="S94" s="2" t="s">
        <v>491</v>
      </c>
      <c r="T94" s="64">
        <v>45680</v>
      </c>
      <c r="U94" s="65">
        <f t="shared" si="21"/>
        <v>1048000</v>
      </c>
      <c r="V94" s="98">
        <v>1</v>
      </c>
      <c r="W94" s="157" t="s">
        <v>585</v>
      </c>
      <c r="X94" s="68">
        <v>45693</v>
      </c>
      <c r="Y94" s="68">
        <v>45681</v>
      </c>
      <c r="Z94" s="64">
        <v>45694</v>
      </c>
      <c r="AA94" s="69">
        <v>0.1</v>
      </c>
      <c r="AB94" s="7">
        <f t="shared" si="24"/>
        <v>1048000</v>
      </c>
      <c r="AC94" s="7">
        <f t="shared" si="25"/>
        <v>104800</v>
      </c>
      <c r="AD94" s="65">
        <f t="shared" si="22"/>
        <v>1152800</v>
      </c>
      <c r="AE94" s="99"/>
      <c r="AF94" s="125" t="s">
        <v>473</v>
      </c>
    </row>
    <row r="95" spans="1:32" ht="15" customHeight="1" outlineLevel="1" x14ac:dyDescent="0.3">
      <c r="A95" s="70" t="s">
        <v>559</v>
      </c>
      <c r="B95" s="3" t="s">
        <v>6</v>
      </c>
      <c r="C95" s="3" t="s">
        <v>23</v>
      </c>
      <c r="D95" s="160">
        <v>45670</v>
      </c>
      <c r="E95" s="3" t="s">
        <v>34</v>
      </c>
      <c r="F95" s="5" t="s">
        <v>25</v>
      </c>
      <c r="G95" s="5" t="s">
        <v>60</v>
      </c>
      <c r="H95" s="5" t="s">
        <v>33</v>
      </c>
      <c r="I95" s="3" t="s">
        <v>10</v>
      </c>
      <c r="J95" s="9" t="s">
        <v>35</v>
      </c>
      <c r="K95" s="9" t="s">
        <v>36</v>
      </c>
      <c r="L95" s="162" t="s">
        <v>215</v>
      </c>
      <c r="M95" s="4">
        <v>80</v>
      </c>
      <c r="N95" s="7">
        <v>163600</v>
      </c>
      <c r="O95" s="7">
        <f t="shared" si="26"/>
        <v>13088000</v>
      </c>
      <c r="P95" s="116" t="s">
        <v>22</v>
      </c>
      <c r="Q95" s="64">
        <f>D95+14</f>
        <v>45684</v>
      </c>
      <c r="R95" s="116" t="s">
        <v>577</v>
      </c>
      <c r="S95" s="2" t="s">
        <v>491</v>
      </c>
      <c r="T95" s="64">
        <v>45712</v>
      </c>
      <c r="U95" s="65">
        <f t="shared" si="21"/>
        <v>13088000</v>
      </c>
      <c r="V95" s="98">
        <v>1</v>
      </c>
      <c r="W95" s="157" t="s">
        <v>84</v>
      </c>
      <c r="X95" s="68">
        <v>45721</v>
      </c>
      <c r="Y95" s="68">
        <v>45713</v>
      </c>
      <c r="Z95" s="64">
        <v>45722</v>
      </c>
      <c r="AA95" s="69">
        <v>0.1</v>
      </c>
      <c r="AB95" s="7">
        <f t="shared" si="24"/>
        <v>13088000</v>
      </c>
      <c r="AC95" s="7">
        <f t="shared" si="25"/>
        <v>1308800</v>
      </c>
      <c r="AD95" s="65">
        <f t="shared" si="22"/>
        <v>14396800</v>
      </c>
      <c r="AE95" s="99"/>
      <c r="AF95" s="125" t="s">
        <v>474</v>
      </c>
    </row>
    <row r="96" spans="1:32" ht="15" customHeight="1" outlineLevel="1" x14ac:dyDescent="0.3">
      <c r="A96" s="70" t="s">
        <v>560</v>
      </c>
      <c r="B96" s="3" t="s">
        <v>495</v>
      </c>
      <c r="C96" s="3" t="s">
        <v>7</v>
      </c>
      <c r="D96" s="160">
        <v>45673</v>
      </c>
      <c r="E96" s="3" t="s">
        <v>529</v>
      </c>
      <c r="F96" s="5" t="s">
        <v>530</v>
      </c>
      <c r="G96" s="5" t="s">
        <v>531</v>
      </c>
      <c r="H96" s="5" t="s">
        <v>70</v>
      </c>
      <c r="I96" s="3" t="s">
        <v>10</v>
      </c>
      <c r="J96" s="9" t="s">
        <v>540</v>
      </c>
      <c r="K96" s="9" t="s">
        <v>535</v>
      </c>
      <c r="L96" s="162" t="s">
        <v>20</v>
      </c>
      <c r="M96" s="4">
        <v>1</v>
      </c>
      <c r="N96" s="7">
        <v>582000</v>
      </c>
      <c r="O96" s="7">
        <f t="shared" si="26"/>
        <v>582000</v>
      </c>
      <c r="P96" s="116" t="s">
        <v>532</v>
      </c>
      <c r="Q96" s="64">
        <v>45680</v>
      </c>
      <c r="R96" s="116" t="s">
        <v>578</v>
      </c>
      <c r="S96" s="2" t="s">
        <v>491</v>
      </c>
      <c r="T96" s="64">
        <v>45666</v>
      </c>
      <c r="U96" s="65">
        <f t="shared" si="21"/>
        <v>582000</v>
      </c>
      <c r="V96" s="98">
        <v>1</v>
      </c>
      <c r="W96" s="157" t="s">
        <v>585</v>
      </c>
      <c r="X96" s="68">
        <v>45693</v>
      </c>
      <c r="Y96" s="68"/>
      <c r="Z96" s="64">
        <v>45694</v>
      </c>
      <c r="AA96" s="69">
        <v>0.1</v>
      </c>
      <c r="AB96" s="7">
        <f t="shared" si="24"/>
        <v>582000</v>
      </c>
      <c r="AC96" s="7">
        <f t="shared" si="25"/>
        <v>58200</v>
      </c>
      <c r="AD96" s="65">
        <f t="shared" si="22"/>
        <v>640200</v>
      </c>
      <c r="AE96" s="99"/>
      <c r="AF96" s="125" t="s">
        <v>533</v>
      </c>
    </row>
    <row r="97" spans="1:32" ht="15" customHeight="1" outlineLevel="1" x14ac:dyDescent="0.3">
      <c r="A97" s="70" t="s">
        <v>625</v>
      </c>
      <c r="B97" s="3" t="s">
        <v>453</v>
      </c>
      <c r="C97" s="3" t="s">
        <v>454</v>
      </c>
      <c r="D97" s="160">
        <v>45673</v>
      </c>
      <c r="E97" s="3" t="s">
        <v>233</v>
      </c>
      <c r="F97" s="5" t="s">
        <v>455</v>
      </c>
      <c r="G97" s="5" t="s">
        <v>456</v>
      </c>
      <c r="H97" s="5" t="s">
        <v>457</v>
      </c>
      <c r="I97" s="3" t="s">
        <v>10</v>
      </c>
      <c r="J97" s="9" t="s">
        <v>269</v>
      </c>
      <c r="K97" s="9" t="s">
        <v>465</v>
      </c>
      <c r="L97" s="162" t="s">
        <v>20</v>
      </c>
      <c r="M97" s="4">
        <v>100</v>
      </c>
      <c r="N97" s="7">
        <v>1800</v>
      </c>
      <c r="O97" s="7">
        <f t="shared" si="26"/>
        <v>180000</v>
      </c>
      <c r="P97" s="116" t="s">
        <v>458</v>
      </c>
      <c r="Q97" s="64">
        <v>45680</v>
      </c>
      <c r="R97" s="116" t="s">
        <v>578</v>
      </c>
      <c r="S97" s="2" t="s">
        <v>491</v>
      </c>
      <c r="T97" s="64">
        <v>45680</v>
      </c>
      <c r="U97" s="65">
        <f t="shared" si="21"/>
        <v>180000</v>
      </c>
      <c r="V97" s="98">
        <v>1</v>
      </c>
      <c r="W97" s="157" t="s">
        <v>585</v>
      </c>
      <c r="X97" s="68">
        <v>45693</v>
      </c>
      <c r="Y97" s="68">
        <v>45680</v>
      </c>
      <c r="Z97" s="64">
        <v>45694</v>
      </c>
      <c r="AA97" s="69">
        <v>0.1</v>
      </c>
      <c r="AB97" s="7">
        <f t="shared" si="24"/>
        <v>180000</v>
      </c>
      <c r="AC97" s="7">
        <f t="shared" si="25"/>
        <v>18000</v>
      </c>
      <c r="AD97" s="65">
        <f t="shared" si="22"/>
        <v>198000</v>
      </c>
      <c r="AE97" s="99"/>
      <c r="AF97" s="125" t="s">
        <v>475</v>
      </c>
    </row>
    <row r="98" spans="1:32" ht="15" customHeight="1" outlineLevel="1" x14ac:dyDescent="0.3">
      <c r="A98" s="70" t="s">
        <v>626</v>
      </c>
      <c r="B98" s="3" t="s">
        <v>495</v>
      </c>
      <c r="C98" s="3" t="s">
        <v>23</v>
      </c>
      <c r="D98" s="160">
        <v>45680</v>
      </c>
      <c r="E98" s="3" t="s">
        <v>534</v>
      </c>
      <c r="F98" s="5" t="s">
        <v>544</v>
      </c>
      <c r="G98" s="5" t="s">
        <v>60</v>
      </c>
      <c r="H98" s="5" t="s">
        <v>70</v>
      </c>
      <c r="I98" s="3" t="s">
        <v>10</v>
      </c>
      <c r="J98" s="9" t="s">
        <v>541</v>
      </c>
      <c r="K98" s="9" t="s">
        <v>541</v>
      </c>
      <c r="L98" s="162" t="s">
        <v>20</v>
      </c>
      <c r="M98" s="4">
        <v>1</v>
      </c>
      <c r="N98" s="7">
        <v>6319200</v>
      </c>
      <c r="O98" s="7">
        <f t="shared" si="26"/>
        <v>6319200</v>
      </c>
      <c r="P98" s="116" t="s">
        <v>532</v>
      </c>
      <c r="Q98" s="64">
        <v>45708</v>
      </c>
      <c r="R98" s="116" t="s">
        <v>578</v>
      </c>
      <c r="S98" s="2" t="s">
        <v>491</v>
      </c>
      <c r="T98" s="64">
        <v>45680</v>
      </c>
      <c r="U98" s="65">
        <f t="shared" si="21"/>
        <v>6319200</v>
      </c>
      <c r="V98" s="98">
        <v>1</v>
      </c>
      <c r="W98" s="157" t="s">
        <v>585</v>
      </c>
      <c r="X98" s="68">
        <v>45693</v>
      </c>
      <c r="Y98" s="68">
        <v>45681</v>
      </c>
      <c r="Z98" s="64">
        <v>45694</v>
      </c>
      <c r="AA98" s="69">
        <v>0.1</v>
      </c>
      <c r="AB98" s="7">
        <f t="shared" si="24"/>
        <v>6319200</v>
      </c>
      <c r="AC98" s="7">
        <f t="shared" si="25"/>
        <v>631920</v>
      </c>
      <c r="AD98" s="65">
        <f t="shared" si="22"/>
        <v>6951120</v>
      </c>
      <c r="AE98" s="99"/>
      <c r="AF98" s="125" t="s">
        <v>569</v>
      </c>
    </row>
    <row r="99" spans="1:32" ht="15" customHeight="1" outlineLevel="1" x14ac:dyDescent="0.3">
      <c r="A99" s="70" t="s">
        <v>627</v>
      </c>
      <c r="B99" s="3" t="s">
        <v>495</v>
      </c>
      <c r="C99" s="3" t="s">
        <v>538</v>
      </c>
      <c r="D99" s="160">
        <v>45680</v>
      </c>
      <c r="E99" s="3" t="s">
        <v>539</v>
      </c>
      <c r="F99" s="5" t="s">
        <v>545</v>
      </c>
      <c r="G99" s="5" t="s">
        <v>60</v>
      </c>
      <c r="H99" s="5" t="s">
        <v>105</v>
      </c>
      <c r="I99" s="3" t="s">
        <v>10</v>
      </c>
      <c r="J99" s="9" t="s">
        <v>542</v>
      </c>
      <c r="K99" s="9" t="s">
        <v>543</v>
      </c>
      <c r="L99" s="162" t="s">
        <v>215</v>
      </c>
      <c r="M99" s="4">
        <v>1</v>
      </c>
      <c r="N99" s="7">
        <v>34280</v>
      </c>
      <c r="O99" s="7">
        <f t="shared" si="26"/>
        <v>34280</v>
      </c>
      <c r="P99" s="116" t="s">
        <v>22</v>
      </c>
      <c r="Q99" s="64">
        <v>45708</v>
      </c>
      <c r="R99" s="116" t="s">
        <v>578</v>
      </c>
      <c r="S99" s="2" t="s">
        <v>491</v>
      </c>
      <c r="T99" s="64">
        <v>45693</v>
      </c>
      <c r="U99" s="65">
        <f t="shared" si="21"/>
        <v>34280</v>
      </c>
      <c r="V99" s="98">
        <v>1</v>
      </c>
      <c r="W99" s="157" t="s">
        <v>84</v>
      </c>
      <c r="X99" s="68">
        <v>45721</v>
      </c>
      <c r="Y99" s="68">
        <v>45693</v>
      </c>
      <c r="Z99" s="64">
        <v>45722</v>
      </c>
      <c r="AA99" s="69">
        <v>0.1</v>
      </c>
      <c r="AB99" s="7">
        <f t="shared" si="24"/>
        <v>34280</v>
      </c>
      <c r="AC99" s="7">
        <f t="shared" si="25"/>
        <v>3428</v>
      </c>
      <c r="AD99" s="65">
        <f t="shared" si="22"/>
        <v>37708</v>
      </c>
      <c r="AE99" s="99"/>
      <c r="AF99" s="125" t="s">
        <v>570</v>
      </c>
    </row>
    <row r="100" spans="1:32" ht="15" customHeight="1" outlineLevel="1" x14ac:dyDescent="0.3">
      <c r="A100" s="70" t="s">
        <v>628</v>
      </c>
      <c r="B100" s="3" t="s">
        <v>496</v>
      </c>
      <c r="C100" s="3" t="s">
        <v>549</v>
      </c>
      <c r="D100" s="160">
        <v>45680</v>
      </c>
      <c r="E100" s="3" t="s">
        <v>494</v>
      </c>
      <c r="F100" s="5" t="s">
        <v>547</v>
      </c>
      <c r="G100" s="5" t="s">
        <v>60</v>
      </c>
      <c r="H100" s="5" t="s">
        <v>70</v>
      </c>
      <c r="I100" s="3" t="s">
        <v>238</v>
      </c>
      <c r="J100" s="9" t="s">
        <v>571</v>
      </c>
      <c r="K100" s="9" t="s">
        <v>571</v>
      </c>
      <c r="L100" s="162" t="s">
        <v>215</v>
      </c>
      <c r="M100" s="4">
        <v>1</v>
      </c>
      <c r="N100" s="7">
        <v>29900000</v>
      </c>
      <c r="O100" s="7">
        <f>M100*N100</f>
        <v>29900000</v>
      </c>
      <c r="P100" s="116" t="s">
        <v>22</v>
      </c>
      <c r="Q100" s="64">
        <v>45722</v>
      </c>
      <c r="R100" s="116" t="s">
        <v>579</v>
      </c>
      <c r="S100" s="2" t="s">
        <v>491</v>
      </c>
      <c r="T100" s="64">
        <v>45740</v>
      </c>
      <c r="U100" s="65">
        <f t="shared" si="21"/>
        <v>29900000</v>
      </c>
      <c r="V100" s="98">
        <v>1</v>
      </c>
      <c r="W100" s="157" t="s">
        <v>546</v>
      </c>
      <c r="X100" s="68">
        <v>45751</v>
      </c>
      <c r="Y100" s="68">
        <v>45741</v>
      </c>
      <c r="Z100" s="64">
        <v>45754</v>
      </c>
      <c r="AA100" s="69">
        <v>0.1</v>
      </c>
      <c r="AB100" s="7">
        <f>U100</f>
        <v>29900000</v>
      </c>
      <c r="AC100" s="7">
        <f>AB100*AA100</f>
        <v>2990000</v>
      </c>
      <c r="AD100" s="65">
        <f t="shared" si="22"/>
        <v>32890000</v>
      </c>
      <c r="AE100" s="99"/>
      <c r="AF100" s="125" t="s">
        <v>574</v>
      </c>
    </row>
    <row r="101" spans="1:32" ht="15" customHeight="1" outlineLevel="1" x14ac:dyDescent="0.3">
      <c r="A101" s="70" t="s">
        <v>629</v>
      </c>
      <c r="B101" s="3" t="s">
        <v>481</v>
      </c>
      <c r="C101" s="3" t="s">
        <v>7</v>
      </c>
      <c r="D101" s="160">
        <v>45681</v>
      </c>
      <c r="E101" s="3" t="s">
        <v>482</v>
      </c>
      <c r="F101" s="5" t="s">
        <v>555</v>
      </c>
      <c r="G101" s="5" t="s">
        <v>60</v>
      </c>
      <c r="H101" s="5" t="s">
        <v>105</v>
      </c>
      <c r="I101" s="3" t="s">
        <v>238</v>
      </c>
      <c r="J101" s="9" t="s">
        <v>556</v>
      </c>
      <c r="K101" s="9" t="s">
        <v>561</v>
      </c>
      <c r="L101" s="162" t="s">
        <v>215</v>
      </c>
      <c r="M101" s="4">
        <v>1</v>
      </c>
      <c r="N101" s="7">
        <v>1039000</v>
      </c>
      <c r="O101" s="7">
        <f t="shared" si="26"/>
        <v>1039000</v>
      </c>
      <c r="P101" s="116" t="s">
        <v>483</v>
      </c>
      <c r="Q101" s="64">
        <v>45709</v>
      </c>
      <c r="R101" s="116" t="s">
        <v>578</v>
      </c>
      <c r="S101" s="2" t="s">
        <v>491</v>
      </c>
      <c r="T101" s="64">
        <v>45677</v>
      </c>
      <c r="U101" s="65">
        <f t="shared" si="21"/>
        <v>1039000</v>
      </c>
      <c r="V101" s="98">
        <v>1</v>
      </c>
      <c r="W101" s="157" t="s">
        <v>84</v>
      </c>
      <c r="X101" s="68">
        <v>45693</v>
      </c>
      <c r="Y101" s="68"/>
      <c r="Z101" s="64">
        <v>45695</v>
      </c>
      <c r="AA101" s="69">
        <v>0.1</v>
      </c>
      <c r="AB101" s="7">
        <f t="shared" si="24"/>
        <v>1039000</v>
      </c>
      <c r="AC101" s="7">
        <f t="shared" si="25"/>
        <v>103900</v>
      </c>
      <c r="AD101" s="65">
        <f t="shared" si="22"/>
        <v>1142900</v>
      </c>
      <c r="AE101" s="99"/>
      <c r="AF101" s="125" t="s">
        <v>572</v>
      </c>
    </row>
    <row r="102" spans="1:32" ht="15" customHeight="1" outlineLevel="1" x14ac:dyDescent="0.3">
      <c r="A102" s="70" t="s">
        <v>630</v>
      </c>
      <c r="B102" s="3" t="s">
        <v>6</v>
      </c>
      <c r="C102" s="3" t="s">
        <v>7</v>
      </c>
      <c r="D102" s="160">
        <v>45681</v>
      </c>
      <c r="E102" s="3" t="s">
        <v>11</v>
      </c>
      <c r="F102" s="5" t="s">
        <v>590</v>
      </c>
      <c r="G102" s="5" t="s">
        <v>60</v>
      </c>
      <c r="H102" s="5" t="s">
        <v>105</v>
      </c>
      <c r="I102" s="3" t="s">
        <v>238</v>
      </c>
      <c r="J102" s="9" t="s">
        <v>562</v>
      </c>
      <c r="K102" s="9" t="s">
        <v>568</v>
      </c>
      <c r="L102" s="162" t="s">
        <v>20</v>
      </c>
      <c r="M102" s="4">
        <v>1</v>
      </c>
      <c r="N102" s="7">
        <v>1335200</v>
      </c>
      <c r="O102" s="7">
        <f t="shared" si="26"/>
        <v>1335200</v>
      </c>
      <c r="P102" s="116" t="s">
        <v>22</v>
      </c>
      <c r="Q102" s="64">
        <v>45709</v>
      </c>
      <c r="R102" s="116" t="s">
        <v>578</v>
      </c>
      <c r="S102" s="2" t="s">
        <v>491</v>
      </c>
      <c r="T102" s="64">
        <v>45681</v>
      </c>
      <c r="U102" s="65">
        <f t="shared" si="21"/>
        <v>1335200</v>
      </c>
      <c r="V102" s="98">
        <v>1</v>
      </c>
      <c r="W102" s="157" t="s">
        <v>84</v>
      </c>
      <c r="X102" s="68">
        <v>45693</v>
      </c>
      <c r="Y102" s="68"/>
      <c r="Z102" s="64">
        <v>45694</v>
      </c>
      <c r="AA102" s="69">
        <v>0.1</v>
      </c>
      <c r="AB102" s="7">
        <f t="shared" si="24"/>
        <v>1335200</v>
      </c>
      <c r="AC102" s="7">
        <f t="shared" si="25"/>
        <v>133520</v>
      </c>
      <c r="AD102" s="65">
        <f t="shared" si="22"/>
        <v>1468720</v>
      </c>
      <c r="AE102" s="99"/>
      <c r="AF102" s="125" t="s">
        <v>573</v>
      </c>
    </row>
    <row r="103" spans="1:32" ht="15" customHeight="1" outlineLevel="1" x14ac:dyDescent="0.3">
      <c r="A103" s="70" t="s">
        <v>631</v>
      </c>
      <c r="B103" s="3" t="s">
        <v>639</v>
      </c>
      <c r="C103" s="3" t="s">
        <v>640</v>
      </c>
      <c r="D103" s="160">
        <v>45691</v>
      </c>
      <c r="E103" s="3" t="s">
        <v>643</v>
      </c>
      <c r="F103" s="5" t="s">
        <v>645</v>
      </c>
      <c r="G103" s="5" t="s">
        <v>60</v>
      </c>
      <c r="H103" s="5" t="s">
        <v>105</v>
      </c>
      <c r="I103" s="3" t="s">
        <v>238</v>
      </c>
      <c r="J103" s="9" t="s">
        <v>647</v>
      </c>
      <c r="K103" s="9" t="s">
        <v>647</v>
      </c>
      <c r="L103" s="162" t="s">
        <v>215</v>
      </c>
      <c r="M103" s="4">
        <v>1</v>
      </c>
      <c r="N103" s="7">
        <v>2000000</v>
      </c>
      <c r="O103" s="7">
        <f t="shared" si="26"/>
        <v>2000000</v>
      </c>
      <c r="P103" s="116" t="s">
        <v>22</v>
      </c>
      <c r="Q103" s="64">
        <v>45716</v>
      </c>
      <c r="R103" s="116"/>
      <c r="T103" s="64">
        <v>45716</v>
      </c>
      <c r="U103" s="65">
        <f t="shared" si="21"/>
        <v>2000000</v>
      </c>
      <c r="V103" s="98">
        <v>1</v>
      </c>
      <c r="W103" s="157" t="s">
        <v>649</v>
      </c>
      <c r="X103" s="68">
        <v>45721</v>
      </c>
      <c r="Y103" s="68"/>
      <c r="Z103" s="64">
        <v>45721</v>
      </c>
      <c r="AA103" s="69">
        <v>-3.3000000000000002E-2</v>
      </c>
      <c r="AB103" s="7">
        <f t="shared" si="24"/>
        <v>2000000</v>
      </c>
      <c r="AC103" s="7">
        <f t="shared" si="25"/>
        <v>-66000</v>
      </c>
      <c r="AD103" s="65">
        <f t="shared" si="22"/>
        <v>1934000</v>
      </c>
      <c r="AE103" s="99" t="s">
        <v>66</v>
      </c>
      <c r="AF103" s="125" t="s">
        <v>695</v>
      </c>
    </row>
    <row r="104" spans="1:32" ht="15" customHeight="1" outlineLevel="1" x14ac:dyDescent="0.3">
      <c r="A104" s="70" t="s">
        <v>632</v>
      </c>
      <c r="B104" s="3" t="s">
        <v>639</v>
      </c>
      <c r="C104" s="3" t="s">
        <v>640</v>
      </c>
      <c r="D104" s="160">
        <v>45691</v>
      </c>
      <c r="E104" s="3" t="s">
        <v>644</v>
      </c>
      <c r="F104" s="5" t="s">
        <v>646</v>
      </c>
      <c r="G104" s="5" t="s">
        <v>60</v>
      </c>
      <c r="H104" s="5" t="s">
        <v>105</v>
      </c>
      <c r="I104" s="3" t="s">
        <v>238</v>
      </c>
      <c r="J104" s="9" t="s">
        <v>647</v>
      </c>
      <c r="K104" s="9" t="s">
        <v>647</v>
      </c>
      <c r="L104" s="162" t="s">
        <v>215</v>
      </c>
      <c r="M104" s="4">
        <v>1</v>
      </c>
      <c r="N104" s="7">
        <v>2000000</v>
      </c>
      <c r="O104" s="7">
        <f t="shared" ref="O104" si="27">M104*N104</f>
        <v>2000000</v>
      </c>
      <c r="P104" s="116" t="s">
        <v>22</v>
      </c>
      <c r="Q104" s="64">
        <v>45716</v>
      </c>
      <c r="R104" s="116"/>
      <c r="T104" s="64">
        <v>45716</v>
      </c>
      <c r="U104" s="65">
        <f t="shared" si="21"/>
        <v>2000000</v>
      </c>
      <c r="V104" s="98">
        <v>1</v>
      </c>
      <c r="W104" s="157" t="s">
        <v>649</v>
      </c>
      <c r="X104" s="68">
        <v>45721</v>
      </c>
      <c r="Y104" s="68"/>
      <c r="Z104" s="64">
        <v>45721</v>
      </c>
      <c r="AA104" s="69">
        <v>-3.3000000000000002E-2</v>
      </c>
      <c r="AB104" s="7">
        <f t="shared" si="24"/>
        <v>2000000</v>
      </c>
      <c r="AC104" s="7">
        <f t="shared" ref="AC104" si="28">AB104*AA104</f>
        <v>-66000</v>
      </c>
      <c r="AD104" s="65">
        <f t="shared" ref="AD104" si="29">SUM(AB104:AC104)</f>
        <v>1934000</v>
      </c>
      <c r="AE104" s="99" t="s">
        <v>66</v>
      </c>
      <c r="AF104" s="125" t="s">
        <v>650</v>
      </c>
    </row>
    <row r="105" spans="1:32" ht="15" customHeight="1" outlineLevel="1" x14ac:dyDescent="0.3">
      <c r="A105" s="70" t="s">
        <v>633</v>
      </c>
      <c r="B105" s="3" t="s">
        <v>6</v>
      </c>
      <c r="C105" s="3" t="s">
        <v>7</v>
      </c>
      <c r="D105" s="160">
        <v>45694</v>
      </c>
      <c r="E105" s="3" t="s">
        <v>333</v>
      </c>
      <c r="F105" s="5" t="s">
        <v>591</v>
      </c>
      <c r="G105" s="5" t="s">
        <v>59</v>
      </c>
      <c r="H105" s="5" t="s">
        <v>47</v>
      </c>
      <c r="I105" s="3" t="s">
        <v>10</v>
      </c>
      <c r="J105" s="9" t="s">
        <v>334</v>
      </c>
      <c r="K105" s="9" t="s">
        <v>654</v>
      </c>
      <c r="L105" s="162" t="s">
        <v>215</v>
      </c>
      <c r="M105" s="4">
        <v>1</v>
      </c>
      <c r="N105" s="7">
        <v>9760500</v>
      </c>
      <c r="O105" s="7">
        <f t="shared" si="26"/>
        <v>9760500</v>
      </c>
      <c r="P105" s="116" t="s">
        <v>22</v>
      </c>
      <c r="Q105" s="64">
        <f>D105+84</f>
        <v>45778</v>
      </c>
      <c r="R105" s="116" t="s">
        <v>592</v>
      </c>
      <c r="S105" s="2" t="s">
        <v>491</v>
      </c>
      <c r="T105" s="64">
        <v>45729</v>
      </c>
      <c r="U105" s="65">
        <f t="shared" si="21"/>
        <v>9760500</v>
      </c>
      <c r="V105" s="98">
        <v>1</v>
      </c>
      <c r="W105" s="157" t="s">
        <v>593</v>
      </c>
      <c r="X105" s="68">
        <v>45721</v>
      </c>
      <c r="Y105" s="68">
        <v>45716</v>
      </c>
      <c r="Z105" s="64">
        <v>45722</v>
      </c>
      <c r="AA105" s="69">
        <v>0.1</v>
      </c>
      <c r="AB105" s="7">
        <f t="shared" ref="AB105:AB115" si="30">U105</f>
        <v>9760500</v>
      </c>
      <c r="AC105" s="7">
        <f t="shared" ref="AC105:AC115" si="31">AB105*AA105</f>
        <v>976050</v>
      </c>
      <c r="AD105" s="65">
        <f t="shared" si="22"/>
        <v>10736550</v>
      </c>
      <c r="AE105" s="99"/>
      <c r="AF105" s="125" t="s">
        <v>594</v>
      </c>
    </row>
    <row r="106" spans="1:32" ht="15" customHeight="1" outlineLevel="1" x14ac:dyDescent="0.3">
      <c r="A106" s="70" t="s">
        <v>641</v>
      </c>
      <c r="B106" s="3" t="s">
        <v>6</v>
      </c>
      <c r="C106" s="3" t="s">
        <v>7</v>
      </c>
      <c r="D106" s="160">
        <v>45698</v>
      </c>
      <c r="E106" s="3" t="s">
        <v>600</v>
      </c>
      <c r="F106" s="5" t="s">
        <v>601</v>
      </c>
      <c r="G106" s="5" t="s">
        <v>59</v>
      </c>
      <c r="H106" s="5" t="s">
        <v>47</v>
      </c>
      <c r="I106" s="3" t="s">
        <v>10</v>
      </c>
      <c r="J106" s="9" t="s">
        <v>602</v>
      </c>
      <c r="K106" s="9" t="s">
        <v>603</v>
      </c>
      <c r="L106" s="162" t="s">
        <v>215</v>
      </c>
      <c r="M106" s="4">
        <v>1</v>
      </c>
      <c r="N106" s="7">
        <v>710000</v>
      </c>
      <c r="O106" s="7">
        <f t="shared" si="26"/>
        <v>710000</v>
      </c>
      <c r="P106" s="116" t="s">
        <v>22</v>
      </c>
      <c r="Q106" s="64">
        <f>D106+56</f>
        <v>45754</v>
      </c>
      <c r="R106" s="116" t="s">
        <v>604</v>
      </c>
      <c r="S106" s="2" t="s">
        <v>491</v>
      </c>
      <c r="T106" s="64">
        <v>45714</v>
      </c>
      <c r="U106" s="65">
        <f t="shared" si="21"/>
        <v>710000</v>
      </c>
      <c r="V106" s="98">
        <v>1</v>
      </c>
      <c r="W106" s="157" t="s">
        <v>588</v>
      </c>
      <c r="X106" s="68">
        <v>45721</v>
      </c>
      <c r="Y106" s="68">
        <v>45714</v>
      </c>
      <c r="Z106" s="64">
        <v>45722</v>
      </c>
      <c r="AA106" s="69">
        <v>0.1</v>
      </c>
      <c r="AB106" s="7">
        <f t="shared" si="30"/>
        <v>710000</v>
      </c>
      <c r="AC106" s="7">
        <f t="shared" si="31"/>
        <v>71000</v>
      </c>
      <c r="AD106" s="65">
        <f t="shared" si="22"/>
        <v>781000</v>
      </c>
      <c r="AE106" s="99"/>
      <c r="AF106" s="125" t="s">
        <v>605</v>
      </c>
    </row>
    <row r="107" spans="1:32" ht="15" customHeight="1" outlineLevel="1" x14ac:dyDescent="0.3">
      <c r="A107" s="70" t="s">
        <v>642</v>
      </c>
      <c r="B107" s="3" t="s">
        <v>606</v>
      </c>
      <c r="C107" s="3" t="s">
        <v>607</v>
      </c>
      <c r="D107" s="160">
        <v>45699</v>
      </c>
      <c r="E107" s="3" t="s">
        <v>76</v>
      </c>
      <c r="F107" s="5" t="s">
        <v>608</v>
      </c>
      <c r="G107" s="5" t="s">
        <v>59</v>
      </c>
      <c r="H107" s="5" t="s">
        <v>70</v>
      </c>
      <c r="I107" s="3" t="s">
        <v>238</v>
      </c>
      <c r="J107" s="9" t="s">
        <v>493</v>
      </c>
      <c r="K107" s="9" t="s">
        <v>609</v>
      </c>
      <c r="L107" s="162" t="s">
        <v>215</v>
      </c>
      <c r="M107" s="4">
        <v>1</v>
      </c>
      <c r="N107" s="7">
        <v>735000</v>
      </c>
      <c r="O107" s="7">
        <f t="shared" si="26"/>
        <v>735000</v>
      </c>
      <c r="P107" s="116" t="s">
        <v>22</v>
      </c>
      <c r="Q107" s="64">
        <f>D107+28</f>
        <v>45727</v>
      </c>
      <c r="R107" s="116" t="s">
        <v>578</v>
      </c>
      <c r="S107" s="2" t="s">
        <v>491</v>
      </c>
      <c r="T107" s="64">
        <v>45700</v>
      </c>
      <c r="U107" s="65">
        <f t="shared" si="21"/>
        <v>735000</v>
      </c>
      <c r="V107" s="98">
        <v>1</v>
      </c>
      <c r="W107" s="157" t="s">
        <v>588</v>
      </c>
      <c r="X107" s="68">
        <v>45721</v>
      </c>
      <c r="Y107" s="68">
        <v>45715</v>
      </c>
      <c r="Z107" s="64">
        <v>45722</v>
      </c>
      <c r="AA107" s="69">
        <v>0.1</v>
      </c>
      <c r="AB107" s="7">
        <f t="shared" si="30"/>
        <v>735000</v>
      </c>
      <c r="AC107" s="7">
        <f t="shared" si="31"/>
        <v>73500</v>
      </c>
      <c r="AD107" s="65">
        <f t="shared" si="22"/>
        <v>808500</v>
      </c>
      <c r="AE107" s="99"/>
      <c r="AF107" s="125" t="s">
        <v>610</v>
      </c>
    </row>
    <row r="108" spans="1:32" ht="15" customHeight="1" outlineLevel="1" x14ac:dyDescent="0.3">
      <c r="A108" s="70" t="s">
        <v>661</v>
      </c>
      <c r="B108" s="3" t="s">
        <v>6</v>
      </c>
      <c r="C108" s="3" t="s">
        <v>23</v>
      </c>
      <c r="D108" s="160">
        <v>45699</v>
      </c>
      <c r="E108" s="3" t="s">
        <v>34</v>
      </c>
      <c r="F108" s="5" t="s">
        <v>613</v>
      </c>
      <c r="G108" s="5" t="s">
        <v>60</v>
      </c>
      <c r="H108" s="5" t="s">
        <v>33</v>
      </c>
      <c r="I108" s="3" t="s">
        <v>10</v>
      </c>
      <c r="J108" s="9" t="s">
        <v>612</v>
      </c>
      <c r="K108" s="9" t="s">
        <v>611</v>
      </c>
      <c r="L108" s="162" t="s">
        <v>215</v>
      </c>
      <c r="M108" s="4">
        <v>1</v>
      </c>
      <c r="N108" s="7">
        <v>2910000</v>
      </c>
      <c r="O108" s="7">
        <f t="shared" si="26"/>
        <v>2910000</v>
      </c>
      <c r="P108" s="116" t="s">
        <v>22</v>
      </c>
      <c r="Q108" s="64">
        <f>D108+56</f>
        <v>45755</v>
      </c>
      <c r="R108" s="116" t="s">
        <v>604</v>
      </c>
      <c r="S108" s="2" t="s">
        <v>491</v>
      </c>
      <c r="T108" s="64">
        <v>45712</v>
      </c>
      <c r="U108" s="65">
        <f t="shared" ref="U108:U189" si="32">O108*V108</f>
        <v>2910000</v>
      </c>
      <c r="V108" s="98">
        <v>1</v>
      </c>
      <c r="W108" s="157" t="s">
        <v>588</v>
      </c>
      <c r="X108" s="68">
        <v>45721</v>
      </c>
      <c r="Y108" s="68">
        <v>45713</v>
      </c>
      <c r="Z108" s="64">
        <v>45722</v>
      </c>
      <c r="AA108" s="69">
        <v>0.1</v>
      </c>
      <c r="AB108" s="7">
        <f t="shared" si="30"/>
        <v>2910000</v>
      </c>
      <c r="AC108" s="7">
        <f t="shared" si="31"/>
        <v>291000</v>
      </c>
      <c r="AD108" s="65">
        <f t="shared" si="22"/>
        <v>3201000</v>
      </c>
      <c r="AE108" s="99"/>
      <c r="AF108" s="125" t="s">
        <v>614</v>
      </c>
    </row>
    <row r="109" spans="1:32" ht="15" customHeight="1" outlineLevel="1" x14ac:dyDescent="0.3">
      <c r="A109" s="70" t="s">
        <v>662</v>
      </c>
      <c r="B109" s="3" t="s">
        <v>6</v>
      </c>
      <c r="C109" s="3" t="s">
        <v>7</v>
      </c>
      <c r="D109" s="160">
        <v>45707</v>
      </c>
      <c r="E109" s="3" t="s">
        <v>34</v>
      </c>
      <c r="F109" s="5" t="s">
        <v>655</v>
      </c>
      <c r="G109" s="5" t="s">
        <v>60</v>
      </c>
      <c r="H109" s="5" t="s">
        <v>33</v>
      </c>
      <c r="I109" s="3" t="s">
        <v>10</v>
      </c>
      <c r="J109" s="9" t="s">
        <v>612</v>
      </c>
      <c r="K109" s="9" t="s">
        <v>657</v>
      </c>
      <c r="L109" s="162" t="s">
        <v>215</v>
      </c>
      <c r="M109" s="4">
        <v>15</v>
      </c>
      <c r="N109" s="7">
        <v>6600</v>
      </c>
      <c r="O109" s="7">
        <f t="shared" si="26"/>
        <v>99000</v>
      </c>
      <c r="P109" s="116" t="s">
        <v>22</v>
      </c>
      <c r="Q109" s="64">
        <f>D109+56</f>
        <v>45763</v>
      </c>
      <c r="R109" s="116" t="s">
        <v>604</v>
      </c>
      <c r="S109" s="2" t="s">
        <v>491</v>
      </c>
      <c r="T109" s="64">
        <v>45712</v>
      </c>
      <c r="U109" s="65">
        <f t="shared" si="32"/>
        <v>99000</v>
      </c>
      <c r="V109" s="98">
        <v>1</v>
      </c>
      <c r="W109" s="157" t="s">
        <v>588</v>
      </c>
      <c r="X109" s="68">
        <v>45721</v>
      </c>
      <c r="Y109" s="68">
        <v>45713</v>
      </c>
      <c r="Z109" s="64">
        <v>45722</v>
      </c>
      <c r="AA109" s="69">
        <v>0.1</v>
      </c>
      <c r="AB109" s="7">
        <f t="shared" si="30"/>
        <v>99000</v>
      </c>
      <c r="AC109" s="7">
        <f t="shared" si="31"/>
        <v>9900</v>
      </c>
      <c r="AD109" s="65">
        <f t="shared" si="22"/>
        <v>108900</v>
      </c>
      <c r="AE109" s="99"/>
      <c r="AF109" s="125" t="s">
        <v>656</v>
      </c>
    </row>
    <row r="110" spans="1:32" ht="15" customHeight="1" outlineLevel="1" x14ac:dyDescent="0.3">
      <c r="A110" s="70" t="s">
        <v>708</v>
      </c>
      <c r="B110" s="3" t="s">
        <v>639</v>
      </c>
      <c r="C110" s="3" t="s">
        <v>640</v>
      </c>
      <c r="D110" s="160">
        <v>45708</v>
      </c>
      <c r="E110" s="3" t="s">
        <v>658</v>
      </c>
      <c r="F110" s="5" t="s">
        <v>713</v>
      </c>
      <c r="G110" s="5" t="s">
        <v>60</v>
      </c>
      <c r="H110" s="5" t="s">
        <v>105</v>
      </c>
      <c r="I110" s="3" t="s">
        <v>10</v>
      </c>
      <c r="J110" s="9" t="s">
        <v>714</v>
      </c>
      <c r="K110" s="9" t="s">
        <v>714</v>
      </c>
      <c r="L110" s="162" t="s">
        <v>215</v>
      </c>
      <c r="M110" s="4">
        <v>1</v>
      </c>
      <c r="N110" s="7">
        <v>5000000</v>
      </c>
      <c r="O110" s="7">
        <f t="shared" si="26"/>
        <v>5000000</v>
      </c>
      <c r="P110" s="116" t="s">
        <v>22</v>
      </c>
      <c r="Q110" s="64">
        <v>45747</v>
      </c>
      <c r="R110" s="116"/>
      <c r="T110" s="64">
        <v>45747</v>
      </c>
      <c r="U110" s="65">
        <f t="shared" si="32"/>
        <v>5000000</v>
      </c>
      <c r="V110" s="98">
        <v>1</v>
      </c>
      <c r="W110" s="157" t="s">
        <v>700</v>
      </c>
      <c r="X110" s="68">
        <v>45751</v>
      </c>
      <c r="Y110" s="68"/>
      <c r="Z110" s="64">
        <v>45754</v>
      </c>
      <c r="AA110" s="69">
        <v>-3.3000000000000002E-2</v>
      </c>
      <c r="AB110" s="7">
        <f t="shared" si="30"/>
        <v>5000000</v>
      </c>
      <c r="AC110" s="7">
        <f t="shared" si="31"/>
        <v>-165000</v>
      </c>
      <c r="AD110" s="65">
        <f t="shared" si="22"/>
        <v>4835000</v>
      </c>
      <c r="AE110" s="99" t="s">
        <v>66</v>
      </c>
      <c r="AF110" s="125" t="s">
        <v>715</v>
      </c>
    </row>
    <row r="111" spans="1:32" ht="15" customHeight="1" outlineLevel="1" x14ac:dyDescent="0.3">
      <c r="A111" s="70" t="s">
        <v>709</v>
      </c>
      <c r="B111" s="3" t="s">
        <v>6</v>
      </c>
      <c r="C111" s="3" t="s">
        <v>7</v>
      </c>
      <c r="D111" s="160">
        <v>45712</v>
      </c>
      <c r="E111" s="3" t="s">
        <v>76</v>
      </c>
      <c r="F111" s="5" t="s">
        <v>664</v>
      </c>
      <c r="G111" s="5" t="s">
        <v>60</v>
      </c>
      <c r="H111" s="5" t="s">
        <v>70</v>
      </c>
      <c r="I111" s="3" t="s">
        <v>10</v>
      </c>
      <c r="J111" s="9" t="s">
        <v>665</v>
      </c>
      <c r="K111" s="9" t="s">
        <v>666</v>
      </c>
      <c r="L111" s="162" t="s">
        <v>215</v>
      </c>
      <c r="M111" s="4">
        <v>1</v>
      </c>
      <c r="N111" s="7">
        <v>216000</v>
      </c>
      <c r="O111" s="7">
        <f t="shared" si="26"/>
        <v>216000</v>
      </c>
      <c r="P111" s="116" t="s">
        <v>22</v>
      </c>
      <c r="Q111" s="64">
        <f>D111+28</f>
        <v>45740</v>
      </c>
      <c r="R111" s="116" t="s">
        <v>578</v>
      </c>
      <c r="S111" s="2" t="s">
        <v>491</v>
      </c>
      <c r="T111" s="64">
        <v>45727</v>
      </c>
      <c r="U111" s="65">
        <f t="shared" si="32"/>
        <v>216000</v>
      </c>
      <c r="V111" s="98">
        <v>1</v>
      </c>
      <c r="W111" s="157" t="s">
        <v>588</v>
      </c>
      <c r="X111" s="68">
        <v>45751</v>
      </c>
      <c r="Y111" s="68">
        <v>45747</v>
      </c>
      <c r="Z111" s="64">
        <v>45754</v>
      </c>
      <c r="AA111" s="69">
        <v>0.1</v>
      </c>
      <c r="AB111" s="7">
        <f t="shared" ref="AB111:AB112" si="33">U111</f>
        <v>216000</v>
      </c>
      <c r="AC111" s="7">
        <f t="shared" ref="AC111:AC112" si="34">AB111*AA111</f>
        <v>21600</v>
      </c>
      <c r="AD111" s="65">
        <f t="shared" ref="AD111:AD112" si="35">SUM(AB111:AC111)</f>
        <v>237600</v>
      </c>
      <c r="AE111" s="99" t="s">
        <v>777</v>
      </c>
      <c r="AF111" s="125" t="s">
        <v>676</v>
      </c>
    </row>
    <row r="112" spans="1:32" ht="15" customHeight="1" outlineLevel="1" x14ac:dyDescent="0.3">
      <c r="A112" s="70" t="s">
        <v>710</v>
      </c>
      <c r="B112" s="3" t="s">
        <v>6</v>
      </c>
      <c r="C112" s="3" t="s">
        <v>7</v>
      </c>
      <c r="D112" s="160">
        <v>45712</v>
      </c>
      <c r="E112" s="3" t="s">
        <v>670</v>
      </c>
      <c r="F112" s="5" t="s">
        <v>671</v>
      </c>
      <c r="G112" s="5" t="s">
        <v>668</v>
      </c>
      <c r="H112" s="5" t="s">
        <v>683</v>
      </c>
      <c r="I112" s="3" t="s">
        <v>10</v>
      </c>
      <c r="J112" s="9" t="s">
        <v>672</v>
      </c>
      <c r="K112" s="9" t="s">
        <v>673</v>
      </c>
      <c r="L112" s="162" t="s">
        <v>215</v>
      </c>
      <c r="M112" s="4">
        <v>1</v>
      </c>
      <c r="N112" s="7">
        <v>2611000</v>
      </c>
      <c r="O112" s="7">
        <f t="shared" si="26"/>
        <v>2611000</v>
      </c>
      <c r="P112" s="116" t="s">
        <v>22</v>
      </c>
      <c r="Q112" s="64">
        <f>D112+70</f>
        <v>45782</v>
      </c>
      <c r="R112" s="116" t="s">
        <v>674</v>
      </c>
      <c r="S112" s="2" t="s">
        <v>491</v>
      </c>
      <c r="T112" s="64">
        <v>45755</v>
      </c>
      <c r="U112" s="65">
        <f t="shared" si="32"/>
        <v>2611000</v>
      </c>
      <c r="V112" s="98">
        <v>1</v>
      </c>
      <c r="W112" s="183" t="s">
        <v>675</v>
      </c>
      <c r="X112" s="68">
        <v>45751</v>
      </c>
      <c r="Y112" s="68">
        <v>45743</v>
      </c>
      <c r="Z112" s="64">
        <v>45754</v>
      </c>
      <c r="AA112" s="69">
        <v>0.1</v>
      </c>
      <c r="AB112" s="7">
        <f t="shared" si="33"/>
        <v>2611000</v>
      </c>
      <c r="AC112" s="7">
        <f t="shared" si="34"/>
        <v>261100</v>
      </c>
      <c r="AD112" s="65">
        <f t="shared" si="35"/>
        <v>2872100</v>
      </c>
      <c r="AE112" s="178" t="s">
        <v>770</v>
      </c>
      <c r="AF112" s="125" t="s">
        <v>778</v>
      </c>
    </row>
    <row r="113" spans="1:32" ht="15" customHeight="1" outlineLevel="1" x14ac:dyDescent="0.3">
      <c r="A113" s="70" t="s">
        <v>711</v>
      </c>
      <c r="B113" s="3" t="s">
        <v>6</v>
      </c>
      <c r="C113" s="3" t="s">
        <v>7</v>
      </c>
      <c r="D113" s="160">
        <v>45716</v>
      </c>
      <c r="E113" s="3" t="s">
        <v>11</v>
      </c>
      <c r="F113" s="5" t="s">
        <v>678</v>
      </c>
      <c r="G113" s="5" t="s">
        <v>60</v>
      </c>
      <c r="H113" s="5" t="s">
        <v>105</v>
      </c>
      <c r="I113" s="3" t="s">
        <v>238</v>
      </c>
      <c r="J113" s="9" t="s">
        <v>651</v>
      </c>
      <c r="K113" s="9" t="s">
        <v>677</v>
      </c>
      <c r="L113" s="162" t="s">
        <v>215</v>
      </c>
      <c r="M113" s="4">
        <v>1</v>
      </c>
      <c r="N113" s="7">
        <v>2140340</v>
      </c>
      <c r="O113" s="7">
        <f t="shared" si="26"/>
        <v>2140340</v>
      </c>
      <c r="P113" s="116" t="s">
        <v>22</v>
      </c>
      <c r="Q113" s="64">
        <f>D113+28</f>
        <v>45744</v>
      </c>
      <c r="R113" s="116" t="s">
        <v>578</v>
      </c>
      <c r="S113" s="2" t="s">
        <v>491</v>
      </c>
      <c r="T113" s="64">
        <v>45716</v>
      </c>
      <c r="U113" s="65">
        <f t="shared" si="32"/>
        <v>2140340</v>
      </c>
      <c r="V113" s="98">
        <v>1</v>
      </c>
      <c r="W113" s="157" t="s">
        <v>588</v>
      </c>
      <c r="X113" s="68">
        <v>45721</v>
      </c>
      <c r="Y113" s="68">
        <v>45716</v>
      </c>
      <c r="Z113" s="64">
        <v>45722</v>
      </c>
      <c r="AA113" s="69">
        <v>0.1</v>
      </c>
      <c r="AB113" s="7">
        <f t="shared" si="30"/>
        <v>2140340</v>
      </c>
      <c r="AC113" s="7">
        <f t="shared" si="31"/>
        <v>214034</v>
      </c>
      <c r="AD113" s="65">
        <f t="shared" si="22"/>
        <v>2354374</v>
      </c>
      <c r="AE113" s="99"/>
      <c r="AF113" s="125" t="s">
        <v>679</v>
      </c>
    </row>
    <row r="114" spans="1:32" ht="15" customHeight="1" outlineLevel="1" x14ac:dyDescent="0.3">
      <c r="A114" s="70" t="s">
        <v>696</v>
      </c>
      <c r="B114" s="3" t="s">
        <v>6</v>
      </c>
      <c r="C114" s="3" t="s">
        <v>23</v>
      </c>
      <c r="D114" s="160">
        <v>45716</v>
      </c>
      <c r="E114" s="3" t="s">
        <v>12</v>
      </c>
      <c r="F114" s="5" t="s">
        <v>680</v>
      </c>
      <c r="G114" s="5" t="s">
        <v>60</v>
      </c>
      <c r="H114" s="5" t="s">
        <v>429</v>
      </c>
      <c r="I114" s="3" t="s">
        <v>238</v>
      </c>
      <c r="J114" s="9" t="s">
        <v>682</v>
      </c>
      <c r="K114" s="9" t="s">
        <v>681</v>
      </c>
      <c r="L114" s="162" t="s">
        <v>215</v>
      </c>
      <c r="M114" s="4">
        <v>1</v>
      </c>
      <c r="N114" s="7">
        <v>1866000</v>
      </c>
      <c r="O114" s="7">
        <f t="shared" si="26"/>
        <v>1866000</v>
      </c>
      <c r="P114" s="116" t="s">
        <v>22</v>
      </c>
      <c r="Q114" s="64">
        <f>D114+28</f>
        <v>45744</v>
      </c>
      <c r="R114" s="116" t="s">
        <v>578</v>
      </c>
      <c r="S114" s="2" t="s">
        <v>491</v>
      </c>
      <c r="T114" s="64">
        <v>45716</v>
      </c>
      <c r="U114" s="65">
        <f t="shared" si="32"/>
        <v>1866000</v>
      </c>
      <c r="V114" s="98">
        <v>1</v>
      </c>
      <c r="W114" s="157" t="s">
        <v>588</v>
      </c>
      <c r="X114" s="68">
        <v>45721</v>
      </c>
      <c r="Y114" s="68">
        <v>45716</v>
      </c>
      <c r="Z114" s="64">
        <v>45722</v>
      </c>
      <c r="AA114" s="69">
        <v>0.1</v>
      </c>
      <c r="AB114" s="7">
        <f t="shared" si="30"/>
        <v>1866000</v>
      </c>
      <c r="AC114" s="7">
        <f t="shared" si="31"/>
        <v>186600</v>
      </c>
      <c r="AD114" s="65">
        <f t="shared" si="22"/>
        <v>2052600</v>
      </c>
      <c r="AE114" s="99"/>
      <c r="AF114" s="125" t="s">
        <v>689</v>
      </c>
    </row>
    <row r="115" spans="1:32" ht="15" customHeight="1" x14ac:dyDescent="0.3">
      <c r="A115" s="70" t="s">
        <v>697</v>
      </c>
      <c r="B115" s="3" t="s">
        <v>639</v>
      </c>
      <c r="C115" s="3" t="s">
        <v>640</v>
      </c>
      <c r="D115" s="160">
        <v>45720</v>
      </c>
      <c r="E115" s="3" t="s">
        <v>643</v>
      </c>
      <c r="F115" s="5" t="s">
        <v>698</v>
      </c>
      <c r="G115" s="5" t="s">
        <v>60</v>
      </c>
      <c r="H115" s="5" t="s">
        <v>105</v>
      </c>
      <c r="I115" s="3" t="s">
        <v>238</v>
      </c>
      <c r="J115" s="9" t="s">
        <v>647</v>
      </c>
      <c r="K115" s="9" t="s">
        <v>647</v>
      </c>
      <c r="L115" s="162" t="s">
        <v>215</v>
      </c>
      <c r="M115" s="4">
        <v>1</v>
      </c>
      <c r="N115" s="7">
        <v>2000000</v>
      </c>
      <c r="O115" s="7">
        <f t="shared" si="26"/>
        <v>2000000</v>
      </c>
      <c r="P115" s="116" t="s">
        <v>22</v>
      </c>
      <c r="Q115" s="64">
        <v>45747</v>
      </c>
      <c r="R115" s="116"/>
      <c r="T115" s="64">
        <v>45747</v>
      </c>
      <c r="U115" s="65">
        <f t="shared" si="32"/>
        <v>2000000</v>
      </c>
      <c r="V115" s="98">
        <v>1</v>
      </c>
      <c r="W115" s="157" t="s">
        <v>700</v>
      </c>
      <c r="X115" s="68">
        <v>45751</v>
      </c>
      <c r="Y115" s="68"/>
      <c r="Z115" s="64">
        <v>45754</v>
      </c>
      <c r="AA115" s="69">
        <v>-3.3000000000000002E-2</v>
      </c>
      <c r="AB115" s="7">
        <f t="shared" si="30"/>
        <v>2000000</v>
      </c>
      <c r="AC115" s="7">
        <f t="shared" si="31"/>
        <v>-66000</v>
      </c>
      <c r="AD115" s="65">
        <f t="shared" si="22"/>
        <v>1934000</v>
      </c>
      <c r="AE115" s="99" t="s">
        <v>742</v>
      </c>
      <c r="AF115" s="125" t="s">
        <v>699</v>
      </c>
    </row>
    <row r="116" spans="1:32" ht="15" customHeight="1" x14ac:dyDescent="0.3">
      <c r="A116" s="70" t="s">
        <v>704</v>
      </c>
      <c r="B116" s="3" t="s">
        <v>639</v>
      </c>
      <c r="C116" s="3" t="s">
        <v>640</v>
      </c>
      <c r="D116" s="160">
        <v>45720</v>
      </c>
      <c r="E116" s="3" t="s">
        <v>703</v>
      </c>
      <c r="F116" s="5" t="s">
        <v>702</v>
      </c>
      <c r="G116" s="5" t="s">
        <v>60</v>
      </c>
      <c r="H116" s="5" t="s">
        <v>105</v>
      </c>
      <c r="I116" s="3" t="s">
        <v>238</v>
      </c>
      <c r="J116" s="9" t="s">
        <v>647</v>
      </c>
      <c r="K116" s="9" t="s">
        <v>647</v>
      </c>
      <c r="L116" s="162" t="s">
        <v>215</v>
      </c>
      <c r="M116" s="4">
        <v>1</v>
      </c>
      <c r="N116" s="7">
        <v>800000</v>
      </c>
      <c r="O116" s="7">
        <f t="shared" si="26"/>
        <v>800000</v>
      </c>
      <c r="P116" s="116" t="s">
        <v>22</v>
      </c>
      <c r="Q116" s="64">
        <v>45730</v>
      </c>
      <c r="R116" s="116"/>
      <c r="T116" s="64">
        <v>45730</v>
      </c>
      <c r="U116" s="65">
        <f t="shared" si="32"/>
        <v>800000</v>
      </c>
      <c r="V116" s="98">
        <v>1</v>
      </c>
      <c r="W116" s="157" t="s">
        <v>700</v>
      </c>
      <c r="X116" s="68">
        <v>45751</v>
      </c>
      <c r="Y116" s="68"/>
      <c r="Z116" s="64">
        <v>45754</v>
      </c>
      <c r="AA116" s="69">
        <v>-3.3000000000000002E-2</v>
      </c>
      <c r="AB116" s="7">
        <f t="shared" ref="AB116" si="36">U116</f>
        <v>800000</v>
      </c>
      <c r="AC116" s="7">
        <f t="shared" ref="AC116" si="37">AB116*AA116</f>
        <v>-26400</v>
      </c>
      <c r="AD116" s="65">
        <f t="shared" ref="AD116" si="38">SUM(AB116:AC116)</f>
        <v>773600</v>
      </c>
      <c r="AE116" s="99" t="s">
        <v>66</v>
      </c>
      <c r="AF116" s="125" t="s">
        <v>701</v>
      </c>
    </row>
    <row r="117" spans="1:32" ht="15" customHeight="1" x14ac:dyDescent="0.3">
      <c r="A117" s="70" t="s">
        <v>706</v>
      </c>
      <c r="B117" s="3" t="s">
        <v>6</v>
      </c>
      <c r="C117" s="3" t="s">
        <v>7</v>
      </c>
      <c r="D117" s="160">
        <v>45721</v>
      </c>
      <c r="E117" s="3" t="s">
        <v>690</v>
      </c>
      <c r="F117" s="5" t="s">
        <v>691</v>
      </c>
      <c r="G117" s="5" t="s">
        <v>60</v>
      </c>
      <c r="H117" s="5" t="s">
        <v>428</v>
      </c>
      <c r="I117" s="3" t="s">
        <v>238</v>
      </c>
      <c r="J117" s="9" t="s">
        <v>693</v>
      </c>
      <c r="K117" s="9" t="s">
        <v>692</v>
      </c>
      <c r="L117" s="162" t="s">
        <v>215</v>
      </c>
      <c r="M117" s="4">
        <v>1000</v>
      </c>
      <c r="N117" s="7">
        <v>250</v>
      </c>
      <c r="O117" s="7">
        <f t="shared" si="26"/>
        <v>250000</v>
      </c>
      <c r="P117" s="116" t="s">
        <v>22</v>
      </c>
      <c r="Q117" s="64">
        <f>D117+28</f>
        <v>45749</v>
      </c>
      <c r="R117" s="116" t="s">
        <v>578</v>
      </c>
      <c r="S117" s="2" t="s">
        <v>491</v>
      </c>
      <c r="T117" s="64">
        <v>45722</v>
      </c>
      <c r="U117" s="65">
        <f t="shared" si="32"/>
        <v>250000</v>
      </c>
      <c r="V117" s="98">
        <v>1</v>
      </c>
      <c r="W117" s="157" t="s">
        <v>675</v>
      </c>
      <c r="X117" s="68">
        <v>45723</v>
      </c>
      <c r="Y117" s="68">
        <v>45722</v>
      </c>
      <c r="Z117" s="64">
        <v>45723</v>
      </c>
      <c r="AA117" s="69">
        <v>0.1</v>
      </c>
      <c r="AB117" s="7">
        <f t="shared" si="24"/>
        <v>250000</v>
      </c>
      <c r="AC117" s="7">
        <f t="shared" si="25"/>
        <v>25000</v>
      </c>
      <c r="AD117" s="65">
        <f t="shared" si="22"/>
        <v>275000</v>
      </c>
      <c r="AE117" s="99"/>
      <c r="AF117" s="125" t="s">
        <v>694</v>
      </c>
    </row>
    <row r="118" spans="1:32" ht="15" customHeight="1" x14ac:dyDescent="0.3">
      <c r="A118" s="70" t="s">
        <v>712</v>
      </c>
      <c r="B118" s="3" t="s">
        <v>6</v>
      </c>
      <c r="C118" s="3" t="s">
        <v>7</v>
      </c>
      <c r="D118" s="160">
        <v>45726</v>
      </c>
      <c r="E118" s="3" t="s">
        <v>226</v>
      </c>
      <c r="F118" s="5" t="s">
        <v>707</v>
      </c>
      <c r="G118" s="5" t="s">
        <v>59</v>
      </c>
      <c r="H118" s="5" t="s">
        <v>70</v>
      </c>
      <c r="I118" s="3" t="s">
        <v>238</v>
      </c>
      <c r="J118" s="9" t="s">
        <v>716</v>
      </c>
      <c r="K118" s="9" t="s">
        <v>716</v>
      </c>
      <c r="L118" s="162" t="s">
        <v>215</v>
      </c>
      <c r="M118" s="4">
        <v>1</v>
      </c>
      <c r="N118" s="7">
        <v>500000</v>
      </c>
      <c r="O118" s="7">
        <f t="shared" si="26"/>
        <v>500000</v>
      </c>
      <c r="P118" s="116" t="s">
        <v>22</v>
      </c>
      <c r="Q118" s="64">
        <f>D118+28</f>
        <v>45754</v>
      </c>
      <c r="R118" s="116" t="s">
        <v>578</v>
      </c>
      <c r="S118" s="2" t="s">
        <v>491</v>
      </c>
      <c r="T118" s="64">
        <v>45727</v>
      </c>
      <c r="U118" s="65">
        <f t="shared" si="32"/>
        <v>500000</v>
      </c>
      <c r="V118" s="98">
        <v>1</v>
      </c>
      <c r="W118" s="157" t="s">
        <v>588</v>
      </c>
      <c r="X118" s="68">
        <v>45751</v>
      </c>
      <c r="Y118" s="68">
        <v>45729</v>
      </c>
      <c r="Z118" s="64">
        <v>45754</v>
      </c>
      <c r="AA118" s="69">
        <v>0.1</v>
      </c>
      <c r="AB118" s="7">
        <f t="shared" si="24"/>
        <v>500000</v>
      </c>
      <c r="AC118" s="7">
        <f t="shared" si="25"/>
        <v>50000</v>
      </c>
      <c r="AD118" s="65">
        <f t="shared" si="22"/>
        <v>550000</v>
      </c>
      <c r="AE118" s="99"/>
      <c r="AF118" s="125" t="s">
        <v>718</v>
      </c>
    </row>
    <row r="119" spans="1:32" ht="15" customHeight="1" x14ac:dyDescent="0.3">
      <c r="A119" s="70" t="s">
        <v>762</v>
      </c>
      <c r="B119" s="3" t="s">
        <v>6</v>
      </c>
      <c r="C119" s="3" t="s">
        <v>7</v>
      </c>
      <c r="D119" s="160">
        <v>45730</v>
      </c>
      <c r="E119" s="3" t="s">
        <v>529</v>
      </c>
      <c r="F119" s="5" t="s">
        <v>720</v>
      </c>
      <c r="G119" s="5" t="s">
        <v>59</v>
      </c>
      <c r="H119" s="5" t="s">
        <v>70</v>
      </c>
      <c r="I119" s="3" t="s">
        <v>238</v>
      </c>
      <c r="J119" s="9" t="s">
        <v>721</v>
      </c>
      <c r="K119" s="9" t="s">
        <v>721</v>
      </c>
      <c r="L119" s="162" t="s">
        <v>215</v>
      </c>
      <c r="M119" s="4">
        <v>250</v>
      </c>
      <c r="N119" s="7">
        <v>1800</v>
      </c>
      <c r="O119" s="7">
        <f t="shared" si="26"/>
        <v>450000</v>
      </c>
      <c r="P119" s="116" t="s">
        <v>22</v>
      </c>
      <c r="Q119" s="64">
        <f>D119+28</f>
        <v>45758</v>
      </c>
      <c r="R119" s="116" t="s">
        <v>578</v>
      </c>
      <c r="S119" s="2" t="s">
        <v>491</v>
      </c>
      <c r="T119" s="64">
        <v>45741</v>
      </c>
      <c r="U119" s="65">
        <f t="shared" si="32"/>
        <v>450000</v>
      </c>
      <c r="V119" s="98">
        <v>1</v>
      </c>
      <c r="W119" s="157" t="s">
        <v>588</v>
      </c>
      <c r="X119" s="68">
        <v>45751</v>
      </c>
      <c r="Y119" s="68">
        <v>45747</v>
      </c>
      <c r="Z119" s="64">
        <v>45754</v>
      </c>
      <c r="AA119" s="69">
        <v>0.1</v>
      </c>
      <c r="AB119" s="7">
        <f t="shared" si="24"/>
        <v>450000</v>
      </c>
      <c r="AC119" s="7">
        <f t="shared" si="25"/>
        <v>45000</v>
      </c>
      <c r="AD119" s="65">
        <f t="shared" si="22"/>
        <v>495000</v>
      </c>
      <c r="AE119" s="99" t="s">
        <v>777</v>
      </c>
      <c r="AF119" s="125" t="s">
        <v>719</v>
      </c>
    </row>
    <row r="120" spans="1:32" ht="15" customHeight="1" x14ac:dyDescent="0.3">
      <c r="A120" s="70" t="s">
        <v>763</v>
      </c>
      <c r="B120" s="3" t="s">
        <v>43</v>
      </c>
      <c r="C120" s="3" t="s">
        <v>42</v>
      </c>
      <c r="D120" s="160">
        <v>45735</v>
      </c>
      <c r="E120" s="3" t="s">
        <v>529</v>
      </c>
      <c r="F120" s="5" t="s">
        <v>722</v>
      </c>
      <c r="G120" s="5" t="s">
        <v>240</v>
      </c>
      <c r="H120" s="5" t="s">
        <v>723</v>
      </c>
      <c r="I120" s="3" t="s">
        <v>238</v>
      </c>
      <c r="J120" s="9" t="s">
        <v>724</v>
      </c>
      <c r="K120" s="9" t="s">
        <v>725</v>
      </c>
      <c r="L120" s="162" t="s">
        <v>215</v>
      </c>
      <c r="M120" s="4">
        <v>2</v>
      </c>
      <c r="N120" s="7">
        <v>1897000</v>
      </c>
      <c r="O120" s="7">
        <f t="shared" si="26"/>
        <v>3794000</v>
      </c>
      <c r="P120" s="116" t="s">
        <v>22</v>
      </c>
      <c r="Q120" s="64">
        <f>D120+28</f>
        <v>45763</v>
      </c>
      <c r="R120" s="116" t="s">
        <v>578</v>
      </c>
      <c r="S120" s="2" t="s">
        <v>491</v>
      </c>
      <c r="T120" s="64">
        <v>45741</v>
      </c>
      <c r="U120" s="65">
        <f t="shared" si="32"/>
        <v>3794000</v>
      </c>
      <c r="V120" s="98">
        <v>1</v>
      </c>
      <c r="W120" s="157" t="s">
        <v>588</v>
      </c>
      <c r="X120" s="68">
        <v>45751</v>
      </c>
      <c r="Y120" s="68">
        <v>45747</v>
      </c>
      <c r="Z120" s="64">
        <v>45754</v>
      </c>
      <c r="AA120" s="69">
        <v>0.1</v>
      </c>
      <c r="AB120" s="7">
        <f t="shared" si="24"/>
        <v>3794000</v>
      </c>
      <c r="AC120" s="7">
        <f t="shared" si="25"/>
        <v>379400</v>
      </c>
      <c r="AD120" s="65">
        <f t="shared" si="22"/>
        <v>4173400</v>
      </c>
      <c r="AE120" s="99" t="s">
        <v>777</v>
      </c>
      <c r="AF120" s="125" t="s">
        <v>726</v>
      </c>
    </row>
    <row r="121" spans="1:32" ht="15" customHeight="1" x14ac:dyDescent="0.3">
      <c r="A121" s="70" t="s">
        <v>764</v>
      </c>
      <c r="B121" s="3" t="s">
        <v>6</v>
      </c>
      <c r="C121" s="3" t="s">
        <v>7</v>
      </c>
      <c r="D121" s="160">
        <v>45736</v>
      </c>
      <c r="E121" s="3" t="s">
        <v>529</v>
      </c>
      <c r="F121" s="5" t="s">
        <v>739</v>
      </c>
      <c r="G121" s="5" t="s">
        <v>59</v>
      </c>
      <c r="H121" s="5" t="s">
        <v>70</v>
      </c>
      <c r="I121" s="3" t="s">
        <v>238</v>
      </c>
      <c r="J121" s="9" t="s">
        <v>740</v>
      </c>
      <c r="K121" s="9" t="s">
        <v>741</v>
      </c>
      <c r="L121" s="162" t="s">
        <v>215</v>
      </c>
      <c r="M121" s="4">
        <v>1</v>
      </c>
      <c r="N121" s="7">
        <v>576000</v>
      </c>
      <c r="O121" s="7">
        <f t="shared" si="26"/>
        <v>576000</v>
      </c>
      <c r="P121" s="116" t="s">
        <v>22</v>
      </c>
      <c r="Q121" s="64">
        <f>D121+42</f>
        <v>45778</v>
      </c>
      <c r="R121" s="116" t="s">
        <v>579</v>
      </c>
      <c r="S121" s="2" t="s">
        <v>491</v>
      </c>
      <c r="T121" s="64">
        <v>45763</v>
      </c>
      <c r="U121" s="65">
        <f t="shared" si="32"/>
        <v>576000</v>
      </c>
      <c r="V121" s="98">
        <v>1</v>
      </c>
      <c r="W121" s="157" t="s">
        <v>588</v>
      </c>
      <c r="X121" s="68">
        <v>45784</v>
      </c>
      <c r="Y121" s="68">
        <v>45775</v>
      </c>
      <c r="Z121" s="64">
        <v>45786</v>
      </c>
      <c r="AA121" s="69">
        <v>0.1</v>
      </c>
      <c r="AB121" s="7">
        <f t="shared" ref="AB121:AB181" si="39">U121</f>
        <v>576000</v>
      </c>
      <c r="AC121" s="7">
        <f t="shared" ref="AC121:AC181" si="40">AB121*AA121</f>
        <v>57600</v>
      </c>
      <c r="AD121" s="65">
        <f t="shared" ref="AD121:AD181" si="41">SUM(AB121:AC121)</f>
        <v>633600</v>
      </c>
      <c r="AE121" s="178"/>
      <c r="AF121" s="125" t="s">
        <v>738</v>
      </c>
    </row>
    <row r="122" spans="1:32" ht="15" customHeight="1" x14ac:dyDescent="0.3">
      <c r="A122" s="70" t="s">
        <v>765</v>
      </c>
      <c r="B122" s="3" t="s">
        <v>43</v>
      </c>
      <c r="C122" s="3" t="s">
        <v>42</v>
      </c>
      <c r="D122" s="160">
        <v>45736</v>
      </c>
      <c r="E122" s="3" t="s">
        <v>744</v>
      </c>
      <c r="F122" s="5" t="s">
        <v>754</v>
      </c>
      <c r="G122" s="5" t="s">
        <v>756</v>
      </c>
      <c r="H122" s="5" t="s">
        <v>747</v>
      </c>
      <c r="I122" s="3" t="s">
        <v>240</v>
      </c>
      <c r="J122" s="9" t="s">
        <v>752</v>
      </c>
      <c r="K122" s="9" t="s">
        <v>753</v>
      </c>
      <c r="L122" s="162" t="s">
        <v>215</v>
      </c>
      <c r="M122" s="4">
        <v>1</v>
      </c>
      <c r="N122" s="7">
        <v>670</v>
      </c>
      <c r="O122" s="7">
        <f t="shared" si="26"/>
        <v>670</v>
      </c>
      <c r="P122" s="116" t="s">
        <v>757</v>
      </c>
      <c r="Q122" s="64">
        <f>D122+42</f>
        <v>45778</v>
      </c>
      <c r="R122" s="116" t="s">
        <v>578</v>
      </c>
      <c r="S122" s="2" t="s">
        <v>491</v>
      </c>
      <c r="T122" s="64">
        <v>45736</v>
      </c>
      <c r="U122" s="65">
        <f t="shared" si="32"/>
        <v>993409</v>
      </c>
      <c r="V122" s="98">
        <v>1482.7</v>
      </c>
      <c r="W122" s="157" t="s">
        <v>79</v>
      </c>
      <c r="X122" s="68">
        <v>45751</v>
      </c>
      <c r="Y122" s="68">
        <v>45737</v>
      </c>
      <c r="Z122" s="64">
        <v>45754</v>
      </c>
      <c r="AA122" s="69">
        <v>0.1</v>
      </c>
      <c r="AB122" s="7">
        <f t="shared" si="39"/>
        <v>993409</v>
      </c>
      <c r="AC122" s="7">
        <f t="shared" si="40"/>
        <v>99340.900000000009</v>
      </c>
      <c r="AD122" s="65">
        <f t="shared" si="41"/>
        <v>1092749.8999999999</v>
      </c>
      <c r="AE122" s="99"/>
      <c r="AF122" s="125" t="s">
        <v>755</v>
      </c>
    </row>
    <row r="123" spans="1:32" ht="15" customHeight="1" x14ac:dyDescent="0.3">
      <c r="A123" s="70" t="s">
        <v>766</v>
      </c>
      <c r="B123" s="3" t="s">
        <v>6</v>
      </c>
      <c r="C123" s="3" t="s">
        <v>23</v>
      </c>
      <c r="D123" s="160">
        <v>45742</v>
      </c>
      <c r="E123" s="3" t="s">
        <v>12</v>
      </c>
      <c r="F123" s="5" t="s">
        <v>759</v>
      </c>
      <c r="G123" s="5" t="s">
        <v>60</v>
      </c>
      <c r="H123" s="5" t="s">
        <v>70</v>
      </c>
      <c r="I123" s="3" t="s">
        <v>238</v>
      </c>
      <c r="J123" s="9" t="s">
        <v>746</v>
      </c>
      <c r="K123" s="9" t="s">
        <v>760</v>
      </c>
      <c r="L123" s="162" t="s">
        <v>215</v>
      </c>
      <c r="M123" s="4">
        <v>1</v>
      </c>
      <c r="N123" s="7">
        <v>2665000</v>
      </c>
      <c r="O123" s="7">
        <f t="shared" si="26"/>
        <v>2665000</v>
      </c>
      <c r="P123" s="116" t="s">
        <v>22</v>
      </c>
      <c r="Q123" s="64">
        <f>D123+28</f>
        <v>45770</v>
      </c>
      <c r="R123" s="116" t="s">
        <v>578</v>
      </c>
      <c r="S123" s="2" t="s">
        <v>491</v>
      </c>
      <c r="T123" s="64">
        <v>45743</v>
      </c>
      <c r="U123" s="65">
        <f t="shared" si="32"/>
        <v>2665000</v>
      </c>
      <c r="V123" s="98">
        <v>1</v>
      </c>
      <c r="W123" s="157" t="s">
        <v>588</v>
      </c>
      <c r="X123" s="68">
        <v>45751</v>
      </c>
      <c r="Y123" s="68">
        <v>45744</v>
      </c>
      <c r="Z123" s="64">
        <v>45754</v>
      </c>
      <c r="AA123" s="69">
        <v>0.1</v>
      </c>
      <c r="AB123" s="7">
        <f t="shared" si="39"/>
        <v>2665000</v>
      </c>
      <c r="AC123" s="7">
        <f t="shared" si="40"/>
        <v>266500</v>
      </c>
      <c r="AD123" s="65">
        <f t="shared" si="41"/>
        <v>2931500</v>
      </c>
      <c r="AE123" s="99"/>
      <c r="AF123" s="125" t="s">
        <v>761</v>
      </c>
    </row>
    <row r="124" spans="1:32" ht="15" customHeight="1" x14ac:dyDescent="0.3">
      <c r="A124" s="70" t="s">
        <v>767</v>
      </c>
      <c r="B124" s="3" t="s">
        <v>6</v>
      </c>
      <c r="C124" s="3" t="s">
        <v>7</v>
      </c>
      <c r="D124" s="160">
        <v>45743</v>
      </c>
      <c r="E124" s="3" t="s">
        <v>11</v>
      </c>
      <c r="F124" s="5" t="s">
        <v>758</v>
      </c>
      <c r="G124" s="5" t="s">
        <v>60</v>
      </c>
      <c r="H124" s="5" t="s">
        <v>105</v>
      </c>
      <c r="I124" s="3" t="s">
        <v>10</v>
      </c>
      <c r="J124" s="9" t="s">
        <v>743</v>
      </c>
      <c r="K124" s="9" t="s">
        <v>769</v>
      </c>
      <c r="L124" s="162" t="s">
        <v>215</v>
      </c>
      <c r="M124" s="4">
        <v>1</v>
      </c>
      <c r="N124" s="7">
        <v>3461900</v>
      </c>
      <c r="O124" s="7">
        <f t="shared" si="26"/>
        <v>3461900</v>
      </c>
      <c r="P124" s="116" t="s">
        <v>22</v>
      </c>
      <c r="Q124" s="64">
        <f>D124+28</f>
        <v>45771</v>
      </c>
      <c r="R124" s="116" t="s">
        <v>578</v>
      </c>
      <c r="S124" s="2" t="s">
        <v>491</v>
      </c>
      <c r="T124" s="64">
        <v>45744</v>
      </c>
      <c r="U124" s="65">
        <f t="shared" si="32"/>
        <v>3461900</v>
      </c>
      <c r="V124" s="98">
        <v>1</v>
      </c>
      <c r="W124" s="157" t="s">
        <v>588</v>
      </c>
      <c r="X124" s="68">
        <v>45751</v>
      </c>
      <c r="Y124" s="68">
        <v>45744</v>
      </c>
      <c r="Z124" s="64">
        <v>45754</v>
      </c>
      <c r="AA124" s="69">
        <v>0.1</v>
      </c>
      <c r="AB124" s="7">
        <f t="shared" si="39"/>
        <v>3461900</v>
      </c>
      <c r="AC124" s="7">
        <f t="shared" si="40"/>
        <v>346190</v>
      </c>
      <c r="AD124" s="65">
        <f t="shared" si="41"/>
        <v>3808090</v>
      </c>
      <c r="AE124" s="99"/>
      <c r="AF124" s="125" t="s">
        <v>768</v>
      </c>
    </row>
    <row r="125" spans="1:32" ht="15" customHeight="1" x14ac:dyDescent="0.3">
      <c r="A125" s="70" t="s">
        <v>819</v>
      </c>
      <c r="B125" s="3" t="s">
        <v>639</v>
      </c>
      <c r="C125" s="3" t="s">
        <v>640</v>
      </c>
      <c r="D125" s="160">
        <v>45747</v>
      </c>
      <c r="E125" s="3" t="s">
        <v>643</v>
      </c>
      <c r="F125" s="5" t="s">
        <v>771</v>
      </c>
      <c r="G125" s="5" t="s">
        <v>60</v>
      </c>
      <c r="H125" s="5" t="s">
        <v>105</v>
      </c>
      <c r="I125" s="3" t="s">
        <v>238</v>
      </c>
      <c r="J125" s="9" t="s">
        <v>647</v>
      </c>
      <c r="K125" s="9" t="s">
        <v>647</v>
      </c>
      <c r="L125" s="162" t="s">
        <v>215</v>
      </c>
      <c r="M125" s="4">
        <v>1</v>
      </c>
      <c r="N125" s="7">
        <v>1400000</v>
      </c>
      <c r="O125" s="7">
        <f t="shared" si="26"/>
        <v>1400000</v>
      </c>
      <c r="P125" s="116" t="s">
        <v>22</v>
      </c>
      <c r="Q125" s="64">
        <v>45765</v>
      </c>
      <c r="R125" s="116"/>
      <c r="T125" s="64">
        <v>45765</v>
      </c>
      <c r="U125" s="65">
        <f t="shared" si="32"/>
        <v>1400000</v>
      </c>
      <c r="V125" s="98">
        <v>1</v>
      </c>
      <c r="W125" s="157" t="s">
        <v>772</v>
      </c>
      <c r="X125" s="68">
        <v>45784</v>
      </c>
      <c r="Y125" s="68"/>
      <c r="Z125" s="64">
        <v>45786</v>
      </c>
      <c r="AA125" s="69">
        <v>-3.3000000000000002E-2</v>
      </c>
      <c r="AB125" s="7">
        <f t="shared" si="39"/>
        <v>1400000</v>
      </c>
      <c r="AC125" s="7">
        <f t="shared" si="40"/>
        <v>-46200</v>
      </c>
      <c r="AD125" s="65">
        <f t="shared" si="41"/>
        <v>1353800</v>
      </c>
      <c r="AE125" s="99" t="s">
        <v>66</v>
      </c>
      <c r="AF125" s="125" t="s">
        <v>773</v>
      </c>
    </row>
    <row r="126" spans="1:32" ht="15" customHeight="1" x14ac:dyDescent="0.3">
      <c r="A126" s="70" t="s">
        <v>800</v>
      </c>
      <c r="B126" s="3" t="s">
        <v>639</v>
      </c>
      <c r="C126" s="3" t="s">
        <v>640</v>
      </c>
      <c r="D126" s="160">
        <v>45768</v>
      </c>
      <c r="E126" s="3" t="s">
        <v>658</v>
      </c>
      <c r="F126" s="5" t="s">
        <v>240</v>
      </c>
      <c r="G126" s="5" t="s">
        <v>60</v>
      </c>
      <c r="H126" s="5" t="s">
        <v>105</v>
      </c>
      <c r="I126" s="3" t="s">
        <v>10</v>
      </c>
      <c r="J126" s="9" t="s">
        <v>714</v>
      </c>
      <c r="K126" s="9" t="s">
        <v>714</v>
      </c>
      <c r="L126" s="162" t="s">
        <v>215</v>
      </c>
      <c r="M126" s="4">
        <v>1</v>
      </c>
      <c r="N126" s="7">
        <v>10000000</v>
      </c>
      <c r="O126" s="7">
        <f t="shared" si="26"/>
        <v>10000000</v>
      </c>
      <c r="P126" s="116" t="s">
        <v>22</v>
      </c>
      <c r="Q126" s="64">
        <v>45797</v>
      </c>
      <c r="R126" s="116"/>
      <c r="T126" s="64">
        <v>45797</v>
      </c>
      <c r="U126" s="65">
        <f t="shared" si="32"/>
        <v>10000000</v>
      </c>
      <c r="V126" s="98">
        <v>1</v>
      </c>
      <c r="W126" s="157" t="s">
        <v>805</v>
      </c>
      <c r="X126" s="68">
        <v>45798</v>
      </c>
      <c r="Y126" s="68"/>
      <c r="Z126" s="64">
        <v>45800</v>
      </c>
      <c r="AA126" s="69">
        <v>-3.3000000000000002E-2</v>
      </c>
      <c r="AB126" s="7">
        <f t="shared" si="39"/>
        <v>10000000</v>
      </c>
      <c r="AC126" s="7">
        <f t="shared" si="40"/>
        <v>-330000</v>
      </c>
      <c r="AD126" s="65">
        <f t="shared" si="41"/>
        <v>9670000</v>
      </c>
      <c r="AE126" s="99" t="s">
        <v>66</v>
      </c>
      <c r="AF126" s="125" t="s">
        <v>806</v>
      </c>
    </row>
    <row r="127" spans="1:32" ht="15" customHeight="1" x14ac:dyDescent="0.3">
      <c r="A127" s="70" t="s">
        <v>801</v>
      </c>
      <c r="B127" s="3" t="s">
        <v>6</v>
      </c>
      <c r="C127" s="3" t="s">
        <v>7</v>
      </c>
      <c r="D127" s="160">
        <v>45775</v>
      </c>
      <c r="E127" s="3" t="s">
        <v>11</v>
      </c>
      <c r="F127" s="5" t="s">
        <v>780</v>
      </c>
      <c r="G127" s="5" t="s">
        <v>60</v>
      </c>
      <c r="H127" s="5" t="s">
        <v>105</v>
      </c>
      <c r="I127" s="3" t="s">
        <v>10</v>
      </c>
      <c r="J127" s="9" t="s">
        <v>779</v>
      </c>
      <c r="K127" s="9" t="s">
        <v>781</v>
      </c>
      <c r="L127" s="162" t="s">
        <v>215</v>
      </c>
      <c r="M127" s="4">
        <v>1</v>
      </c>
      <c r="N127" s="7">
        <v>1479800</v>
      </c>
      <c r="O127" s="7">
        <f t="shared" si="26"/>
        <v>1479800</v>
      </c>
      <c r="P127" s="116" t="s">
        <v>22</v>
      </c>
      <c r="Q127" s="64">
        <f>D127+28</f>
        <v>45803</v>
      </c>
      <c r="R127" s="116" t="s">
        <v>578</v>
      </c>
      <c r="S127" s="2" t="s">
        <v>491</v>
      </c>
      <c r="T127" s="64">
        <v>45775</v>
      </c>
      <c r="U127" s="65">
        <f t="shared" si="32"/>
        <v>1479800</v>
      </c>
      <c r="V127" s="98">
        <v>1</v>
      </c>
      <c r="W127" s="157" t="s">
        <v>588</v>
      </c>
      <c r="X127" s="68">
        <v>45784</v>
      </c>
      <c r="Y127" s="68">
        <v>45775</v>
      </c>
      <c r="Z127" s="64">
        <v>45786</v>
      </c>
      <c r="AA127" s="69">
        <v>0.1</v>
      </c>
      <c r="AB127" s="7">
        <f t="shared" si="39"/>
        <v>1479800</v>
      </c>
      <c r="AC127" s="7">
        <f t="shared" si="40"/>
        <v>147980</v>
      </c>
      <c r="AD127" s="65">
        <f t="shared" si="41"/>
        <v>1627780</v>
      </c>
      <c r="AE127" s="99"/>
      <c r="AF127" s="125" t="s">
        <v>782</v>
      </c>
    </row>
    <row r="128" spans="1:32" ht="15" customHeight="1" x14ac:dyDescent="0.3">
      <c r="A128" s="70" t="s">
        <v>802</v>
      </c>
      <c r="B128" s="3" t="s">
        <v>43</v>
      </c>
      <c r="C128" s="3" t="s">
        <v>548</v>
      </c>
      <c r="D128" s="160">
        <v>45785</v>
      </c>
      <c r="E128" s="3" t="s">
        <v>596</v>
      </c>
      <c r="F128" s="5" t="s">
        <v>786</v>
      </c>
      <c r="G128" s="5" t="s">
        <v>783</v>
      </c>
      <c r="H128" s="5" t="s">
        <v>855</v>
      </c>
      <c r="I128" s="3" t="s">
        <v>240</v>
      </c>
      <c r="J128" s="9" t="s">
        <v>785</v>
      </c>
      <c r="K128" s="9" t="s">
        <v>784</v>
      </c>
      <c r="L128" s="162" t="s">
        <v>215</v>
      </c>
      <c r="M128" s="4">
        <v>1</v>
      </c>
      <c r="N128" s="7">
        <v>6582000</v>
      </c>
      <c r="O128" s="7">
        <f t="shared" si="26"/>
        <v>6582000</v>
      </c>
      <c r="P128" s="116" t="s">
        <v>22</v>
      </c>
      <c r="Q128" s="64">
        <f>D128+28</f>
        <v>45813</v>
      </c>
      <c r="R128" s="116" t="s">
        <v>578</v>
      </c>
      <c r="S128" s="2" t="s">
        <v>491</v>
      </c>
      <c r="T128" s="64">
        <v>45797</v>
      </c>
      <c r="U128" s="65">
        <f t="shared" si="32"/>
        <v>6582000</v>
      </c>
      <c r="V128" s="98">
        <v>1</v>
      </c>
      <c r="W128" s="157" t="s">
        <v>588</v>
      </c>
      <c r="X128" s="68">
        <v>45845</v>
      </c>
      <c r="Y128" s="68">
        <v>45838</v>
      </c>
      <c r="Z128" s="64">
        <v>45848</v>
      </c>
      <c r="AA128" s="69">
        <v>0.1</v>
      </c>
      <c r="AB128" s="7">
        <f t="shared" si="39"/>
        <v>6582000</v>
      </c>
      <c r="AC128" s="7">
        <f t="shared" si="40"/>
        <v>658200</v>
      </c>
      <c r="AD128" s="65">
        <f t="shared" si="41"/>
        <v>7240200</v>
      </c>
      <c r="AE128" s="180"/>
      <c r="AF128" s="125" t="s">
        <v>857</v>
      </c>
    </row>
    <row r="129" spans="1:32" ht="15" customHeight="1" x14ac:dyDescent="0.3">
      <c r="A129" s="70" t="s">
        <v>803</v>
      </c>
      <c r="B129" s="3" t="s">
        <v>43</v>
      </c>
      <c r="C129" s="3" t="s">
        <v>42</v>
      </c>
      <c r="D129" s="160">
        <v>45793</v>
      </c>
      <c r="E129" s="3" t="s">
        <v>787</v>
      </c>
      <c r="F129" s="5" t="s">
        <v>790</v>
      </c>
      <c r="G129" s="5" t="s">
        <v>60</v>
      </c>
      <c r="H129" s="5" t="s">
        <v>429</v>
      </c>
      <c r="I129" s="3" t="s">
        <v>10</v>
      </c>
      <c r="J129" s="9" t="s">
        <v>788</v>
      </c>
      <c r="K129" s="9" t="s">
        <v>789</v>
      </c>
      <c r="L129" s="162" t="s">
        <v>215</v>
      </c>
      <c r="M129" s="4">
        <v>1</v>
      </c>
      <c r="N129" s="7">
        <v>1800000</v>
      </c>
      <c r="O129" s="7">
        <f t="shared" si="26"/>
        <v>1800000</v>
      </c>
      <c r="P129" s="116" t="s">
        <v>22</v>
      </c>
      <c r="Q129" s="64">
        <f>D129+7*16</f>
        <v>45905</v>
      </c>
      <c r="R129" s="116" t="s">
        <v>791</v>
      </c>
      <c r="S129" s="2" t="s">
        <v>491</v>
      </c>
      <c r="T129" s="64">
        <v>45825</v>
      </c>
      <c r="U129" s="65">
        <f t="shared" si="32"/>
        <v>1800000</v>
      </c>
      <c r="V129" s="98">
        <v>1</v>
      </c>
      <c r="W129" s="157" t="s">
        <v>792</v>
      </c>
      <c r="X129" s="68">
        <v>45798</v>
      </c>
      <c r="Y129" s="68">
        <v>45796</v>
      </c>
      <c r="Z129" s="64">
        <v>45799</v>
      </c>
      <c r="AA129" s="69">
        <v>0.1</v>
      </c>
      <c r="AB129" s="7">
        <f t="shared" ref="AB129:AB131" si="42">U129</f>
        <v>1800000</v>
      </c>
      <c r="AC129" s="7">
        <f t="shared" ref="AC129:AC131" si="43">AB129*AA129</f>
        <v>180000</v>
      </c>
      <c r="AD129" s="65">
        <f t="shared" ref="AD129:AD131" si="44">SUM(AB129:AC129)</f>
        <v>1980000</v>
      </c>
      <c r="AE129" s="181"/>
      <c r="AF129" s="125" t="s">
        <v>797</v>
      </c>
    </row>
    <row r="130" spans="1:32" ht="15" customHeight="1" x14ac:dyDescent="0.3">
      <c r="A130" s="70" t="s">
        <v>804</v>
      </c>
      <c r="B130" s="3" t="s">
        <v>6</v>
      </c>
      <c r="C130" s="3" t="s">
        <v>7</v>
      </c>
      <c r="D130" s="160">
        <v>45793</v>
      </c>
      <c r="E130" s="3" t="s">
        <v>226</v>
      </c>
      <c r="F130" s="5" t="s">
        <v>793</v>
      </c>
      <c r="G130" s="5" t="s">
        <v>59</v>
      </c>
      <c r="H130" s="5" t="s">
        <v>70</v>
      </c>
      <c r="I130" s="3" t="s">
        <v>10</v>
      </c>
      <c r="J130" s="9" t="s">
        <v>794</v>
      </c>
      <c r="K130" s="9" t="s">
        <v>795</v>
      </c>
      <c r="L130" s="162" t="s">
        <v>215</v>
      </c>
      <c r="M130" s="4">
        <v>1</v>
      </c>
      <c r="N130" s="7">
        <v>92000</v>
      </c>
      <c r="O130" s="7">
        <f t="shared" si="26"/>
        <v>92000</v>
      </c>
      <c r="P130" s="116" t="s">
        <v>22</v>
      </c>
      <c r="Q130" s="64">
        <f t="shared" ref="Q130:Q135" si="45">D130+28</f>
        <v>45821</v>
      </c>
      <c r="R130" s="116" t="s">
        <v>578</v>
      </c>
      <c r="S130" s="2" t="s">
        <v>491</v>
      </c>
      <c r="T130" s="64">
        <v>45793</v>
      </c>
      <c r="U130" s="65">
        <f t="shared" si="32"/>
        <v>92000</v>
      </c>
      <c r="V130" s="98">
        <v>1</v>
      </c>
      <c r="W130" s="157" t="s">
        <v>588</v>
      </c>
      <c r="X130" s="68">
        <v>45813</v>
      </c>
      <c r="Y130" s="68">
        <v>45793</v>
      </c>
      <c r="Z130" s="64">
        <v>45813</v>
      </c>
      <c r="AA130" s="69">
        <v>0.1</v>
      </c>
      <c r="AB130" s="7">
        <f t="shared" si="42"/>
        <v>92000</v>
      </c>
      <c r="AC130" s="7">
        <f t="shared" si="43"/>
        <v>9200</v>
      </c>
      <c r="AD130" s="65">
        <f t="shared" si="44"/>
        <v>101200</v>
      </c>
      <c r="AE130" s="181"/>
      <c r="AF130" s="125" t="s">
        <v>796</v>
      </c>
    </row>
    <row r="131" spans="1:32" ht="15" customHeight="1" x14ac:dyDescent="0.3">
      <c r="A131" s="70" t="s">
        <v>799</v>
      </c>
      <c r="B131" s="3" t="s">
        <v>6</v>
      </c>
      <c r="C131" s="3" t="s">
        <v>7</v>
      </c>
      <c r="D131" s="160">
        <v>45835</v>
      </c>
      <c r="E131" s="3" t="s">
        <v>11</v>
      </c>
      <c r="F131" s="5" t="s">
        <v>811</v>
      </c>
      <c r="G131" s="5" t="s">
        <v>783</v>
      </c>
      <c r="H131" s="5" t="s">
        <v>855</v>
      </c>
      <c r="I131" s="3" t="s">
        <v>240</v>
      </c>
      <c r="J131" s="9" t="s">
        <v>807</v>
      </c>
      <c r="K131" s="9" t="s">
        <v>798</v>
      </c>
      <c r="L131" s="162" t="s">
        <v>215</v>
      </c>
      <c r="M131" s="4">
        <v>1</v>
      </c>
      <c r="N131" s="7">
        <v>7444670</v>
      </c>
      <c r="O131" s="7">
        <f t="shared" si="26"/>
        <v>7444670</v>
      </c>
      <c r="P131" s="116" t="s">
        <v>22</v>
      </c>
      <c r="Q131" s="64">
        <f t="shared" si="45"/>
        <v>45863</v>
      </c>
      <c r="R131" s="116" t="s">
        <v>578</v>
      </c>
      <c r="S131" s="2" t="s">
        <v>491</v>
      </c>
      <c r="T131" s="64">
        <v>45838</v>
      </c>
      <c r="U131" s="65">
        <f t="shared" si="32"/>
        <v>7444670</v>
      </c>
      <c r="V131" s="98">
        <v>1</v>
      </c>
      <c r="W131" s="157" t="s">
        <v>588</v>
      </c>
      <c r="X131" s="68">
        <v>45845</v>
      </c>
      <c r="Y131" s="68">
        <v>45838</v>
      </c>
      <c r="Z131" s="64">
        <v>45848</v>
      </c>
      <c r="AA131" s="69">
        <v>0.1</v>
      </c>
      <c r="AB131" s="7">
        <f t="shared" si="42"/>
        <v>7444670</v>
      </c>
      <c r="AC131" s="7">
        <f t="shared" si="43"/>
        <v>744467</v>
      </c>
      <c r="AD131" s="65">
        <f t="shared" si="44"/>
        <v>8189137</v>
      </c>
      <c r="AE131" s="181"/>
      <c r="AF131" s="125" t="s">
        <v>858</v>
      </c>
    </row>
    <row r="132" spans="1:32" ht="15" customHeight="1" x14ac:dyDescent="0.3">
      <c r="A132" s="70" t="s">
        <v>820</v>
      </c>
      <c r="B132" s="3" t="s">
        <v>6</v>
      </c>
      <c r="C132" s="3" t="s">
        <v>23</v>
      </c>
      <c r="D132" s="160">
        <v>45835</v>
      </c>
      <c r="E132" s="3" t="s">
        <v>808</v>
      </c>
      <c r="F132" s="5" t="s">
        <v>812</v>
      </c>
      <c r="G132" s="5" t="s">
        <v>783</v>
      </c>
      <c r="H132" s="5" t="s">
        <v>855</v>
      </c>
      <c r="I132" s="3" t="s">
        <v>240</v>
      </c>
      <c r="J132" s="9" t="s">
        <v>809</v>
      </c>
      <c r="K132" s="9" t="s">
        <v>810</v>
      </c>
      <c r="L132" s="162" t="s">
        <v>215</v>
      </c>
      <c r="M132" s="4">
        <v>1</v>
      </c>
      <c r="N132" s="7">
        <v>2400000</v>
      </c>
      <c r="O132" s="7">
        <f t="shared" si="26"/>
        <v>2400000</v>
      </c>
      <c r="P132" s="116" t="s">
        <v>22</v>
      </c>
      <c r="Q132" s="64">
        <f t="shared" si="45"/>
        <v>45863</v>
      </c>
      <c r="R132" s="116" t="s">
        <v>578</v>
      </c>
      <c r="S132" s="2" t="s">
        <v>491</v>
      </c>
      <c r="T132" s="64">
        <v>45838</v>
      </c>
      <c r="U132" s="65">
        <f t="shared" si="32"/>
        <v>2400000</v>
      </c>
      <c r="V132" s="98">
        <v>1</v>
      </c>
      <c r="W132" s="157" t="s">
        <v>588</v>
      </c>
      <c r="X132" s="68">
        <v>45845</v>
      </c>
      <c r="Y132" s="68">
        <v>45838</v>
      </c>
      <c r="Z132" s="64">
        <v>45848</v>
      </c>
      <c r="AA132" s="69">
        <v>0.1</v>
      </c>
      <c r="AB132" s="7">
        <f t="shared" si="39"/>
        <v>2400000</v>
      </c>
      <c r="AC132" s="7">
        <f t="shared" si="40"/>
        <v>240000</v>
      </c>
      <c r="AD132" s="65">
        <f t="shared" si="41"/>
        <v>2640000</v>
      </c>
      <c r="AE132" s="181"/>
      <c r="AF132" s="125" t="s">
        <v>859</v>
      </c>
    </row>
    <row r="133" spans="1:32" ht="15" customHeight="1" x14ac:dyDescent="0.3">
      <c r="A133" s="70" t="s">
        <v>821</v>
      </c>
      <c r="B133" s="3" t="s">
        <v>6</v>
      </c>
      <c r="C133" s="3" t="s">
        <v>7</v>
      </c>
      <c r="D133" s="160">
        <v>45852</v>
      </c>
      <c r="E133" s="3" t="s">
        <v>813</v>
      </c>
      <c r="F133" s="5" t="s">
        <v>814</v>
      </c>
      <c r="G133" s="5" t="s">
        <v>783</v>
      </c>
      <c r="H133" s="5" t="s">
        <v>855</v>
      </c>
      <c r="I133" s="3" t="s">
        <v>240</v>
      </c>
      <c r="J133" s="9" t="s">
        <v>815</v>
      </c>
      <c r="K133" s="9" t="s">
        <v>816</v>
      </c>
      <c r="L133" s="162" t="s">
        <v>215</v>
      </c>
      <c r="M133" s="4">
        <v>50</v>
      </c>
      <c r="N133" s="7">
        <v>4485</v>
      </c>
      <c r="O133" s="7">
        <f t="shared" si="26"/>
        <v>224250</v>
      </c>
      <c r="P133" s="116" t="s">
        <v>22</v>
      </c>
      <c r="Q133" s="64">
        <f t="shared" si="45"/>
        <v>45880</v>
      </c>
      <c r="R133" s="116" t="s">
        <v>578</v>
      </c>
      <c r="S133" s="2" t="s">
        <v>491</v>
      </c>
      <c r="T133" s="64">
        <v>45853</v>
      </c>
      <c r="U133" s="65">
        <f t="shared" si="32"/>
        <v>224250</v>
      </c>
      <c r="V133" s="98">
        <v>1</v>
      </c>
      <c r="W133" s="157" t="s">
        <v>817</v>
      </c>
      <c r="X133" s="68">
        <v>45860</v>
      </c>
      <c r="Y133" s="68">
        <v>45856</v>
      </c>
      <c r="Z133" s="64">
        <v>45856</v>
      </c>
      <c r="AA133" s="69">
        <v>0.1</v>
      </c>
      <c r="AB133" s="7">
        <f t="shared" si="39"/>
        <v>224250</v>
      </c>
      <c r="AC133" s="7">
        <f t="shared" si="40"/>
        <v>22425</v>
      </c>
      <c r="AD133" s="65">
        <f t="shared" si="41"/>
        <v>246675</v>
      </c>
      <c r="AE133" s="180" t="s">
        <v>818</v>
      </c>
      <c r="AF133" s="125" t="s">
        <v>860</v>
      </c>
    </row>
    <row r="134" spans="1:32" ht="15" customHeight="1" x14ac:dyDescent="0.3">
      <c r="A134" s="70" t="s">
        <v>822</v>
      </c>
      <c r="B134" s="3" t="s">
        <v>6</v>
      </c>
      <c r="C134" s="3" t="s">
        <v>7</v>
      </c>
      <c r="D134" s="160">
        <v>45860</v>
      </c>
      <c r="E134" s="3" t="s">
        <v>596</v>
      </c>
      <c r="F134" s="5" t="s">
        <v>825</v>
      </c>
      <c r="G134" s="5" t="s">
        <v>783</v>
      </c>
      <c r="H134" s="5" t="s">
        <v>855</v>
      </c>
      <c r="I134" s="3" t="s">
        <v>240</v>
      </c>
      <c r="J134" s="9" t="s">
        <v>861</v>
      </c>
      <c r="K134" s="9" t="s">
        <v>862</v>
      </c>
      <c r="L134" s="162" t="s">
        <v>215</v>
      </c>
      <c r="M134" s="4">
        <v>1</v>
      </c>
      <c r="N134" s="7">
        <v>940000</v>
      </c>
      <c r="O134" s="7">
        <f t="shared" ref="O134:O180" si="46">M134*N134</f>
        <v>940000</v>
      </c>
      <c r="P134" s="116" t="s">
        <v>22</v>
      </c>
      <c r="Q134" s="64">
        <f t="shared" si="45"/>
        <v>45888</v>
      </c>
      <c r="R134" s="116" t="s">
        <v>578</v>
      </c>
      <c r="S134" s="2" t="s">
        <v>491</v>
      </c>
      <c r="T134" s="64">
        <v>45863</v>
      </c>
      <c r="U134" s="65">
        <f t="shared" ref="U134:U178" si="47">O134*V134</f>
        <v>940000</v>
      </c>
      <c r="V134" s="98">
        <v>1</v>
      </c>
      <c r="W134" s="157" t="s">
        <v>588</v>
      </c>
      <c r="X134" s="68">
        <v>45874</v>
      </c>
      <c r="Y134" s="68">
        <v>45867</v>
      </c>
      <c r="Z134" s="64">
        <v>45877</v>
      </c>
      <c r="AA134" s="69">
        <v>0.1</v>
      </c>
      <c r="AB134" s="7">
        <f t="shared" ref="AB134:AB178" si="48">U134</f>
        <v>940000</v>
      </c>
      <c r="AC134" s="7">
        <f t="shared" ref="AC134:AC178" si="49">AB134*AA134</f>
        <v>94000</v>
      </c>
      <c r="AD134" s="65">
        <f t="shared" ref="AD134:AD178" si="50">SUM(AB134:AC134)</f>
        <v>1034000</v>
      </c>
      <c r="AE134" s="99" t="s">
        <v>877</v>
      </c>
      <c r="AF134" s="125" t="s">
        <v>878</v>
      </c>
    </row>
    <row r="135" spans="1:32" ht="15" customHeight="1" x14ac:dyDescent="0.3">
      <c r="A135" s="70" t="s">
        <v>864</v>
      </c>
      <c r="B135" s="3" t="s">
        <v>43</v>
      </c>
      <c r="C135" s="3" t="s">
        <v>548</v>
      </c>
      <c r="D135" s="160">
        <v>45860</v>
      </c>
      <c r="E135" s="3" t="s">
        <v>147</v>
      </c>
      <c r="F135" s="5" t="s">
        <v>863</v>
      </c>
      <c r="G135" s="5" t="s">
        <v>783</v>
      </c>
      <c r="H135" s="5" t="s">
        <v>856</v>
      </c>
      <c r="I135" s="3" t="s">
        <v>240</v>
      </c>
      <c r="J135" s="9" t="s">
        <v>867</v>
      </c>
      <c r="K135" s="9" t="s">
        <v>868</v>
      </c>
      <c r="L135" s="162" t="s">
        <v>215</v>
      </c>
      <c r="M135" s="4">
        <v>1</v>
      </c>
      <c r="N135" s="7">
        <v>3315000</v>
      </c>
      <c r="O135" s="7">
        <f t="shared" si="46"/>
        <v>3315000</v>
      </c>
      <c r="P135" s="116" t="s">
        <v>22</v>
      </c>
      <c r="Q135" s="64">
        <f t="shared" si="45"/>
        <v>45888</v>
      </c>
      <c r="R135" s="116" t="s">
        <v>578</v>
      </c>
      <c r="S135" s="2" t="s">
        <v>491</v>
      </c>
      <c r="T135" s="64">
        <v>45863</v>
      </c>
      <c r="U135" s="65">
        <f t="shared" si="47"/>
        <v>3315000</v>
      </c>
      <c r="V135" s="98">
        <v>1</v>
      </c>
      <c r="W135" s="157" t="s">
        <v>79</v>
      </c>
      <c r="X135" s="68">
        <v>45874</v>
      </c>
      <c r="Y135" s="68">
        <v>45867</v>
      </c>
      <c r="Z135" s="64">
        <v>45877</v>
      </c>
      <c r="AA135" s="69">
        <v>0.1</v>
      </c>
      <c r="AB135" s="7">
        <f t="shared" ref="AB135" si="51">U135</f>
        <v>3315000</v>
      </c>
      <c r="AC135" s="7">
        <f t="shared" ref="AC135" si="52">AB135*AA135</f>
        <v>331500</v>
      </c>
      <c r="AD135" s="65">
        <f t="shared" ref="AD135" si="53">SUM(AB135:AC135)</f>
        <v>3646500</v>
      </c>
      <c r="AE135" s="99" t="s">
        <v>877</v>
      </c>
      <c r="AF135" s="125" t="s">
        <v>869</v>
      </c>
    </row>
    <row r="136" spans="1:32" ht="15" customHeight="1" x14ac:dyDescent="0.3">
      <c r="A136" s="70" t="s">
        <v>823</v>
      </c>
      <c r="B136" s="3" t="s">
        <v>43</v>
      </c>
      <c r="C136" s="3" t="s">
        <v>42</v>
      </c>
      <c r="D136" s="160">
        <v>45867</v>
      </c>
      <c r="E136" s="3" t="s">
        <v>834</v>
      </c>
      <c r="F136" s="5" t="s">
        <v>841</v>
      </c>
      <c r="G136" s="5" t="s">
        <v>838</v>
      </c>
      <c r="H136" s="5" t="s">
        <v>837</v>
      </c>
      <c r="I136" s="3" t="s">
        <v>839</v>
      </c>
      <c r="J136" s="9" t="s">
        <v>919</v>
      </c>
      <c r="K136" s="9" t="s">
        <v>901</v>
      </c>
      <c r="L136" s="162" t="s">
        <v>215</v>
      </c>
      <c r="M136" s="4">
        <v>1</v>
      </c>
      <c r="N136" s="7">
        <v>650000</v>
      </c>
      <c r="O136" s="7">
        <f t="shared" ref="O136:O145" si="54">M136*N136</f>
        <v>650000</v>
      </c>
      <c r="P136" s="116" t="s">
        <v>22</v>
      </c>
      <c r="Q136" s="64">
        <f>D136+28</f>
        <v>45895</v>
      </c>
      <c r="R136" s="116" t="s">
        <v>835</v>
      </c>
      <c r="S136" s="2" t="s">
        <v>491</v>
      </c>
      <c r="T136" s="64">
        <v>45883</v>
      </c>
      <c r="U136" s="65">
        <f t="shared" ref="U136:U145" si="55">O136*V136</f>
        <v>650000</v>
      </c>
      <c r="V136" s="98">
        <v>1</v>
      </c>
      <c r="W136" s="196" t="s">
        <v>840</v>
      </c>
      <c r="X136" s="68">
        <v>45874</v>
      </c>
      <c r="Y136" s="68">
        <v>45867</v>
      </c>
      <c r="Z136" s="64">
        <v>45877</v>
      </c>
      <c r="AA136" s="69">
        <v>0.1</v>
      </c>
      <c r="AB136" s="7">
        <f t="shared" ref="AB136:AB145" si="56">U136</f>
        <v>650000</v>
      </c>
      <c r="AC136" s="7">
        <f t="shared" ref="AC136:AC145" si="57">AB136*AA136</f>
        <v>65000</v>
      </c>
      <c r="AD136" s="65">
        <f t="shared" ref="AD136:AD145" si="58">SUM(AB136:AC136)</f>
        <v>715000</v>
      </c>
      <c r="AE136" s="178" t="s">
        <v>889</v>
      </c>
      <c r="AF136" s="125" t="s">
        <v>843</v>
      </c>
    </row>
    <row r="137" spans="1:32" ht="15" customHeight="1" x14ac:dyDescent="0.3">
      <c r="A137" s="70" t="s">
        <v>830</v>
      </c>
      <c r="B137" s="3" t="s">
        <v>894</v>
      </c>
      <c r="C137" s="3" t="s">
        <v>895</v>
      </c>
      <c r="D137" s="160">
        <v>45867</v>
      </c>
      <c r="E137" s="3" t="s">
        <v>896</v>
      </c>
      <c r="F137" s="5" t="s">
        <v>897</v>
      </c>
      <c r="G137" s="5" t="s">
        <v>898</v>
      </c>
      <c r="H137" s="5" t="s">
        <v>899</v>
      </c>
      <c r="I137" s="3" t="s">
        <v>900</v>
      </c>
      <c r="J137" s="9" t="s">
        <v>919</v>
      </c>
      <c r="K137" s="9" t="s">
        <v>902</v>
      </c>
      <c r="L137" s="162" t="s">
        <v>215</v>
      </c>
      <c r="M137" s="4">
        <v>1</v>
      </c>
      <c r="N137" s="7">
        <v>650000</v>
      </c>
      <c r="O137" s="7">
        <f t="shared" si="54"/>
        <v>650000</v>
      </c>
      <c r="P137" s="116" t="s">
        <v>22</v>
      </c>
      <c r="Q137" s="64">
        <f>D137+28</f>
        <v>45895</v>
      </c>
      <c r="R137" s="116" t="s">
        <v>904</v>
      </c>
      <c r="S137" s="2" t="s">
        <v>491</v>
      </c>
      <c r="T137" s="64">
        <v>45883</v>
      </c>
      <c r="U137" s="65">
        <f t="shared" si="55"/>
        <v>650000</v>
      </c>
      <c r="V137" s="98">
        <v>1</v>
      </c>
      <c r="W137" s="196" t="s">
        <v>905</v>
      </c>
      <c r="X137" s="68">
        <v>45887</v>
      </c>
      <c r="Y137" s="68">
        <v>45883</v>
      </c>
      <c r="Z137" s="64">
        <v>45887</v>
      </c>
      <c r="AA137" s="69">
        <v>0.1</v>
      </c>
      <c r="AB137" s="7">
        <f t="shared" si="56"/>
        <v>650000</v>
      </c>
      <c r="AC137" s="7">
        <f t="shared" si="57"/>
        <v>65000</v>
      </c>
      <c r="AD137" s="65">
        <f t="shared" si="58"/>
        <v>715000</v>
      </c>
      <c r="AE137" s="178" t="s">
        <v>907</v>
      </c>
      <c r="AF137" s="125" t="s">
        <v>906</v>
      </c>
    </row>
    <row r="138" spans="1:32" ht="15" customHeight="1" x14ac:dyDescent="0.3">
      <c r="A138" s="70" t="s">
        <v>831</v>
      </c>
      <c r="B138" s="3" t="s">
        <v>43</v>
      </c>
      <c r="C138" s="3" t="s">
        <v>42</v>
      </c>
      <c r="D138" s="160">
        <v>45873</v>
      </c>
      <c r="E138" s="3" t="s">
        <v>833</v>
      </c>
      <c r="F138" s="5" t="s">
        <v>842</v>
      </c>
      <c r="G138" s="5" t="s">
        <v>838</v>
      </c>
      <c r="H138" s="5" t="s">
        <v>837</v>
      </c>
      <c r="I138" s="3" t="s">
        <v>839</v>
      </c>
      <c r="J138" s="9" t="s">
        <v>920</v>
      </c>
      <c r="K138" s="9" t="s">
        <v>845</v>
      </c>
      <c r="L138" s="162" t="s">
        <v>215</v>
      </c>
      <c r="M138" s="4">
        <v>1</v>
      </c>
      <c r="N138" s="7">
        <v>1939000</v>
      </c>
      <c r="O138" s="7">
        <f t="shared" si="54"/>
        <v>1939000</v>
      </c>
      <c r="P138" s="116" t="s">
        <v>22</v>
      </c>
      <c r="Q138" s="64">
        <f>D138+49</f>
        <v>45922</v>
      </c>
      <c r="R138" s="116" t="s">
        <v>836</v>
      </c>
      <c r="S138" s="2" t="s">
        <v>491</v>
      </c>
      <c r="T138" s="64">
        <v>45889</v>
      </c>
      <c r="U138" s="65">
        <f t="shared" si="55"/>
        <v>1939000</v>
      </c>
      <c r="V138" s="98">
        <v>1</v>
      </c>
      <c r="W138" s="157" t="s">
        <v>588</v>
      </c>
      <c r="X138" s="68">
        <v>45905</v>
      </c>
      <c r="Y138" s="68">
        <v>45898</v>
      </c>
      <c r="Z138" s="64">
        <v>45905</v>
      </c>
      <c r="AA138" s="69">
        <v>0.1</v>
      </c>
      <c r="AB138" s="7">
        <f t="shared" si="56"/>
        <v>1939000</v>
      </c>
      <c r="AC138" s="7">
        <f t="shared" si="57"/>
        <v>193900</v>
      </c>
      <c r="AD138" s="65">
        <f t="shared" si="58"/>
        <v>2132900</v>
      </c>
      <c r="AE138" s="99"/>
      <c r="AF138" s="125" t="s">
        <v>844</v>
      </c>
    </row>
    <row r="139" spans="1:32" ht="15" customHeight="1" x14ac:dyDescent="0.3">
      <c r="A139" s="70" t="s">
        <v>832</v>
      </c>
      <c r="B139" s="3" t="s">
        <v>6</v>
      </c>
      <c r="C139" s="3" t="s">
        <v>23</v>
      </c>
      <c r="D139" s="160">
        <v>45880</v>
      </c>
      <c r="E139" s="3" t="s">
        <v>808</v>
      </c>
      <c r="F139" s="5" t="s">
        <v>879</v>
      </c>
      <c r="G139" s="5" t="s">
        <v>783</v>
      </c>
      <c r="H139" s="5" t="s">
        <v>855</v>
      </c>
      <c r="I139" s="3" t="s">
        <v>240</v>
      </c>
      <c r="J139" s="9" t="s">
        <v>826</v>
      </c>
      <c r="K139" s="9" t="s">
        <v>810</v>
      </c>
      <c r="L139" s="162" t="s">
        <v>215</v>
      </c>
      <c r="M139" s="4">
        <v>1</v>
      </c>
      <c r="N139" s="7">
        <v>2050000</v>
      </c>
      <c r="O139" s="7">
        <f t="shared" si="54"/>
        <v>2050000</v>
      </c>
      <c r="P139" s="116" t="s">
        <v>22</v>
      </c>
      <c r="Q139" s="64">
        <f t="shared" ref="Q139:Q145" si="59">D139+28</f>
        <v>45908</v>
      </c>
      <c r="R139" s="116" t="s">
        <v>578</v>
      </c>
      <c r="S139" s="2" t="s">
        <v>491</v>
      </c>
      <c r="T139" s="64">
        <v>45882</v>
      </c>
      <c r="U139" s="65">
        <f t="shared" si="55"/>
        <v>2050000</v>
      </c>
      <c r="V139" s="98">
        <v>1</v>
      </c>
      <c r="W139" s="157" t="s">
        <v>588</v>
      </c>
      <c r="X139" s="68">
        <v>45887</v>
      </c>
      <c r="Y139" s="68">
        <v>45882</v>
      </c>
      <c r="Z139" s="64">
        <v>45887</v>
      </c>
      <c r="AA139" s="69">
        <v>0.1</v>
      </c>
      <c r="AB139" s="7">
        <f t="shared" si="56"/>
        <v>2050000</v>
      </c>
      <c r="AC139" s="7">
        <f t="shared" si="57"/>
        <v>205000</v>
      </c>
      <c r="AD139" s="65">
        <f t="shared" si="58"/>
        <v>2255000</v>
      </c>
      <c r="AE139" s="178"/>
      <c r="AF139" s="125" t="s">
        <v>881</v>
      </c>
    </row>
    <row r="140" spans="1:32" ht="15" customHeight="1" x14ac:dyDescent="0.3">
      <c r="A140" s="70" t="s">
        <v>865</v>
      </c>
      <c r="B140" s="3" t="s">
        <v>6</v>
      </c>
      <c r="C140" s="3" t="s">
        <v>7</v>
      </c>
      <c r="D140" s="160">
        <v>45881</v>
      </c>
      <c r="E140" s="3" t="s">
        <v>11</v>
      </c>
      <c r="F140" s="5" t="s">
        <v>882</v>
      </c>
      <c r="G140" s="5" t="s">
        <v>783</v>
      </c>
      <c r="H140" s="5" t="s">
        <v>854</v>
      </c>
      <c r="I140" s="3" t="s">
        <v>240</v>
      </c>
      <c r="J140" s="9" t="s">
        <v>873</v>
      </c>
      <c r="K140" s="9" t="s">
        <v>871</v>
      </c>
      <c r="L140" s="162" t="s">
        <v>215</v>
      </c>
      <c r="M140" s="4">
        <v>1</v>
      </c>
      <c r="N140" s="7">
        <v>6209300</v>
      </c>
      <c r="O140" s="7">
        <f t="shared" si="54"/>
        <v>6209300</v>
      </c>
      <c r="P140" s="116" t="s">
        <v>22</v>
      </c>
      <c r="Q140" s="64">
        <f t="shared" si="59"/>
        <v>45909</v>
      </c>
      <c r="R140" s="116" t="s">
        <v>578</v>
      </c>
      <c r="S140" s="2" t="s">
        <v>491</v>
      </c>
      <c r="T140" s="64">
        <v>45882</v>
      </c>
      <c r="U140" s="65">
        <f t="shared" si="55"/>
        <v>6209300</v>
      </c>
      <c r="V140" s="98">
        <v>1</v>
      </c>
      <c r="W140" s="157" t="s">
        <v>588</v>
      </c>
      <c r="X140" s="68">
        <v>45887</v>
      </c>
      <c r="Y140" s="68">
        <v>45882</v>
      </c>
      <c r="Z140" s="64">
        <v>45887</v>
      </c>
      <c r="AA140" s="69">
        <v>0.1</v>
      </c>
      <c r="AB140" s="7">
        <f t="shared" si="56"/>
        <v>6209300</v>
      </c>
      <c r="AC140" s="7">
        <f t="shared" si="57"/>
        <v>620930</v>
      </c>
      <c r="AD140" s="65">
        <f t="shared" si="58"/>
        <v>6830230</v>
      </c>
      <c r="AE140" s="178"/>
      <c r="AF140" s="125" t="s">
        <v>883</v>
      </c>
    </row>
    <row r="141" spans="1:32" ht="15" customHeight="1" x14ac:dyDescent="0.3">
      <c r="A141" s="70" t="s">
        <v>866</v>
      </c>
      <c r="B141" s="3" t="s">
        <v>6</v>
      </c>
      <c r="C141" s="3" t="s">
        <v>7</v>
      </c>
      <c r="D141" s="160">
        <v>45881</v>
      </c>
      <c r="E141" s="3" t="s">
        <v>11</v>
      </c>
      <c r="F141" s="5" t="s">
        <v>880</v>
      </c>
      <c r="G141" s="5" t="s">
        <v>783</v>
      </c>
      <c r="H141" s="5" t="s">
        <v>856</v>
      </c>
      <c r="I141" s="3" t="s">
        <v>240</v>
      </c>
      <c r="J141" s="9" t="s">
        <v>872</v>
      </c>
      <c r="K141" s="9" t="s">
        <v>829</v>
      </c>
      <c r="L141" s="162" t="s">
        <v>215</v>
      </c>
      <c r="M141" s="4">
        <v>1</v>
      </c>
      <c r="N141" s="7">
        <v>2218370</v>
      </c>
      <c r="O141" s="7">
        <f t="shared" si="54"/>
        <v>2218370</v>
      </c>
      <c r="P141" s="116" t="s">
        <v>22</v>
      </c>
      <c r="Q141" s="64">
        <f t="shared" si="59"/>
        <v>45909</v>
      </c>
      <c r="R141" s="116" t="s">
        <v>578</v>
      </c>
      <c r="S141" s="2" t="s">
        <v>491</v>
      </c>
      <c r="T141" s="64">
        <v>45882</v>
      </c>
      <c r="U141" s="65">
        <f t="shared" si="55"/>
        <v>2218370</v>
      </c>
      <c r="V141" s="98">
        <v>1</v>
      </c>
      <c r="W141" s="157" t="s">
        <v>588</v>
      </c>
      <c r="X141" s="68">
        <v>45887</v>
      </c>
      <c r="Y141" s="68">
        <v>45882</v>
      </c>
      <c r="Z141" s="64">
        <v>45887</v>
      </c>
      <c r="AA141" s="69">
        <v>0.1</v>
      </c>
      <c r="AB141" s="7">
        <f t="shared" si="56"/>
        <v>2218370</v>
      </c>
      <c r="AC141" s="7">
        <f t="shared" si="57"/>
        <v>221837</v>
      </c>
      <c r="AD141" s="65">
        <f t="shared" si="58"/>
        <v>2440207</v>
      </c>
      <c r="AE141" s="178"/>
      <c r="AF141" s="125" t="s">
        <v>884</v>
      </c>
    </row>
    <row r="142" spans="1:32" ht="15" customHeight="1" x14ac:dyDescent="0.3">
      <c r="A142" s="70" t="s">
        <v>870</v>
      </c>
      <c r="B142" s="3" t="s">
        <v>6</v>
      </c>
      <c r="C142" s="3" t="s">
        <v>23</v>
      </c>
      <c r="D142" s="160">
        <v>45880</v>
      </c>
      <c r="E142" s="3" t="s">
        <v>12</v>
      </c>
      <c r="F142" s="5" t="s">
        <v>885</v>
      </c>
      <c r="G142" s="5" t="s">
        <v>783</v>
      </c>
      <c r="H142" s="5" t="s">
        <v>856</v>
      </c>
      <c r="I142" s="3" t="s">
        <v>240</v>
      </c>
      <c r="J142" s="9" t="s">
        <v>827</v>
      </c>
      <c r="K142" s="9" t="s">
        <v>828</v>
      </c>
      <c r="L142" s="162" t="s">
        <v>215</v>
      </c>
      <c r="M142" s="4">
        <v>1</v>
      </c>
      <c r="N142" s="7">
        <v>825300</v>
      </c>
      <c r="O142" s="7">
        <f t="shared" si="54"/>
        <v>825300</v>
      </c>
      <c r="P142" s="116" t="s">
        <v>22</v>
      </c>
      <c r="Q142" s="64">
        <f t="shared" si="59"/>
        <v>45908</v>
      </c>
      <c r="R142" s="116" t="s">
        <v>578</v>
      </c>
      <c r="S142" s="2" t="s">
        <v>491</v>
      </c>
      <c r="T142" s="64">
        <v>45882</v>
      </c>
      <c r="U142" s="65">
        <f t="shared" si="55"/>
        <v>825300</v>
      </c>
      <c r="V142" s="98">
        <v>1</v>
      </c>
      <c r="W142" s="157" t="s">
        <v>588</v>
      </c>
      <c r="X142" s="68">
        <v>45887</v>
      </c>
      <c r="Y142" s="68">
        <v>45882</v>
      </c>
      <c r="Z142" s="64">
        <v>45887</v>
      </c>
      <c r="AA142" s="69">
        <v>0.1</v>
      </c>
      <c r="AB142" s="7">
        <f t="shared" si="56"/>
        <v>825300</v>
      </c>
      <c r="AC142" s="7">
        <f t="shared" si="57"/>
        <v>82530</v>
      </c>
      <c r="AD142" s="65">
        <f t="shared" si="58"/>
        <v>907830</v>
      </c>
      <c r="AE142" s="178"/>
      <c r="AF142" s="125" t="s">
        <v>886</v>
      </c>
    </row>
    <row r="143" spans="1:32" ht="15" customHeight="1" x14ac:dyDescent="0.3">
      <c r="A143" s="70" t="s">
        <v>903</v>
      </c>
      <c r="B143" s="3" t="s">
        <v>6</v>
      </c>
      <c r="C143" s="3" t="s">
        <v>7</v>
      </c>
      <c r="D143" s="160">
        <v>45880</v>
      </c>
      <c r="E143" s="3" t="s">
        <v>848</v>
      </c>
      <c r="F143" s="5" t="s">
        <v>887</v>
      </c>
      <c r="G143" s="5" t="s">
        <v>783</v>
      </c>
      <c r="H143" s="5" t="s">
        <v>856</v>
      </c>
      <c r="I143" s="3" t="s">
        <v>240</v>
      </c>
      <c r="J143" s="9" t="s">
        <v>849</v>
      </c>
      <c r="K143" s="9" t="s">
        <v>851</v>
      </c>
      <c r="L143" s="162" t="s">
        <v>215</v>
      </c>
      <c r="M143" s="4">
        <v>1</v>
      </c>
      <c r="N143" s="7">
        <v>595000</v>
      </c>
      <c r="O143" s="7">
        <f t="shared" si="54"/>
        <v>595000</v>
      </c>
      <c r="P143" s="116" t="s">
        <v>22</v>
      </c>
      <c r="Q143" s="64">
        <f t="shared" si="59"/>
        <v>45908</v>
      </c>
      <c r="R143" s="116" t="s">
        <v>578</v>
      </c>
      <c r="S143" s="2" t="s">
        <v>491</v>
      </c>
      <c r="T143" s="64">
        <v>45882</v>
      </c>
      <c r="U143" s="65">
        <f t="shared" si="55"/>
        <v>595000</v>
      </c>
      <c r="V143" s="98">
        <v>1</v>
      </c>
      <c r="W143" s="157" t="s">
        <v>850</v>
      </c>
      <c r="X143" s="68">
        <v>45887</v>
      </c>
      <c r="Y143" s="68">
        <v>45882</v>
      </c>
      <c r="Z143" s="64">
        <v>45887</v>
      </c>
      <c r="AA143" s="69">
        <v>0.1</v>
      </c>
      <c r="AB143" s="7">
        <f t="shared" si="56"/>
        <v>595000</v>
      </c>
      <c r="AC143" s="7">
        <f t="shared" si="57"/>
        <v>59500</v>
      </c>
      <c r="AD143" s="65">
        <f t="shared" si="58"/>
        <v>654500</v>
      </c>
      <c r="AE143" s="178" t="s">
        <v>910</v>
      </c>
      <c r="AF143" s="125" t="s">
        <v>888</v>
      </c>
    </row>
    <row r="144" spans="1:32" ht="15" customHeight="1" x14ac:dyDescent="0.3">
      <c r="A144" s="70" t="s">
        <v>908</v>
      </c>
      <c r="B144" s="3" t="s">
        <v>6</v>
      </c>
      <c r="C144" s="3" t="s">
        <v>23</v>
      </c>
      <c r="D144" s="160">
        <v>45897</v>
      </c>
      <c r="E144" s="3" t="s">
        <v>12</v>
      </c>
      <c r="F144" s="5" t="s">
        <v>913</v>
      </c>
      <c r="G144" s="5" t="s">
        <v>59</v>
      </c>
      <c r="H144" s="5" t="s">
        <v>70</v>
      </c>
      <c r="I144" s="3" t="s">
        <v>238</v>
      </c>
      <c r="J144" s="9" t="s">
        <v>912</v>
      </c>
      <c r="K144" s="9" t="s">
        <v>912</v>
      </c>
      <c r="L144" s="162" t="s">
        <v>215</v>
      </c>
      <c r="M144" s="4">
        <v>1</v>
      </c>
      <c r="N144" s="7">
        <v>4732680</v>
      </c>
      <c r="O144" s="7">
        <f t="shared" si="54"/>
        <v>4732680</v>
      </c>
      <c r="P144" s="116" t="s">
        <v>22</v>
      </c>
      <c r="Q144" s="64">
        <f t="shared" si="59"/>
        <v>45925</v>
      </c>
      <c r="R144" s="116" t="s">
        <v>78</v>
      </c>
      <c r="S144" s="2" t="s">
        <v>491</v>
      </c>
      <c r="T144" s="64">
        <v>45898</v>
      </c>
      <c r="U144" s="65">
        <f t="shared" si="55"/>
        <v>4732680</v>
      </c>
      <c r="V144" s="98">
        <v>1</v>
      </c>
      <c r="W144" s="157" t="s">
        <v>588</v>
      </c>
      <c r="X144" s="68">
        <v>45905</v>
      </c>
      <c r="Y144" s="68">
        <v>45898</v>
      </c>
      <c r="Z144" s="64">
        <v>45905</v>
      </c>
      <c r="AA144" s="69">
        <v>0.1</v>
      </c>
      <c r="AB144" s="7">
        <f t="shared" si="56"/>
        <v>4732680</v>
      </c>
      <c r="AC144" s="7">
        <f t="shared" si="57"/>
        <v>473268</v>
      </c>
      <c r="AD144" s="65">
        <f t="shared" si="58"/>
        <v>5205948</v>
      </c>
      <c r="AE144" s="178" t="s">
        <v>915</v>
      </c>
      <c r="AF144" s="125" t="s">
        <v>914</v>
      </c>
    </row>
    <row r="145" spans="1:32" ht="15" customHeight="1" x14ac:dyDescent="0.3">
      <c r="A145" s="70" t="s">
        <v>911</v>
      </c>
      <c r="B145" s="3" t="s">
        <v>6</v>
      </c>
      <c r="C145" s="3" t="s">
        <v>7</v>
      </c>
      <c r="D145" s="160">
        <v>45912</v>
      </c>
      <c r="E145" s="3" t="s">
        <v>11</v>
      </c>
      <c r="F145" s="5" t="s">
        <v>917</v>
      </c>
      <c r="G145" s="5" t="s">
        <v>898</v>
      </c>
      <c r="H145" s="5" t="s">
        <v>837</v>
      </c>
      <c r="I145" s="3" t="s">
        <v>900</v>
      </c>
      <c r="J145" s="9" t="s">
        <v>909</v>
      </c>
      <c r="K145" s="9" t="s">
        <v>916</v>
      </c>
      <c r="L145" s="162" t="s">
        <v>215</v>
      </c>
      <c r="M145" s="4">
        <v>1</v>
      </c>
      <c r="N145" s="7">
        <v>986900</v>
      </c>
      <c r="O145" s="7">
        <f t="shared" si="54"/>
        <v>986900</v>
      </c>
      <c r="P145" s="116" t="s">
        <v>22</v>
      </c>
      <c r="Q145" s="64">
        <f t="shared" si="59"/>
        <v>45940</v>
      </c>
      <c r="R145" s="116" t="s">
        <v>578</v>
      </c>
      <c r="S145" s="2" t="s">
        <v>491</v>
      </c>
      <c r="T145" s="64">
        <v>45915</v>
      </c>
      <c r="U145" s="65">
        <f t="shared" si="55"/>
        <v>986900</v>
      </c>
      <c r="V145" s="98">
        <v>1</v>
      </c>
      <c r="W145" s="157" t="s">
        <v>79</v>
      </c>
      <c r="X145" s="68">
        <v>45918</v>
      </c>
      <c r="Y145" s="68">
        <v>45915</v>
      </c>
      <c r="Z145" s="64">
        <v>45918</v>
      </c>
      <c r="AA145" s="69">
        <v>0.1</v>
      </c>
      <c r="AB145" s="7">
        <f t="shared" si="56"/>
        <v>986900</v>
      </c>
      <c r="AC145" s="7">
        <f t="shared" si="57"/>
        <v>98690</v>
      </c>
      <c r="AD145" s="65">
        <f t="shared" si="58"/>
        <v>1085590</v>
      </c>
      <c r="AE145" s="99"/>
      <c r="AF145" s="125" t="s">
        <v>918</v>
      </c>
    </row>
    <row r="146" spans="1:32" ht="15" customHeight="1" x14ac:dyDescent="0.3">
      <c r="A146" s="70" t="s">
        <v>922</v>
      </c>
      <c r="B146" s="3" t="s">
        <v>6</v>
      </c>
      <c r="C146" s="3" t="s">
        <v>7</v>
      </c>
      <c r="D146" s="160">
        <v>45965</v>
      </c>
      <c r="E146" s="3" t="s">
        <v>596</v>
      </c>
      <c r="F146" s="5" t="s">
        <v>921</v>
      </c>
      <c r="G146" s="5" t="s">
        <v>925</v>
      </c>
      <c r="H146" s="5" t="s">
        <v>926</v>
      </c>
      <c r="I146" s="3" t="s">
        <v>240</v>
      </c>
      <c r="J146" s="9" t="s">
        <v>928</v>
      </c>
      <c r="K146" s="9" t="s">
        <v>929</v>
      </c>
      <c r="L146" s="162" t="s">
        <v>179</v>
      </c>
      <c r="M146" s="4">
        <v>1</v>
      </c>
      <c r="N146" s="7">
        <v>485000</v>
      </c>
      <c r="O146" s="7">
        <f t="shared" si="46"/>
        <v>485000</v>
      </c>
      <c r="P146" s="116" t="s">
        <v>22</v>
      </c>
      <c r="Q146" s="64">
        <f>D146+28</f>
        <v>45993</v>
      </c>
      <c r="R146" s="116" t="s">
        <v>578</v>
      </c>
      <c r="T146" s="64"/>
      <c r="U146" s="65">
        <f t="shared" si="47"/>
        <v>485000</v>
      </c>
      <c r="V146" s="98">
        <v>1</v>
      </c>
      <c r="W146" s="157" t="s">
        <v>588</v>
      </c>
      <c r="X146" s="68"/>
      <c r="Y146" s="68"/>
      <c r="Z146" s="64"/>
      <c r="AA146" s="69">
        <v>0.1</v>
      </c>
      <c r="AB146" s="7">
        <f t="shared" ref="AB146:AB176" si="60">U146</f>
        <v>485000</v>
      </c>
      <c r="AC146" s="7">
        <f t="shared" ref="AC146:AC176" si="61">AB146*AA146</f>
        <v>48500</v>
      </c>
      <c r="AD146" s="65">
        <f t="shared" ref="AD146:AD176" si="62">SUM(AB146:AC146)</f>
        <v>533500</v>
      </c>
      <c r="AE146" s="99"/>
      <c r="AF146" s="125" t="s">
        <v>930</v>
      </c>
    </row>
    <row r="147" spans="1:32" ht="15" customHeight="1" x14ac:dyDescent="0.3">
      <c r="A147" s="70" t="s">
        <v>923</v>
      </c>
      <c r="B147" s="3" t="s">
        <v>6</v>
      </c>
      <c r="C147" s="3" t="s">
        <v>7</v>
      </c>
      <c r="D147" s="160">
        <v>45966</v>
      </c>
      <c r="E147" s="3" t="s">
        <v>848</v>
      </c>
      <c r="F147" s="5" t="s">
        <v>924</v>
      </c>
      <c r="G147" s="5" t="s">
        <v>925</v>
      </c>
      <c r="H147" s="5" t="s">
        <v>926</v>
      </c>
      <c r="I147" s="3" t="s">
        <v>240</v>
      </c>
      <c r="J147" s="9" t="s">
        <v>849</v>
      </c>
      <c r="K147" s="9" t="s">
        <v>927</v>
      </c>
      <c r="L147" s="162" t="s">
        <v>179</v>
      </c>
      <c r="M147" s="4">
        <v>1</v>
      </c>
      <c r="N147" s="7">
        <v>395000</v>
      </c>
      <c r="O147" s="7">
        <f t="shared" si="46"/>
        <v>395000</v>
      </c>
      <c r="P147" s="116" t="s">
        <v>22</v>
      </c>
      <c r="Q147" s="64">
        <f>D146+28</f>
        <v>45993</v>
      </c>
      <c r="R147" s="116" t="s">
        <v>578</v>
      </c>
      <c r="T147" s="64"/>
      <c r="U147" s="65">
        <f t="shared" si="47"/>
        <v>395000</v>
      </c>
      <c r="V147" s="98">
        <v>1</v>
      </c>
      <c r="W147" s="157" t="s">
        <v>850</v>
      </c>
      <c r="X147" s="68"/>
      <c r="Y147" s="68"/>
      <c r="Z147" s="64"/>
      <c r="AA147" s="69">
        <v>0.1</v>
      </c>
      <c r="AB147" s="7">
        <f t="shared" ref="AB147:AB171" si="63">U147</f>
        <v>395000</v>
      </c>
      <c r="AC147" s="7">
        <f t="shared" ref="AC147:AC171" si="64">AB147*AA147</f>
        <v>39500</v>
      </c>
      <c r="AD147" s="65">
        <f t="shared" ref="AD147:AD171" si="65">SUM(AB147:AC147)</f>
        <v>434500</v>
      </c>
      <c r="AE147" s="99"/>
      <c r="AF147" s="125" t="s">
        <v>931</v>
      </c>
    </row>
    <row r="148" spans="1:32" ht="15" customHeight="1" x14ac:dyDescent="0.3">
      <c r="A148" s="70"/>
      <c r="B148" s="3" t="s">
        <v>6</v>
      </c>
      <c r="C148" s="3" t="s">
        <v>7</v>
      </c>
      <c r="D148" s="160"/>
      <c r="E148" s="3" t="s">
        <v>333</v>
      </c>
      <c r="F148" s="5" t="s">
        <v>934</v>
      </c>
      <c r="G148" s="5" t="s">
        <v>756</v>
      </c>
      <c r="H148" s="5" t="s">
        <v>935</v>
      </c>
      <c r="I148" s="3" t="s">
        <v>936</v>
      </c>
      <c r="J148" s="9" t="s">
        <v>937</v>
      </c>
      <c r="K148" s="9" t="s">
        <v>335</v>
      </c>
      <c r="L148" s="162" t="s">
        <v>17</v>
      </c>
      <c r="M148" s="4">
        <v>1</v>
      </c>
      <c r="N148" s="7">
        <v>3213000</v>
      </c>
      <c r="O148" s="7">
        <f t="shared" si="46"/>
        <v>3213000</v>
      </c>
      <c r="P148" s="116" t="s">
        <v>22</v>
      </c>
      <c r="Q148" s="64"/>
      <c r="R148" s="116" t="s">
        <v>592</v>
      </c>
      <c r="T148" s="64"/>
      <c r="U148" s="65">
        <f t="shared" si="47"/>
        <v>3213000</v>
      </c>
      <c r="V148" s="98">
        <v>1</v>
      </c>
      <c r="W148" s="157" t="s">
        <v>850</v>
      </c>
      <c r="X148" s="68"/>
      <c r="Y148" s="68"/>
      <c r="Z148" s="64"/>
      <c r="AA148" s="69">
        <v>0.1</v>
      </c>
      <c r="AB148" s="7">
        <f t="shared" ref="AB148:AB150" si="66">U148</f>
        <v>3213000</v>
      </c>
      <c r="AC148" s="7">
        <f t="shared" ref="AC148:AC150" si="67">AB148*AA148</f>
        <v>321300</v>
      </c>
      <c r="AD148" s="65">
        <f t="shared" ref="AD148:AD150" si="68">SUM(AB148:AC148)</f>
        <v>3534300</v>
      </c>
      <c r="AE148" s="99"/>
      <c r="AF148" s="125" t="s">
        <v>938</v>
      </c>
    </row>
    <row r="149" spans="1:32" ht="15" customHeight="1" x14ac:dyDescent="0.3">
      <c r="A149" s="70"/>
      <c r="B149" s="3"/>
      <c r="C149" s="3"/>
      <c r="D149" s="160"/>
      <c r="E149" s="3"/>
      <c r="F149" s="5"/>
      <c r="G149" s="5"/>
      <c r="H149" s="5"/>
      <c r="I149" s="3"/>
      <c r="J149" s="9"/>
      <c r="K149" s="9"/>
      <c r="L149" s="162"/>
      <c r="M149" s="4"/>
      <c r="N149" s="7"/>
      <c r="O149" s="7"/>
      <c r="P149" s="116"/>
      <c r="Q149" s="64"/>
      <c r="R149" s="116"/>
      <c r="T149" s="64"/>
      <c r="U149" s="65"/>
      <c r="V149" s="98"/>
      <c r="W149" s="157"/>
      <c r="X149" s="68"/>
      <c r="Y149" s="68"/>
      <c r="Z149" s="64"/>
      <c r="AA149" s="69">
        <v>0.1</v>
      </c>
      <c r="AB149" s="7">
        <f t="shared" si="66"/>
        <v>0</v>
      </c>
      <c r="AC149" s="7">
        <f t="shared" si="67"/>
        <v>0</v>
      </c>
      <c r="AD149" s="65">
        <f t="shared" si="68"/>
        <v>0</v>
      </c>
      <c r="AE149" s="99"/>
      <c r="AF149" s="125"/>
    </row>
    <row r="150" spans="1:32" ht="15" customHeight="1" x14ac:dyDescent="0.3">
      <c r="A150" s="70"/>
      <c r="B150" s="3"/>
      <c r="C150" s="3"/>
      <c r="D150" s="160"/>
      <c r="E150" s="3"/>
      <c r="F150" s="5"/>
      <c r="G150" s="5"/>
      <c r="H150" s="5"/>
      <c r="I150" s="3"/>
      <c r="J150" s="9"/>
      <c r="K150" s="9"/>
      <c r="L150" s="162"/>
      <c r="M150" s="4"/>
      <c r="N150" s="7"/>
      <c r="O150" s="7"/>
      <c r="P150" s="116"/>
      <c r="Q150" s="64"/>
      <c r="R150" s="116"/>
      <c r="T150" s="64"/>
      <c r="U150" s="65"/>
      <c r="V150" s="98"/>
      <c r="W150" s="157"/>
      <c r="X150" s="68"/>
      <c r="Y150" s="68"/>
      <c r="Z150" s="64"/>
      <c r="AA150" s="69">
        <v>0.1</v>
      </c>
      <c r="AB150" s="7">
        <f t="shared" si="66"/>
        <v>0</v>
      </c>
      <c r="AC150" s="7">
        <f t="shared" si="67"/>
        <v>0</v>
      </c>
      <c r="AD150" s="65">
        <f t="shared" si="68"/>
        <v>0</v>
      </c>
      <c r="AE150" s="99"/>
      <c r="AF150" s="125"/>
    </row>
    <row r="151" spans="1:32" ht="15" customHeight="1" x14ac:dyDescent="0.3">
      <c r="A151" s="70"/>
      <c r="B151" s="3" t="s">
        <v>43</v>
      </c>
      <c r="C151" s="3" t="s">
        <v>23</v>
      </c>
      <c r="D151" s="160"/>
      <c r="E151" s="3" t="s">
        <v>12</v>
      </c>
      <c r="F151" s="5"/>
      <c r="G151" s="5" t="s">
        <v>925</v>
      </c>
      <c r="H151" s="5" t="s">
        <v>926</v>
      </c>
      <c r="I151" s="3" t="s">
        <v>240</v>
      </c>
      <c r="J151" s="9" t="s">
        <v>932</v>
      </c>
      <c r="K151" s="9"/>
      <c r="L151" s="162" t="s">
        <v>278</v>
      </c>
      <c r="M151" s="4"/>
      <c r="N151" s="7"/>
      <c r="O151" s="7">
        <f t="shared" si="46"/>
        <v>0</v>
      </c>
      <c r="P151" s="116" t="s">
        <v>22</v>
      </c>
      <c r="Q151" s="64"/>
      <c r="R151" s="116"/>
      <c r="T151" s="64"/>
      <c r="U151" s="65">
        <f t="shared" si="47"/>
        <v>0</v>
      </c>
      <c r="V151" s="98">
        <v>1</v>
      </c>
      <c r="W151" s="157"/>
      <c r="X151" s="68"/>
      <c r="Y151" s="68"/>
      <c r="Z151" s="64"/>
      <c r="AA151" s="69">
        <v>0.1</v>
      </c>
      <c r="AB151" s="7">
        <f t="shared" si="63"/>
        <v>0</v>
      </c>
      <c r="AC151" s="7">
        <f t="shared" si="64"/>
        <v>0</v>
      </c>
      <c r="AD151" s="65">
        <f t="shared" si="65"/>
        <v>0</v>
      </c>
      <c r="AE151" s="99"/>
      <c r="AF151" s="125"/>
    </row>
    <row r="152" spans="1:32" ht="15" customHeight="1" x14ac:dyDescent="0.3">
      <c r="A152" s="70"/>
      <c r="B152" s="3" t="s">
        <v>6</v>
      </c>
      <c r="C152" s="3" t="s">
        <v>7</v>
      </c>
      <c r="D152" s="160"/>
      <c r="E152" s="3" t="s">
        <v>11</v>
      </c>
      <c r="F152" s="5"/>
      <c r="G152" s="5" t="s">
        <v>925</v>
      </c>
      <c r="H152" s="5" t="s">
        <v>926</v>
      </c>
      <c r="I152" s="3" t="s">
        <v>240</v>
      </c>
      <c r="J152" s="9" t="s">
        <v>933</v>
      </c>
      <c r="K152" s="9"/>
      <c r="L152" s="162" t="s">
        <v>278</v>
      </c>
      <c r="M152" s="4"/>
      <c r="N152" s="7"/>
      <c r="O152" s="7">
        <f t="shared" si="46"/>
        <v>0</v>
      </c>
      <c r="P152" s="116" t="s">
        <v>22</v>
      </c>
      <c r="Q152" s="64"/>
      <c r="R152" s="116"/>
      <c r="T152" s="64"/>
      <c r="U152" s="65">
        <f t="shared" si="47"/>
        <v>0</v>
      </c>
      <c r="V152" s="98">
        <v>1</v>
      </c>
      <c r="W152" s="157"/>
      <c r="X152" s="68"/>
      <c r="Y152" s="68"/>
      <c r="Z152" s="64"/>
      <c r="AA152" s="69">
        <v>0.1</v>
      </c>
      <c r="AB152" s="7">
        <f t="shared" si="63"/>
        <v>0</v>
      </c>
      <c r="AC152" s="7">
        <f t="shared" si="64"/>
        <v>0</v>
      </c>
      <c r="AD152" s="65">
        <f t="shared" si="65"/>
        <v>0</v>
      </c>
      <c r="AE152" s="99"/>
      <c r="AF152" s="125"/>
    </row>
    <row r="153" spans="1:32" ht="15" customHeight="1" x14ac:dyDescent="0.3">
      <c r="A153" s="70"/>
      <c r="B153" s="3"/>
      <c r="C153" s="3"/>
      <c r="D153" s="160"/>
      <c r="E153" s="3"/>
      <c r="F153" s="5"/>
      <c r="G153" s="5"/>
      <c r="H153" s="5"/>
      <c r="I153" s="3"/>
      <c r="J153" s="9"/>
      <c r="K153" s="9"/>
      <c r="L153" s="162"/>
      <c r="M153" s="4"/>
      <c r="N153" s="7"/>
      <c r="O153" s="7">
        <f t="shared" si="46"/>
        <v>0</v>
      </c>
      <c r="P153" s="116"/>
      <c r="Q153" s="64"/>
      <c r="R153" s="116"/>
      <c r="T153" s="64"/>
      <c r="U153" s="65">
        <f t="shared" si="47"/>
        <v>0</v>
      </c>
      <c r="V153" s="98"/>
      <c r="W153" s="157" t="s">
        <v>824</v>
      </c>
      <c r="X153" s="68"/>
      <c r="Y153" s="68"/>
      <c r="Z153" s="64"/>
      <c r="AA153" s="69"/>
      <c r="AB153" s="7">
        <f t="shared" si="63"/>
        <v>0</v>
      </c>
      <c r="AC153" s="7">
        <f t="shared" si="64"/>
        <v>0</v>
      </c>
      <c r="AD153" s="65">
        <f t="shared" si="65"/>
        <v>0</v>
      </c>
      <c r="AE153" s="99"/>
      <c r="AF153" s="125"/>
    </row>
    <row r="154" spans="1:32" ht="15" customHeight="1" x14ac:dyDescent="0.3">
      <c r="A154" s="70"/>
      <c r="B154" s="3"/>
      <c r="C154" s="3"/>
      <c r="D154" s="160"/>
      <c r="E154" s="3"/>
      <c r="F154" s="5"/>
      <c r="G154" s="5"/>
      <c r="H154" s="5"/>
      <c r="I154" s="3"/>
      <c r="J154" s="9"/>
      <c r="K154" s="9"/>
      <c r="L154" s="162"/>
      <c r="M154" s="4"/>
      <c r="N154" s="7"/>
      <c r="O154" s="7">
        <f t="shared" si="46"/>
        <v>0</v>
      </c>
      <c r="P154" s="116"/>
      <c r="Q154" s="64"/>
      <c r="R154" s="116"/>
      <c r="T154" s="64"/>
      <c r="U154" s="65">
        <f t="shared" si="47"/>
        <v>0</v>
      </c>
      <c r="V154" s="98"/>
      <c r="W154" s="157"/>
      <c r="X154" s="68"/>
      <c r="Y154" s="68"/>
      <c r="Z154" s="64"/>
      <c r="AA154" s="69"/>
      <c r="AB154" s="7">
        <f t="shared" si="63"/>
        <v>0</v>
      </c>
      <c r="AC154" s="7">
        <f t="shared" si="64"/>
        <v>0</v>
      </c>
      <c r="AD154" s="65">
        <f t="shared" si="65"/>
        <v>0</v>
      </c>
      <c r="AE154" s="99"/>
      <c r="AF154" s="125"/>
    </row>
    <row r="155" spans="1:32" ht="15" customHeight="1" x14ac:dyDescent="0.3">
      <c r="A155" s="70"/>
      <c r="B155" s="3"/>
      <c r="C155" s="3"/>
      <c r="D155" s="160"/>
      <c r="E155" s="3"/>
      <c r="F155" s="5"/>
      <c r="G155" s="5"/>
      <c r="H155" s="5"/>
      <c r="I155" s="3"/>
      <c r="J155" s="9"/>
      <c r="K155" s="9"/>
      <c r="L155" s="162"/>
      <c r="M155" s="4"/>
      <c r="N155" s="7"/>
      <c r="O155" s="7">
        <f t="shared" si="46"/>
        <v>0</v>
      </c>
      <c r="P155" s="116"/>
      <c r="Q155" s="64"/>
      <c r="R155" s="116"/>
      <c r="T155" s="64"/>
      <c r="U155" s="65">
        <f t="shared" si="47"/>
        <v>0</v>
      </c>
      <c r="V155" s="98"/>
      <c r="W155" s="157"/>
      <c r="X155" s="68"/>
      <c r="Y155" s="68"/>
      <c r="Z155" s="64"/>
      <c r="AA155" s="69"/>
      <c r="AB155" s="7">
        <f t="shared" si="63"/>
        <v>0</v>
      </c>
      <c r="AC155" s="7">
        <f t="shared" si="64"/>
        <v>0</v>
      </c>
      <c r="AD155" s="65">
        <f t="shared" si="65"/>
        <v>0</v>
      </c>
      <c r="AE155" s="99"/>
      <c r="AF155" s="125"/>
    </row>
    <row r="156" spans="1:32" ht="15" customHeight="1" x14ac:dyDescent="0.3">
      <c r="A156" s="70"/>
      <c r="B156" s="3"/>
      <c r="C156" s="3"/>
      <c r="D156" s="160"/>
      <c r="E156" s="3"/>
      <c r="F156" s="5"/>
      <c r="G156" s="5"/>
      <c r="H156" s="5"/>
      <c r="I156" s="3"/>
      <c r="J156" s="9"/>
      <c r="K156" s="9"/>
      <c r="L156" s="162"/>
      <c r="M156" s="4"/>
      <c r="N156" s="7"/>
      <c r="O156" s="7">
        <f t="shared" si="46"/>
        <v>0</v>
      </c>
      <c r="P156" s="116"/>
      <c r="Q156" s="64"/>
      <c r="R156" s="116"/>
      <c r="T156" s="64"/>
      <c r="U156" s="65">
        <f t="shared" si="47"/>
        <v>0</v>
      </c>
      <c r="V156" s="98"/>
      <c r="W156" s="157"/>
      <c r="X156" s="68"/>
      <c r="Y156" s="68"/>
      <c r="Z156" s="64"/>
      <c r="AA156" s="69"/>
      <c r="AB156" s="7">
        <f t="shared" si="63"/>
        <v>0</v>
      </c>
      <c r="AC156" s="7">
        <f t="shared" si="64"/>
        <v>0</v>
      </c>
      <c r="AD156" s="65">
        <f t="shared" si="65"/>
        <v>0</v>
      </c>
      <c r="AE156" s="99"/>
      <c r="AF156" s="125"/>
    </row>
    <row r="157" spans="1:32" ht="15" customHeight="1" x14ac:dyDescent="0.3">
      <c r="A157" s="70"/>
      <c r="B157" s="3"/>
      <c r="C157" s="3"/>
      <c r="D157" s="160"/>
      <c r="E157" s="3"/>
      <c r="F157" s="5"/>
      <c r="G157" s="5"/>
      <c r="H157" s="5"/>
      <c r="I157" s="3"/>
      <c r="J157" s="9"/>
      <c r="K157" s="9"/>
      <c r="L157" s="162"/>
      <c r="M157" s="4"/>
      <c r="N157" s="7"/>
      <c r="O157" s="7">
        <f t="shared" si="46"/>
        <v>0</v>
      </c>
      <c r="P157" s="116"/>
      <c r="Q157" s="64"/>
      <c r="R157" s="116"/>
      <c r="T157" s="64"/>
      <c r="U157" s="65">
        <f t="shared" si="47"/>
        <v>0</v>
      </c>
      <c r="V157" s="98"/>
      <c r="W157" s="157"/>
      <c r="X157" s="68"/>
      <c r="Y157" s="68"/>
      <c r="Z157" s="64"/>
      <c r="AA157" s="69"/>
      <c r="AB157" s="7">
        <f t="shared" si="63"/>
        <v>0</v>
      </c>
      <c r="AC157" s="7">
        <f t="shared" si="64"/>
        <v>0</v>
      </c>
      <c r="AD157" s="65">
        <f t="shared" si="65"/>
        <v>0</v>
      </c>
      <c r="AE157" s="99"/>
      <c r="AF157" s="125"/>
    </row>
    <row r="158" spans="1:32" ht="15" customHeight="1" x14ac:dyDescent="0.3">
      <c r="A158" s="70"/>
      <c r="B158" s="3"/>
      <c r="C158" s="3"/>
      <c r="D158" s="160"/>
      <c r="E158" s="3"/>
      <c r="F158" s="5"/>
      <c r="G158" s="5"/>
      <c r="H158" s="5"/>
      <c r="I158" s="3"/>
      <c r="J158" s="9"/>
      <c r="K158" s="9"/>
      <c r="L158" s="162"/>
      <c r="M158" s="4"/>
      <c r="N158" s="7"/>
      <c r="O158" s="7">
        <f t="shared" si="46"/>
        <v>0</v>
      </c>
      <c r="P158" s="116"/>
      <c r="Q158" s="64"/>
      <c r="R158" s="116"/>
      <c r="T158" s="64"/>
      <c r="U158" s="65">
        <f t="shared" si="47"/>
        <v>0</v>
      </c>
      <c r="V158" s="98"/>
      <c r="W158" s="157"/>
      <c r="X158" s="68"/>
      <c r="Y158" s="68"/>
      <c r="Z158" s="64"/>
      <c r="AA158" s="69"/>
      <c r="AB158" s="7">
        <f t="shared" si="63"/>
        <v>0</v>
      </c>
      <c r="AC158" s="7">
        <f t="shared" si="64"/>
        <v>0</v>
      </c>
      <c r="AD158" s="65">
        <f t="shared" si="65"/>
        <v>0</v>
      </c>
      <c r="AE158" s="99"/>
      <c r="AF158" s="125"/>
    </row>
    <row r="159" spans="1:32" ht="15" customHeight="1" x14ac:dyDescent="0.3">
      <c r="A159" s="70"/>
      <c r="B159" s="3"/>
      <c r="C159" s="3"/>
      <c r="D159" s="160"/>
      <c r="E159" s="3"/>
      <c r="F159" s="5"/>
      <c r="G159" s="5"/>
      <c r="H159" s="5"/>
      <c r="I159" s="3"/>
      <c r="J159" s="9"/>
      <c r="K159" s="9"/>
      <c r="L159" s="162"/>
      <c r="M159" s="4"/>
      <c r="N159" s="7"/>
      <c r="O159" s="7">
        <f t="shared" si="46"/>
        <v>0</v>
      </c>
      <c r="P159" s="116"/>
      <c r="Q159" s="64"/>
      <c r="R159" s="116"/>
      <c r="T159" s="64"/>
      <c r="U159" s="65">
        <f t="shared" si="47"/>
        <v>0</v>
      </c>
      <c r="V159" s="98"/>
      <c r="W159" s="157"/>
      <c r="X159" s="68"/>
      <c r="Y159" s="68"/>
      <c r="Z159" s="64"/>
      <c r="AA159" s="69"/>
      <c r="AB159" s="7">
        <f t="shared" si="63"/>
        <v>0</v>
      </c>
      <c r="AC159" s="7">
        <f t="shared" si="64"/>
        <v>0</v>
      </c>
      <c r="AD159" s="65">
        <f t="shared" si="65"/>
        <v>0</v>
      </c>
      <c r="AE159" s="99"/>
      <c r="AF159" s="125"/>
    </row>
    <row r="160" spans="1:32" ht="15" customHeight="1" x14ac:dyDescent="0.3">
      <c r="A160" s="70"/>
      <c r="B160" s="3"/>
      <c r="C160" s="3"/>
      <c r="D160" s="160"/>
      <c r="E160" s="3"/>
      <c r="F160" s="5"/>
      <c r="G160" s="5"/>
      <c r="H160" s="5"/>
      <c r="I160" s="3"/>
      <c r="J160" s="9"/>
      <c r="K160" s="9"/>
      <c r="L160" s="162"/>
      <c r="M160" s="4"/>
      <c r="N160" s="7"/>
      <c r="O160" s="7">
        <f t="shared" si="46"/>
        <v>0</v>
      </c>
      <c r="P160" s="116"/>
      <c r="Q160" s="64"/>
      <c r="R160" s="116"/>
      <c r="T160" s="64"/>
      <c r="U160" s="65">
        <f t="shared" si="47"/>
        <v>0</v>
      </c>
      <c r="V160" s="98"/>
      <c r="W160" s="157"/>
      <c r="X160" s="68"/>
      <c r="Y160" s="68"/>
      <c r="Z160" s="64"/>
      <c r="AA160" s="69"/>
      <c r="AB160" s="7">
        <f t="shared" si="63"/>
        <v>0</v>
      </c>
      <c r="AC160" s="7">
        <f t="shared" si="64"/>
        <v>0</v>
      </c>
      <c r="AD160" s="65">
        <f t="shared" si="65"/>
        <v>0</v>
      </c>
      <c r="AE160" s="99"/>
      <c r="AF160" s="125"/>
    </row>
    <row r="161" spans="1:32" ht="15" customHeight="1" x14ac:dyDescent="0.3">
      <c r="A161" s="70"/>
      <c r="B161" s="3"/>
      <c r="C161" s="3"/>
      <c r="D161" s="160"/>
      <c r="E161" s="3"/>
      <c r="F161" s="5"/>
      <c r="G161" s="5"/>
      <c r="H161" s="5"/>
      <c r="I161" s="3"/>
      <c r="J161" s="9"/>
      <c r="K161" s="9"/>
      <c r="L161" s="162"/>
      <c r="M161" s="4"/>
      <c r="N161" s="7"/>
      <c r="O161" s="7">
        <f t="shared" si="46"/>
        <v>0</v>
      </c>
      <c r="P161" s="116"/>
      <c r="Q161" s="64"/>
      <c r="R161" s="116"/>
      <c r="T161" s="64"/>
      <c r="U161" s="65">
        <f t="shared" si="47"/>
        <v>0</v>
      </c>
      <c r="V161" s="98"/>
      <c r="W161" s="157"/>
      <c r="X161" s="68"/>
      <c r="Y161" s="68"/>
      <c r="Z161" s="64"/>
      <c r="AA161" s="69"/>
      <c r="AB161" s="7">
        <f t="shared" si="63"/>
        <v>0</v>
      </c>
      <c r="AC161" s="7">
        <f t="shared" si="64"/>
        <v>0</v>
      </c>
      <c r="AD161" s="65">
        <f t="shared" si="65"/>
        <v>0</v>
      </c>
      <c r="AE161" s="99"/>
      <c r="AF161" s="125"/>
    </row>
    <row r="162" spans="1:32" ht="15" customHeight="1" x14ac:dyDescent="0.3">
      <c r="A162" s="70"/>
      <c r="B162" s="3"/>
      <c r="C162" s="3"/>
      <c r="D162" s="160"/>
      <c r="E162" s="3"/>
      <c r="F162" s="5"/>
      <c r="G162" s="5"/>
      <c r="H162" s="5"/>
      <c r="I162" s="3"/>
      <c r="J162" s="9"/>
      <c r="K162" s="9"/>
      <c r="L162" s="162"/>
      <c r="M162" s="4"/>
      <c r="N162" s="7"/>
      <c r="O162" s="7">
        <f t="shared" si="46"/>
        <v>0</v>
      </c>
      <c r="P162" s="116"/>
      <c r="Q162" s="64"/>
      <c r="R162" s="116"/>
      <c r="T162" s="64"/>
      <c r="U162" s="65">
        <f t="shared" si="47"/>
        <v>0</v>
      </c>
      <c r="V162" s="98"/>
      <c r="W162" s="157"/>
      <c r="X162" s="68"/>
      <c r="Y162" s="68"/>
      <c r="Z162" s="64"/>
      <c r="AA162" s="69"/>
      <c r="AB162" s="7">
        <f t="shared" si="63"/>
        <v>0</v>
      </c>
      <c r="AC162" s="7">
        <f t="shared" si="64"/>
        <v>0</v>
      </c>
      <c r="AD162" s="65">
        <f t="shared" si="65"/>
        <v>0</v>
      </c>
      <c r="AE162" s="99"/>
      <c r="AF162" s="125"/>
    </row>
    <row r="163" spans="1:32" ht="15" customHeight="1" x14ac:dyDescent="0.3">
      <c r="A163" s="70"/>
      <c r="B163" s="3"/>
      <c r="C163" s="3"/>
      <c r="D163" s="160"/>
      <c r="E163" s="3"/>
      <c r="F163" s="5"/>
      <c r="G163" s="5"/>
      <c r="H163" s="5"/>
      <c r="I163" s="3"/>
      <c r="J163" s="9"/>
      <c r="K163" s="9"/>
      <c r="L163" s="162"/>
      <c r="M163" s="4"/>
      <c r="N163" s="7"/>
      <c r="O163" s="7">
        <f t="shared" si="46"/>
        <v>0</v>
      </c>
      <c r="P163" s="116"/>
      <c r="Q163" s="64"/>
      <c r="R163" s="116"/>
      <c r="T163" s="64"/>
      <c r="U163" s="65">
        <f t="shared" si="47"/>
        <v>0</v>
      </c>
      <c r="V163" s="98"/>
      <c r="W163" s="157"/>
      <c r="X163" s="68"/>
      <c r="Y163" s="68"/>
      <c r="Z163" s="64"/>
      <c r="AA163" s="69"/>
      <c r="AB163" s="7">
        <f t="shared" si="63"/>
        <v>0</v>
      </c>
      <c r="AC163" s="7">
        <f t="shared" si="64"/>
        <v>0</v>
      </c>
      <c r="AD163" s="65">
        <f t="shared" si="65"/>
        <v>0</v>
      </c>
      <c r="AE163" s="99"/>
      <c r="AF163" s="125"/>
    </row>
    <row r="164" spans="1:32" ht="15" customHeight="1" x14ac:dyDescent="0.3">
      <c r="A164" s="70"/>
      <c r="B164" s="3"/>
      <c r="C164" s="3"/>
      <c r="D164" s="160"/>
      <c r="E164" s="3"/>
      <c r="F164" s="5"/>
      <c r="G164" s="5"/>
      <c r="H164" s="5"/>
      <c r="I164" s="3"/>
      <c r="J164" s="9"/>
      <c r="K164" s="9"/>
      <c r="L164" s="162"/>
      <c r="M164" s="4"/>
      <c r="N164" s="7"/>
      <c r="O164" s="7">
        <f t="shared" si="46"/>
        <v>0</v>
      </c>
      <c r="P164" s="116"/>
      <c r="Q164" s="64"/>
      <c r="R164" s="116"/>
      <c r="T164" s="64"/>
      <c r="U164" s="65">
        <f t="shared" si="47"/>
        <v>0</v>
      </c>
      <c r="V164" s="98"/>
      <c r="W164" s="157"/>
      <c r="X164" s="68"/>
      <c r="Y164" s="68"/>
      <c r="Z164" s="64"/>
      <c r="AA164" s="69"/>
      <c r="AB164" s="7">
        <f t="shared" si="63"/>
        <v>0</v>
      </c>
      <c r="AC164" s="7">
        <f t="shared" si="64"/>
        <v>0</v>
      </c>
      <c r="AD164" s="65">
        <f t="shared" si="65"/>
        <v>0</v>
      </c>
      <c r="AE164" s="99"/>
      <c r="AF164" s="125"/>
    </row>
    <row r="165" spans="1:32" ht="15" customHeight="1" x14ac:dyDescent="0.3">
      <c r="A165" s="70"/>
      <c r="B165" s="3"/>
      <c r="C165" s="3"/>
      <c r="D165" s="160"/>
      <c r="E165" s="3"/>
      <c r="F165" s="5"/>
      <c r="G165" s="5"/>
      <c r="H165" s="5"/>
      <c r="I165" s="3"/>
      <c r="J165" s="9"/>
      <c r="K165" s="9"/>
      <c r="L165" s="162"/>
      <c r="M165" s="4"/>
      <c r="N165" s="7"/>
      <c r="O165" s="7">
        <f t="shared" si="46"/>
        <v>0</v>
      </c>
      <c r="P165" s="116"/>
      <c r="Q165" s="64"/>
      <c r="R165" s="116"/>
      <c r="T165" s="64"/>
      <c r="U165" s="65">
        <f t="shared" si="47"/>
        <v>0</v>
      </c>
      <c r="V165" s="98"/>
      <c r="W165" s="157"/>
      <c r="X165" s="68"/>
      <c r="Y165" s="68"/>
      <c r="Z165" s="64"/>
      <c r="AA165" s="69"/>
      <c r="AB165" s="7">
        <f t="shared" si="63"/>
        <v>0</v>
      </c>
      <c r="AC165" s="7">
        <f t="shared" si="64"/>
        <v>0</v>
      </c>
      <c r="AD165" s="65">
        <f t="shared" si="65"/>
        <v>0</v>
      </c>
      <c r="AE165" s="178"/>
      <c r="AF165" s="125"/>
    </row>
    <row r="166" spans="1:32" ht="15" customHeight="1" x14ac:dyDescent="0.3">
      <c r="A166" s="70"/>
      <c r="B166" s="3"/>
      <c r="C166" s="3"/>
      <c r="D166" s="160"/>
      <c r="E166" s="3"/>
      <c r="F166" s="5"/>
      <c r="G166" s="5"/>
      <c r="H166" s="5"/>
      <c r="I166" s="3"/>
      <c r="J166" s="9"/>
      <c r="K166" s="9"/>
      <c r="L166" s="162"/>
      <c r="M166" s="4"/>
      <c r="N166" s="7"/>
      <c r="O166" s="7">
        <f t="shared" si="46"/>
        <v>0</v>
      </c>
      <c r="P166" s="116"/>
      <c r="Q166" s="64"/>
      <c r="R166" s="116"/>
      <c r="T166" s="64"/>
      <c r="U166" s="65">
        <f t="shared" si="47"/>
        <v>0</v>
      </c>
      <c r="V166" s="98"/>
      <c r="W166" s="157"/>
      <c r="X166" s="68"/>
      <c r="Y166" s="68"/>
      <c r="Z166" s="64"/>
      <c r="AA166" s="69"/>
      <c r="AB166" s="7">
        <f t="shared" si="63"/>
        <v>0</v>
      </c>
      <c r="AC166" s="7">
        <f t="shared" si="64"/>
        <v>0</v>
      </c>
      <c r="AD166" s="65">
        <f t="shared" si="65"/>
        <v>0</v>
      </c>
      <c r="AE166" s="99"/>
      <c r="AF166" s="125"/>
    </row>
    <row r="167" spans="1:32" ht="15" customHeight="1" x14ac:dyDescent="0.3">
      <c r="A167" s="70"/>
      <c r="B167" s="3"/>
      <c r="C167" s="3" t="s">
        <v>824</v>
      </c>
      <c r="D167" s="160"/>
      <c r="E167" s="3"/>
      <c r="F167" s="5"/>
      <c r="G167" s="5"/>
      <c r="H167" s="5"/>
      <c r="I167" s="3"/>
      <c r="J167" s="9"/>
      <c r="K167" s="9"/>
      <c r="L167" s="162"/>
      <c r="M167" s="4"/>
      <c r="N167" s="7"/>
      <c r="O167" s="7">
        <f t="shared" si="46"/>
        <v>0</v>
      </c>
      <c r="P167" s="116"/>
      <c r="Q167" s="64"/>
      <c r="R167" s="116"/>
      <c r="T167" s="64"/>
      <c r="U167" s="65">
        <f t="shared" ref="U167:U171" si="69">O167*V167</f>
        <v>0</v>
      </c>
      <c r="V167" s="98"/>
      <c r="W167" s="157"/>
      <c r="X167" s="68"/>
      <c r="Y167" s="68"/>
      <c r="Z167" s="64"/>
      <c r="AA167" s="69"/>
      <c r="AB167" s="7">
        <f t="shared" si="63"/>
        <v>0</v>
      </c>
      <c r="AC167" s="7">
        <f t="shared" si="64"/>
        <v>0</v>
      </c>
      <c r="AD167" s="65">
        <f t="shared" si="65"/>
        <v>0</v>
      </c>
      <c r="AE167" s="99"/>
      <c r="AF167" s="125"/>
    </row>
    <row r="168" spans="1:32" ht="15" customHeight="1" x14ac:dyDescent="0.3">
      <c r="A168" s="70"/>
      <c r="B168" s="3"/>
      <c r="C168" s="3"/>
      <c r="D168" s="160"/>
      <c r="E168" s="3"/>
      <c r="F168" s="5"/>
      <c r="G168" s="5"/>
      <c r="H168" s="5"/>
      <c r="I168" s="3"/>
      <c r="J168" s="9"/>
      <c r="K168" s="9"/>
      <c r="L168" s="162"/>
      <c r="M168" s="4"/>
      <c r="N168" s="7"/>
      <c r="O168" s="7">
        <f t="shared" ref="O168:O171" si="70">M168*N168</f>
        <v>0</v>
      </c>
      <c r="P168" s="116"/>
      <c r="Q168" s="64"/>
      <c r="R168" s="116"/>
      <c r="T168" s="64"/>
      <c r="U168" s="65">
        <f t="shared" si="69"/>
        <v>0</v>
      </c>
      <c r="V168" s="98"/>
      <c r="W168" s="157"/>
      <c r="X168" s="68"/>
      <c r="Y168" s="68"/>
      <c r="Z168" s="64"/>
      <c r="AA168" s="69"/>
      <c r="AB168" s="7">
        <f t="shared" si="63"/>
        <v>0</v>
      </c>
      <c r="AC168" s="7">
        <f t="shared" si="64"/>
        <v>0</v>
      </c>
      <c r="AD168" s="65">
        <f t="shared" si="65"/>
        <v>0</v>
      </c>
      <c r="AE168" s="99"/>
      <c r="AF168" s="125"/>
    </row>
    <row r="169" spans="1:32" ht="15" customHeight="1" x14ac:dyDescent="0.3">
      <c r="A169" s="70"/>
      <c r="B169" s="3"/>
      <c r="C169" s="3"/>
      <c r="D169" s="160"/>
      <c r="E169" s="3"/>
      <c r="F169" s="5"/>
      <c r="G169" s="5"/>
      <c r="H169" s="5"/>
      <c r="I169" s="3"/>
      <c r="J169" s="9"/>
      <c r="K169" s="9"/>
      <c r="L169" s="162"/>
      <c r="M169" s="4"/>
      <c r="N169" s="7"/>
      <c r="O169" s="7">
        <f t="shared" si="70"/>
        <v>0</v>
      </c>
      <c r="P169" s="116"/>
      <c r="Q169" s="64"/>
      <c r="R169" s="116"/>
      <c r="T169" s="64"/>
      <c r="U169" s="65">
        <f t="shared" si="69"/>
        <v>0</v>
      </c>
      <c r="V169" s="98"/>
      <c r="W169" s="157"/>
      <c r="X169" s="68"/>
      <c r="Y169" s="68"/>
      <c r="Z169" s="64"/>
      <c r="AA169" s="69"/>
      <c r="AB169" s="7">
        <f t="shared" si="63"/>
        <v>0</v>
      </c>
      <c r="AC169" s="7">
        <f t="shared" si="64"/>
        <v>0</v>
      </c>
      <c r="AD169" s="65">
        <f t="shared" si="65"/>
        <v>0</v>
      </c>
      <c r="AE169" s="99"/>
      <c r="AF169" s="125"/>
    </row>
    <row r="170" spans="1:32" ht="15" customHeight="1" x14ac:dyDescent="0.3">
      <c r="A170" s="70"/>
      <c r="B170" s="3"/>
      <c r="C170" s="3"/>
      <c r="D170" s="160"/>
      <c r="E170" s="3"/>
      <c r="F170" s="5"/>
      <c r="G170" s="5"/>
      <c r="H170" s="5"/>
      <c r="I170" s="3"/>
      <c r="J170" s="9"/>
      <c r="K170" s="9"/>
      <c r="L170" s="162"/>
      <c r="M170" s="4"/>
      <c r="N170" s="7"/>
      <c r="O170" s="7">
        <f t="shared" si="70"/>
        <v>0</v>
      </c>
      <c r="P170" s="116"/>
      <c r="Q170" s="64"/>
      <c r="R170" s="116"/>
      <c r="T170" s="64"/>
      <c r="U170" s="65">
        <f t="shared" si="69"/>
        <v>0</v>
      </c>
      <c r="V170" s="98"/>
      <c r="W170" s="157"/>
      <c r="X170" s="68"/>
      <c r="Y170" s="68"/>
      <c r="Z170" s="64"/>
      <c r="AA170" s="69"/>
      <c r="AB170" s="7">
        <f t="shared" si="63"/>
        <v>0</v>
      </c>
      <c r="AC170" s="7">
        <f t="shared" si="64"/>
        <v>0</v>
      </c>
      <c r="AD170" s="65">
        <f t="shared" si="65"/>
        <v>0</v>
      </c>
      <c r="AE170" s="99"/>
      <c r="AF170" s="125"/>
    </row>
    <row r="171" spans="1:32" ht="15" customHeight="1" x14ac:dyDescent="0.3">
      <c r="A171" s="70"/>
      <c r="B171" s="3"/>
      <c r="C171" s="3"/>
      <c r="D171" s="160"/>
      <c r="E171" s="3"/>
      <c r="F171" s="5"/>
      <c r="G171" s="5"/>
      <c r="H171" s="5"/>
      <c r="I171" s="3"/>
      <c r="J171" s="9"/>
      <c r="K171" s="9"/>
      <c r="L171" s="162"/>
      <c r="M171" s="4"/>
      <c r="N171" s="7"/>
      <c r="O171" s="7">
        <f t="shared" si="70"/>
        <v>0</v>
      </c>
      <c r="P171" s="116"/>
      <c r="Q171" s="64"/>
      <c r="R171" s="116"/>
      <c r="T171" s="64"/>
      <c r="U171" s="65">
        <f t="shared" si="69"/>
        <v>0</v>
      </c>
      <c r="V171" s="98"/>
      <c r="W171" s="157"/>
      <c r="X171" s="68"/>
      <c r="Y171" s="68"/>
      <c r="Z171" s="64"/>
      <c r="AA171" s="69"/>
      <c r="AB171" s="7">
        <f t="shared" si="63"/>
        <v>0</v>
      </c>
      <c r="AC171" s="7">
        <f t="shared" si="64"/>
        <v>0</v>
      </c>
      <c r="AD171" s="65">
        <f t="shared" si="65"/>
        <v>0</v>
      </c>
      <c r="AE171" s="99"/>
      <c r="AF171" s="125"/>
    </row>
    <row r="172" spans="1:32" ht="15" customHeight="1" x14ac:dyDescent="0.3">
      <c r="A172" s="70"/>
      <c r="B172" s="3"/>
      <c r="C172" s="3"/>
      <c r="D172" s="160"/>
      <c r="E172" s="3"/>
      <c r="F172" s="5"/>
      <c r="G172" s="5"/>
      <c r="H172" s="5"/>
      <c r="I172" s="3"/>
      <c r="J172" s="9"/>
      <c r="K172" s="9"/>
      <c r="L172" s="162"/>
      <c r="M172" s="4"/>
      <c r="N172" s="7"/>
      <c r="O172" s="7">
        <f t="shared" si="46"/>
        <v>0</v>
      </c>
      <c r="P172" s="116"/>
      <c r="Q172" s="64"/>
      <c r="R172" s="116"/>
      <c r="T172" s="64"/>
      <c r="U172" s="65">
        <f t="shared" si="47"/>
        <v>0</v>
      </c>
      <c r="V172" s="98"/>
      <c r="W172" s="157"/>
      <c r="X172" s="68"/>
      <c r="Y172" s="68"/>
      <c r="Z172" s="64"/>
      <c r="AA172" s="69"/>
      <c r="AB172" s="7">
        <f t="shared" si="60"/>
        <v>0</v>
      </c>
      <c r="AC172" s="7">
        <f t="shared" si="61"/>
        <v>0</v>
      </c>
      <c r="AD172" s="65">
        <f t="shared" si="62"/>
        <v>0</v>
      </c>
      <c r="AE172" s="99"/>
      <c r="AF172" s="125"/>
    </row>
    <row r="173" spans="1:32" ht="15" customHeight="1" x14ac:dyDescent="0.3">
      <c r="A173" s="70"/>
      <c r="B173" s="3"/>
      <c r="C173" s="3"/>
      <c r="D173" s="160"/>
      <c r="E173" s="3"/>
      <c r="F173" s="5"/>
      <c r="G173" s="5"/>
      <c r="H173" s="5"/>
      <c r="I173" s="3"/>
      <c r="J173" s="9"/>
      <c r="K173" s="9"/>
      <c r="L173" s="162"/>
      <c r="M173" s="4"/>
      <c r="N173" s="7"/>
      <c r="O173" s="7">
        <f t="shared" si="46"/>
        <v>0</v>
      </c>
      <c r="P173" s="116"/>
      <c r="Q173" s="64"/>
      <c r="R173" s="116"/>
      <c r="T173" s="64"/>
      <c r="U173" s="65">
        <f t="shared" si="47"/>
        <v>0</v>
      </c>
      <c r="V173" s="98"/>
      <c r="W173" s="157"/>
      <c r="X173" s="68"/>
      <c r="Y173" s="68"/>
      <c r="Z173" s="64"/>
      <c r="AA173" s="69"/>
      <c r="AB173" s="7">
        <f t="shared" si="60"/>
        <v>0</v>
      </c>
      <c r="AC173" s="7">
        <f t="shared" si="61"/>
        <v>0</v>
      </c>
      <c r="AD173" s="65">
        <f t="shared" si="62"/>
        <v>0</v>
      </c>
      <c r="AE173" s="99"/>
      <c r="AF173" s="125"/>
    </row>
    <row r="174" spans="1:32" ht="15" customHeight="1" x14ac:dyDescent="0.3">
      <c r="A174" s="70"/>
      <c r="B174" s="3"/>
      <c r="C174" s="3"/>
      <c r="D174" s="160"/>
      <c r="E174" s="3"/>
      <c r="F174" s="5"/>
      <c r="G174" s="5"/>
      <c r="H174" s="5"/>
      <c r="I174" s="3"/>
      <c r="J174" s="9"/>
      <c r="K174" s="9"/>
      <c r="L174" s="162"/>
      <c r="M174" s="4"/>
      <c r="N174" s="7"/>
      <c r="O174" s="7">
        <f t="shared" si="46"/>
        <v>0</v>
      </c>
      <c r="P174" s="116"/>
      <c r="Q174" s="64"/>
      <c r="R174" s="116"/>
      <c r="T174" s="64"/>
      <c r="U174" s="65">
        <f t="shared" si="47"/>
        <v>0</v>
      </c>
      <c r="V174" s="98"/>
      <c r="W174" s="157"/>
      <c r="X174" s="68"/>
      <c r="Y174" s="68"/>
      <c r="Z174" s="64"/>
      <c r="AA174" s="69"/>
      <c r="AB174" s="7">
        <f t="shared" si="60"/>
        <v>0</v>
      </c>
      <c r="AC174" s="7">
        <f t="shared" si="61"/>
        <v>0</v>
      </c>
      <c r="AD174" s="65">
        <f t="shared" si="62"/>
        <v>0</v>
      </c>
      <c r="AE174" s="99"/>
      <c r="AF174" s="125"/>
    </row>
    <row r="175" spans="1:32" ht="15" customHeight="1" x14ac:dyDescent="0.3">
      <c r="A175" s="70"/>
      <c r="B175" s="3"/>
      <c r="C175" s="3"/>
      <c r="D175" s="160"/>
      <c r="E175" s="3"/>
      <c r="F175" s="5"/>
      <c r="G175" s="5"/>
      <c r="H175" s="5"/>
      <c r="I175" s="3"/>
      <c r="J175" s="9"/>
      <c r="K175" s="9"/>
      <c r="L175" s="162"/>
      <c r="M175" s="4"/>
      <c r="N175" s="7"/>
      <c r="O175" s="7">
        <f t="shared" si="46"/>
        <v>0</v>
      </c>
      <c r="P175" s="116"/>
      <c r="Q175" s="64"/>
      <c r="R175" s="116"/>
      <c r="T175" s="64"/>
      <c r="U175" s="65">
        <f t="shared" si="47"/>
        <v>0</v>
      </c>
      <c r="V175" s="98"/>
      <c r="W175" s="157"/>
      <c r="X175" s="68"/>
      <c r="Y175" s="68"/>
      <c r="Z175" s="64"/>
      <c r="AA175" s="69"/>
      <c r="AB175" s="7">
        <f t="shared" si="60"/>
        <v>0</v>
      </c>
      <c r="AC175" s="7">
        <f t="shared" si="61"/>
        <v>0</v>
      </c>
      <c r="AD175" s="65">
        <f t="shared" si="62"/>
        <v>0</v>
      </c>
      <c r="AE175" s="99"/>
      <c r="AF175" s="125"/>
    </row>
    <row r="176" spans="1:32" ht="15" customHeight="1" x14ac:dyDescent="0.3">
      <c r="A176" s="70"/>
      <c r="B176" s="3"/>
      <c r="C176" s="3"/>
      <c r="D176" s="160"/>
      <c r="E176" s="3"/>
      <c r="F176" s="5"/>
      <c r="G176" s="5"/>
      <c r="H176" s="5"/>
      <c r="I176" s="3"/>
      <c r="J176" s="9"/>
      <c r="K176" s="9"/>
      <c r="L176" s="162"/>
      <c r="M176" s="4"/>
      <c r="N176" s="7"/>
      <c r="O176" s="7">
        <f t="shared" si="46"/>
        <v>0</v>
      </c>
      <c r="P176" s="116"/>
      <c r="Q176" s="64"/>
      <c r="R176" s="116"/>
      <c r="T176" s="64"/>
      <c r="U176" s="65">
        <f t="shared" si="47"/>
        <v>0</v>
      </c>
      <c r="V176" s="98"/>
      <c r="W176" s="157"/>
      <c r="X176" s="68"/>
      <c r="Y176" s="68"/>
      <c r="Z176" s="64"/>
      <c r="AA176" s="69"/>
      <c r="AB176" s="7">
        <f t="shared" si="60"/>
        <v>0</v>
      </c>
      <c r="AC176" s="7">
        <f t="shared" si="61"/>
        <v>0</v>
      </c>
      <c r="AD176" s="65">
        <f t="shared" si="62"/>
        <v>0</v>
      </c>
      <c r="AE176" s="99"/>
      <c r="AF176" s="125"/>
    </row>
    <row r="177" spans="1:32" ht="15" customHeight="1" x14ac:dyDescent="0.3">
      <c r="A177" s="70"/>
      <c r="B177" s="3"/>
      <c r="C177" s="3"/>
      <c r="D177" s="160"/>
      <c r="E177" s="3"/>
      <c r="F177" s="5"/>
      <c r="G177" s="5"/>
      <c r="H177" s="5"/>
      <c r="I177" s="3"/>
      <c r="J177" s="9"/>
      <c r="K177" s="9"/>
      <c r="L177" s="162"/>
      <c r="M177" s="4"/>
      <c r="N177" s="7"/>
      <c r="O177" s="7">
        <f t="shared" si="46"/>
        <v>0</v>
      </c>
      <c r="P177" s="116"/>
      <c r="Q177" s="64"/>
      <c r="R177" s="116"/>
      <c r="T177" s="64"/>
      <c r="U177" s="65">
        <f t="shared" si="47"/>
        <v>0</v>
      </c>
      <c r="V177" s="98"/>
      <c r="W177" s="157"/>
      <c r="X177" s="68"/>
      <c r="Y177" s="68"/>
      <c r="Z177" s="64"/>
      <c r="AA177" s="69"/>
      <c r="AB177" s="7">
        <f t="shared" si="48"/>
        <v>0</v>
      </c>
      <c r="AC177" s="7">
        <f t="shared" si="49"/>
        <v>0</v>
      </c>
      <c r="AD177" s="65">
        <f t="shared" si="50"/>
        <v>0</v>
      </c>
      <c r="AE177" s="99"/>
      <c r="AF177" s="125"/>
    </row>
    <row r="178" spans="1:32" ht="15" customHeight="1" x14ac:dyDescent="0.3">
      <c r="A178" s="70"/>
      <c r="B178" s="3"/>
      <c r="C178" s="3"/>
      <c r="D178" s="160"/>
      <c r="E178" s="3"/>
      <c r="F178" s="5"/>
      <c r="G178" s="5"/>
      <c r="H178" s="5"/>
      <c r="I178" s="3"/>
      <c r="J178" s="9"/>
      <c r="K178" s="9"/>
      <c r="L178" s="162"/>
      <c r="M178" s="4"/>
      <c r="N178" s="7"/>
      <c r="O178" s="7">
        <f t="shared" si="46"/>
        <v>0</v>
      </c>
      <c r="P178" s="116"/>
      <c r="Q178" s="64"/>
      <c r="R178" s="116"/>
      <c r="T178" s="64"/>
      <c r="U178" s="65">
        <f t="shared" si="47"/>
        <v>0</v>
      </c>
      <c r="V178" s="98"/>
      <c r="W178" s="157"/>
      <c r="X178" s="68"/>
      <c r="Y178" s="68"/>
      <c r="Z178" s="64"/>
      <c r="AA178" s="69"/>
      <c r="AB178" s="7">
        <f t="shared" si="48"/>
        <v>0</v>
      </c>
      <c r="AC178" s="7">
        <f t="shared" si="49"/>
        <v>0</v>
      </c>
      <c r="AD178" s="65">
        <f t="shared" si="50"/>
        <v>0</v>
      </c>
      <c r="AE178" s="99"/>
      <c r="AF178" s="125"/>
    </row>
    <row r="179" spans="1:32" ht="15" customHeight="1" x14ac:dyDescent="0.3">
      <c r="A179" s="70"/>
      <c r="B179" s="3"/>
      <c r="C179" s="3"/>
      <c r="D179" s="160"/>
      <c r="E179" s="3"/>
      <c r="F179" s="5"/>
      <c r="G179" s="5"/>
      <c r="H179" s="5"/>
      <c r="I179" s="3"/>
      <c r="J179" s="9"/>
      <c r="K179" s="9"/>
      <c r="L179" s="162"/>
      <c r="M179" s="4"/>
      <c r="N179" s="7"/>
      <c r="O179" s="7">
        <f t="shared" si="46"/>
        <v>0</v>
      </c>
      <c r="P179" s="116"/>
      <c r="Q179" s="64"/>
      <c r="R179" s="116"/>
      <c r="T179" s="64"/>
      <c r="U179" s="65">
        <f t="shared" si="32"/>
        <v>0</v>
      </c>
      <c r="V179" s="98"/>
      <c r="W179" s="157"/>
      <c r="X179" s="68"/>
      <c r="Y179" s="68"/>
      <c r="Z179" s="64"/>
      <c r="AA179" s="69"/>
      <c r="AB179" s="7">
        <f t="shared" si="39"/>
        <v>0</v>
      </c>
      <c r="AC179" s="7">
        <f t="shared" si="40"/>
        <v>0</v>
      </c>
      <c r="AD179" s="65">
        <f t="shared" si="41"/>
        <v>0</v>
      </c>
      <c r="AE179" s="99"/>
      <c r="AF179" s="125"/>
    </row>
    <row r="180" spans="1:32" ht="15" customHeight="1" x14ac:dyDescent="0.3">
      <c r="A180" s="70"/>
      <c r="B180" s="3"/>
      <c r="C180" s="3"/>
      <c r="D180" s="160"/>
      <c r="E180" s="3"/>
      <c r="F180" s="5"/>
      <c r="G180" s="5"/>
      <c r="H180" s="5"/>
      <c r="I180" s="3"/>
      <c r="J180" s="9"/>
      <c r="K180" s="9"/>
      <c r="L180" s="162"/>
      <c r="M180" s="4"/>
      <c r="N180" s="7"/>
      <c r="O180" s="7">
        <f t="shared" si="46"/>
        <v>0</v>
      </c>
      <c r="P180" s="116"/>
      <c r="Q180" s="64"/>
      <c r="R180" s="116"/>
      <c r="T180" s="64"/>
      <c r="U180" s="65">
        <f t="shared" si="32"/>
        <v>0</v>
      </c>
      <c r="V180" s="98"/>
      <c r="W180" s="157"/>
      <c r="X180" s="68"/>
      <c r="Y180" s="68"/>
      <c r="Z180" s="64"/>
      <c r="AA180" s="69"/>
      <c r="AB180" s="7">
        <f t="shared" si="39"/>
        <v>0</v>
      </c>
      <c r="AC180" s="7">
        <f t="shared" si="40"/>
        <v>0</v>
      </c>
      <c r="AD180" s="65">
        <f t="shared" si="41"/>
        <v>0</v>
      </c>
      <c r="AE180" s="99"/>
      <c r="AF180" s="125"/>
    </row>
    <row r="181" spans="1:32" ht="15" customHeight="1" x14ac:dyDescent="0.3">
      <c r="A181" s="70"/>
      <c r="B181" s="3"/>
      <c r="C181" s="3"/>
      <c r="D181" s="160"/>
      <c r="E181" s="3"/>
      <c r="F181" s="5"/>
      <c r="G181" s="5"/>
      <c r="H181" s="5"/>
      <c r="I181" s="3"/>
      <c r="J181" s="9"/>
      <c r="K181" s="9"/>
      <c r="L181" s="162"/>
      <c r="M181" s="4"/>
      <c r="N181" s="7"/>
      <c r="O181" s="7">
        <f t="shared" si="26"/>
        <v>0</v>
      </c>
      <c r="P181" s="116"/>
      <c r="Q181" s="64"/>
      <c r="R181" s="116"/>
      <c r="T181" s="64"/>
      <c r="U181" s="65">
        <f t="shared" si="32"/>
        <v>0</v>
      </c>
      <c r="V181" s="98"/>
      <c r="W181" s="157"/>
      <c r="X181" s="68"/>
      <c r="Y181" s="68"/>
      <c r="Z181" s="64"/>
      <c r="AA181" s="69"/>
      <c r="AB181" s="7">
        <f t="shared" si="39"/>
        <v>0</v>
      </c>
      <c r="AC181" s="7">
        <f t="shared" si="40"/>
        <v>0</v>
      </c>
      <c r="AD181" s="65">
        <f t="shared" si="41"/>
        <v>0</v>
      </c>
      <c r="AE181" s="99"/>
      <c r="AF181" s="125"/>
    </row>
    <row r="182" spans="1:32" ht="15" customHeight="1" x14ac:dyDescent="0.3">
      <c r="A182" s="70"/>
      <c r="B182" s="3"/>
      <c r="C182" s="3"/>
      <c r="D182" s="160"/>
      <c r="E182" s="3"/>
      <c r="F182" s="5"/>
      <c r="G182" s="5"/>
      <c r="H182" s="5"/>
      <c r="I182" s="3"/>
      <c r="J182" s="9"/>
      <c r="K182" s="9"/>
      <c r="L182" s="162"/>
      <c r="M182" s="4"/>
      <c r="N182" s="7"/>
      <c r="O182" s="7">
        <f t="shared" si="26"/>
        <v>0</v>
      </c>
      <c r="P182" s="116"/>
      <c r="Q182" s="64"/>
      <c r="R182" s="116"/>
      <c r="T182" s="64"/>
      <c r="U182" s="65">
        <f t="shared" si="32"/>
        <v>0</v>
      </c>
      <c r="V182" s="98"/>
      <c r="W182" s="157"/>
      <c r="X182" s="68"/>
      <c r="Y182" s="68"/>
      <c r="Z182" s="64"/>
      <c r="AA182" s="69"/>
      <c r="AB182" s="7">
        <f t="shared" si="24"/>
        <v>0</v>
      </c>
      <c r="AC182" s="7">
        <f t="shared" si="25"/>
        <v>0</v>
      </c>
      <c r="AD182" s="65">
        <f t="shared" si="22"/>
        <v>0</v>
      </c>
      <c r="AE182" s="99"/>
      <c r="AF182" s="125"/>
    </row>
    <row r="183" spans="1:32" ht="15" customHeight="1" x14ac:dyDescent="0.3">
      <c r="A183" s="70"/>
      <c r="B183" s="3"/>
      <c r="C183" s="3"/>
      <c r="D183" s="160"/>
      <c r="E183" s="3"/>
      <c r="F183" s="5"/>
      <c r="G183" s="5"/>
      <c r="H183" s="5"/>
      <c r="I183" s="3"/>
      <c r="J183" s="9"/>
      <c r="K183" s="9"/>
      <c r="L183" s="162"/>
      <c r="M183" s="4"/>
      <c r="N183" s="7"/>
      <c r="O183" s="7">
        <f t="shared" si="26"/>
        <v>0</v>
      </c>
      <c r="P183" s="116"/>
      <c r="Q183" s="64"/>
      <c r="R183" s="116"/>
      <c r="T183" s="64"/>
      <c r="U183" s="65">
        <f t="shared" si="32"/>
        <v>0</v>
      </c>
      <c r="V183" s="98"/>
      <c r="W183" s="157"/>
      <c r="X183" s="68"/>
      <c r="Y183" s="68"/>
      <c r="Z183" s="64"/>
      <c r="AA183" s="69"/>
      <c r="AB183" s="7">
        <f t="shared" si="24"/>
        <v>0</v>
      </c>
      <c r="AC183" s="7">
        <f t="shared" si="25"/>
        <v>0</v>
      </c>
      <c r="AD183" s="65">
        <f t="shared" si="22"/>
        <v>0</v>
      </c>
      <c r="AE183" s="99"/>
      <c r="AF183" s="125"/>
    </row>
    <row r="184" spans="1:32" ht="15" customHeight="1" x14ac:dyDescent="0.3">
      <c r="A184" s="70"/>
      <c r="B184" s="3"/>
      <c r="C184" s="3"/>
      <c r="D184" s="160"/>
      <c r="E184" s="3"/>
      <c r="F184" s="5"/>
      <c r="G184" s="5"/>
      <c r="H184" s="5"/>
      <c r="I184" s="3"/>
      <c r="J184" s="9"/>
      <c r="K184" s="9"/>
      <c r="L184" s="162" t="s">
        <v>278</v>
      </c>
      <c r="M184" s="4"/>
      <c r="N184" s="7"/>
      <c r="O184" s="7">
        <f t="shared" si="26"/>
        <v>0</v>
      </c>
      <c r="P184" s="116"/>
      <c r="Q184" s="64"/>
      <c r="R184" s="116"/>
      <c r="T184" s="64"/>
      <c r="U184" s="65">
        <f t="shared" si="32"/>
        <v>0</v>
      </c>
      <c r="V184" s="98"/>
      <c r="W184" s="157"/>
      <c r="X184" s="68"/>
      <c r="Y184" s="68"/>
      <c r="Z184" s="64"/>
      <c r="AA184" s="69"/>
      <c r="AB184" s="7">
        <f t="shared" si="24"/>
        <v>0</v>
      </c>
      <c r="AC184" s="7">
        <f t="shared" si="25"/>
        <v>0</v>
      </c>
      <c r="AD184" s="65">
        <f t="shared" si="22"/>
        <v>0</v>
      </c>
      <c r="AE184" s="99"/>
      <c r="AF184" s="125"/>
    </row>
    <row r="185" spans="1:32" ht="15" customHeight="1" x14ac:dyDescent="0.3">
      <c r="A185" s="70"/>
      <c r="B185" s="3"/>
      <c r="C185" s="3"/>
      <c r="D185" s="160"/>
      <c r="E185" s="3"/>
      <c r="F185" s="5"/>
      <c r="G185" s="5"/>
      <c r="H185" s="5"/>
      <c r="I185" s="3"/>
      <c r="J185" s="9"/>
      <c r="K185" s="9"/>
      <c r="L185" s="162" t="s">
        <v>179</v>
      </c>
      <c r="M185" s="4"/>
      <c r="N185" s="7"/>
      <c r="O185" s="7">
        <f t="shared" si="26"/>
        <v>0</v>
      </c>
      <c r="P185" s="116"/>
      <c r="Q185" s="64"/>
      <c r="R185" s="116"/>
      <c r="T185" s="64"/>
      <c r="U185" s="65">
        <f t="shared" si="32"/>
        <v>0</v>
      </c>
      <c r="V185" s="98"/>
      <c r="W185" s="157"/>
      <c r="X185" s="68"/>
      <c r="Y185" s="68"/>
      <c r="Z185" s="64"/>
      <c r="AA185" s="69"/>
      <c r="AB185" s="7">
        <f t="shared" si="24"/>
        <v>0</v>
      </c>
      <c r="AC185" s="7">
        <f t="shared" si="25"/>
        <v>0</v>
      </c>
      <c r="AD185" s="65">
        <f t="shared" si="22"/>
        <v>0</v>
      </c>
      <c r="AE185" s="99"/>
      <c r="AF185" s="125"/>
    </row>
    <row r="186" spans="1:32" ht="15" customHeight="1" x14ac:dyDescent="0.3">
      <c r="A186" s="70"/>
      <c r="B186" s="3"/>
      <c r="C186" s="3"/>
      <c r="D186" s="160"/>
      <c r="E186" s="3"/>
      <c r="F186" s="5"/>
      <c r="G186" s="5"/>
      <c r="H186" s="5"/>
      <c r="I186" s="3"/>
      <c r="J186" s="9"/>
      <c r="K186" s="9"/>
      <c r="L186" s="162" t="s">
        <v>279</v>
      </c>
      <c r="M186" s="4"/>
      <c r="N186" s="7"/>
      <c r="O186" s="7">
        <f t="shared" si="26"/>
        <v>0</v>
      </c>
      <c r="P186" s="116"/>
      <c r="Q186" s="64"/>
      <c r="R186" s="116"/>
      <c r="T186" s="64"/>
      <c r="U186" s="65">
        <f t="shared" si="32"/>
        <v>0</v>
      </c>
      <c r="V186" s="98"/>
      <c r="W186" s="157"/>
      <c r="X186" s="68"/>
      <c r="Y186" s="68"/>
      <c r="Z186" s="64"/>
      <c r="AA186" s="69"/>
      <c r="AB186" s="7">
        <f t="shared" si="24"/>
        <v>0</v>
      </c>
      <c r="AC186" s="7">
        <f t="shared" si="25"/>
        <v>0</v>
      </c>
      <c r="AD186" s="65">
        <f t="shared" si="22"/>
        <v>0</v>
      </c>
      <c r="AE186" s="99"/>
      <c r="AF186" s="125"/>
    </row>
    <row r="187" spans="1:32" ht="15" customHeight="1" x14ac:dyDescent="0.3">
      <c r="A187" s="70"/>
      <c r="B187" s="3"/>
      <c r="C187" s="3"/>
      <c r="D187" s="160"/>
      <c r="E187" s="3"/>
      <c r="F187" s="5"/>
      <c r="G187" s="5"/>
      <c r="H187" s="5"/>
      <c r="I187" s="3"/>
      <c r="J187" s="9"/>
      <c r="K187" s="9"/>
      <c r="L187" s="162" t="s">
        <v>459</v>
      </c>
      <c r="M187" s="4"/>
      <c r="N187" s="7"/>
      <c r="O187" s="7">
        <f t="shared" si="26"/>
        <v>0</v>
      </c>
      <c r="P187" s="116"/>
      <c r="Q187" s="64"/>
      <c r="R187" s="116"/>
      <c r="T187" s="64"/>
      <c r="U187" s="65">
        <f t="shared" si="32"/>
        <v>0</v>
      </c>
      <c r="V187" s="98"/>
      <c r="W187" s="157"/>
      <c r="X187" s="68"/>
      <c r="Y187" s="68"/>
      <c r="Z187" s="64"/>
      <c r="AA187" s="69"/>
      <c r="AB187" s="7">
        <f t="shared" si="24"/>
        <v>0</v>
      </c>
      <c r="AC187" s="7">
        <f t="shared" si="25"/>
        <v>0</v>
      </c>
      <c r="AD187" s="65">
        <f t="shared" si="22"/>
        <v>0</v>
      </c>
      <c r="AE187" s="99"/>
      <c r="AF187" s="125"/>
    </row>
    <row r="188" spans="1:32" ht="15" customHeight="1" x14ac:dyDescent="0.3">
      <c r="A188" s="70"/>
      <c r="B188" s="3"/>
      <c r="C188" s="3"/>
      <c r="D188" s="160"/>
      <c r="E188" s="3"/>
      <c r="F188" s="5"/>
      <c r="G188" s="5"/>
      <c r="H188" s="5"/>
      <c r="I188" s="3"/>
      <c r="J188" s="9"/>
      <c r="K188" s="9"/>
      <c r="L188" s="162" t="s">
        <v>189</v>
      </c>
      <c r="M188" s="4"/>
      <c r="N188" s="7"/>
      <c r="O188" s="7">
        <f t="shared" si="26"/>
        <v>0</v>
      </c>
      <c r="P188" s="116"/>
      <c r="Q188" s="64"/>
      <c r="R188" s="116"/>
      <c r="T188" s="64"/>
      <c r="U188" s="65">
        <f t="shared" si="32"/>
        <v>0</v>
      </c>
      <c r="V188" s="98"/>
      <c r="W188" s="157"/>
      <c r="X188" s="68"/>
      <c r="Y188" s="68"/>
      <c r="Z188" s="64"/>
      <c r="AA188" s="69"/>
      <c r="AB188" s="7">
        <f t="shared" si="24"/>
        <v>0</v>
      </c>
      <c r="AC188" s="7">
        <f t="shared" si="25"/>
        <v>0</v>
      </c>
      <c r="AD188" s="65">
        <f t="shared" si="22"/>
        <v>0</v>
      </c>
      <c r="AE188" s="99"/>
      <c r="AF188" s="125"/>
    </row>
    <row r="189" spans="1:32" ht="15" customHeight="1" x14ac:dyDescent="0.3">
      <c r="A189" s="70"/>
      <c r="B189" s="3"/>
      <c r="C189" s="3"/>
      <c r="D189" s="160"/>
      <c r="E189" s="3"/>
      <c r="F189" s="5"/>
      <c r="G189" s="5"/>
      <c r="H189" s="5"/>
      <c r="I189" s="3"/>
      <c r="J189" s="9"/>
      <c r="K189" s="9"/>
      <c r="L189" s="162" t="s">
        <v>215</v>
      </c>
      <c r="M189" s="4"/>
      <c r="N189" s="7"/>
      <c r="O189" s="7">
        <f t="shared" si="26"/>
        <v>0</v>
      </c>
      <c r="P189" s="116"/>
      <c r="Q189" s="64"/>
      <c r="R189" s="116"/>
      <c r="T189" s="64"/>
      <c r="U189" s="65">
        <f t="shared" si="32"/>
        <v>0</v>
      </c>
      <c r="V189" s="98"/>
      <c r="W189" s="157"/>
      <c r="X189" s="68"/>
      <c r="Y189" s="68"/>
      <c r="Z189" s="64"/>
      <c r="AA189" s="69"/>
      <c r="AB189" s="7">
        <f t="shared" si="24"/>
        <v>0</v>
      </c>
      <c r="AC189" s="7">
        <f t="shared" si="25"/>
        <v>0</v>
      </c>
      <c r="AD189" s="65">
        <f t="shared" si="22"/>
        <v>0</v>
      </c>
      <c r="AE189" s="99"/>
      <c r="AF189" s="125"/>
    </row>
    <row r="190" spans="1:32" ht="15" customHeight="1" thickBot="1" x14ac:dyDescent="0.35">
      <c r="A190" s="56"/>
      <c r="B190" s="57"/>
      <c r="C190" s="57"/>
      <c r="D190" s="63"/>
      <c r="E190" s="57"/>
      <c r="F190" s="58"/>
      <c r="G190" s="58"/>
      <c r="H190" s="58"/>
      <c r="I190" s="57"/>
      <c r="J190" s="71"/>
      <c r="K190" s="71"/>
      <c r="L190" s="163"/>
      <c r="M190" s="60"/>
      <c r="N190" s="59"/>
      <c r="O190" s="61"/>
      <c r="P190" s="118"/>
      <c r="Q190" s="117"/>
      <c r="R190" s="118"/>
      <c r="S190" s="158"/>
      <c r="T190" s="66"/>
      <c r="U190" s="67"/>
      <c r="V190" s="57"/>
      <c r="W190" s="66"/>
      <c r="X190" s="62"/>
      <c r="Y190" s="62"/>
      <c r="Z190" s="66"/>
      <c r="AA190" s="63"/>
      <c r="AB190" s="61"/>
      <c r="AC190" s="61"/>
      <c r="AD190" s="67"/>
      <c r="AE190" s="63"/>
      <c r="AF190" s="126"/>
    </row>
    <row r="191" spans="1:32" ht="16.5" customHeight="1" thickBot="1" x14ac:dyDescent="0.35"/>
    <row r="192" spans="1:32" ht="20.149999999999999" customHeight="1" x14ac:dyDescent="0.3">
      <c r="C192" s="1" t="s">
        <v>737</v>
      </c>
      <c r="D192" s="88"/>
      <c r="K192" s="1" t="s">
        <v>727</v>
      </c>
      <c r="L192" s="38" t="s">
        <v>17</v>
      </c>
      <c r="M192" s="39"/>
      <c r="N192" s="39"/>
      <c r="O192" s="40">
        <f t="shared" ref="O192:O197" si="71">SUMIF($L$91:$L$189,L192,$O$91:$O$189)</f>
        <v>3213000</v>
      </c>
      <c r="P192" s="88"/>
      <c r="T192" s="39"/>
      <c r="U192" s="40">
        <f t="shared" ref="U192:U197" si="72">SUMIF($L$91:$L$189,$L192,$U$91:$U$189)</f>
        <v>3213000</v>
      </c>
      <c r="V192" s="39"/>
      <c r="W192" s="39"/>
      <c r="X192" s="39"/>
      <c r="Y192" s="39"/>
      <c r="Z192" s="39"/>
      <c r="AA192" s="39"/>
      <c r="AB192" s="40">
        <f t="shared" ref="AB192:AD197" si="73">SUMIF($L$4:$L$189,$L192,$AD$4:$AD$189)</f>
        <v>3534300</v>
      </c>
      <c r="AC192" s="40">
        <f t="shared" si="73"/>
        <v>3534300</v>
      </c>
      <c r="AD192" s="41">
        <f t="shared" si="73"/>
        <v>3534300</v>
      </c>
    </row>
    <row r="193" spans="1:32" ht="20.149999999999999" customHeight="1" x14ac:dyDescent="0.3">
      <c r="C193" s="15" t="s">
        <v>732</v>
      </c>
      <c r="D193" s="88"/>
      <c r="K193" s="1" t="s">
        <v>728</v>
      </c>
      <c r="L193" s="42" t="s">
        <v>18</v>
      </c>
      <c r="M193" s="39"/>
      <c r="N193" s="39"/>
      <c r="O193" s="43">
        <f t="shared" si="71"/>
        <v>880000</v>
      </c>
      <c r="P193" s="88"/>
      <c r="T193" s="39"/>
      <c r="U193" s="43">
        <f t="shared" si="72"/>
        <v>880000</v>
      </c>
      <c r="V193" s="39"/>
      <c r="W193" s="39"/>
      <c r="X193" s="39"/>
      <c r="Y193" s="39"/>
      <c r="Z193" s="39"/>
      <c r="AA193" s="39"/>
      <c r="AB193" s="43">
        <f t="shared" si="73"/>
        <v>968000</v>
      </c>
      <c r="AC193" s="44">
        <f t="shared" si="73"/>
        <v>968000</v>
      </c>
      <c r="AD193" s="44">
        <f t="shared" si="73"/>
        <v>968000</v>
      </c>
    </row>
    <row r="194" spans="1:32" ht="20.149999999999999" customHeight="1" x14ac:dyDescent="0.3">
      <c r="C194" s="15" t="s">
        <v>733</v>
      </c>
      <c r="D194" s="88"/>
      <c r="K194" s="1" t="s">
        <v>729</v>
      </c>
      <c r="L194" s="45" t="s">
        <v>21</v>
      </c>
      <c r="M194" s="39"/>
      <c r="N194" s="39"/>
      <c r="O194" s="46">
        <f t="shared" si="71"/>
        <v>0</v>
      </c>
      <c r="P194" s="88"/>
      <c r="T194" s="39"/>
      <c r="U194" s="46">
        <f t="shared" si="72"/>
        <v>0</v>
      </c>
      <c r="V194" s="39"/>
      <c r="W194" s="39"/>
      <c r="X194" s="39"/>
      <c r="Y194" s="39"/>
      <c r="Z194" s="39"/>
      <c r="AA194" s="39"/>
      <c r="AB194" s="46">
        <f t="shared" si="73"/>
        <v>0</v>
      </c>
      <c r="AC194" s="46">
        <f t="shared" si="73"/>
        <v>0</v>
      </c>
      <c r="AD194" s="47">
        <f t="shared" si="73"/>
        <v>0</v>
      </c>
    </row>
    <row r="195" spans="1:32" ht="20.149999999999999" customHeight="1" x14ac:dyDescent="0.3">
      <c r="C195" s="15" t="s">
        <v>734</v>
      </c>
      <c r="D195" s="88"/>
      <c r="K195" s="1" t="s">
        <v>775</v>
      </c>
      <c r="L195" s="119" t="s">
        <v>460</v>
      </c>
      <c r="M195" s="39"/>
      <c r="N195" s="39"/>
      <c r="O195" s="120">
        <f t="shared" si="71"/>
        <v>0</v>
      </c>
      <c r="P195" s="88"/>
      <c r="T195" s="39"/>
      <c r="U195" s="121">
        <f t="shared" si="72"/>
        <v>0</v>
      </c>
      <c r="V195" s="39"/>
      <c r="W195" s="39"/>
      <c r="X195" s="39"/>
      <c r="Y195" s="39"/>
      <c r="Z195" s="39"/>
      <c r="AA195" s="39"/>
      <c r="AB195" s="121">
        <f t="shared" si="73"/>
        <v>0</v>
      </c>
      <c r="AC195" s="121">
        <f t="shared" si="73"/>
        <v>0</v>
      </c>
      <c r="AD195" s="122">
        <f t="shared" si="73"/>
        <v>0</v>
      </c>
    </row>
    <row r="196" spans="1:32" ht="20.149999999999999" customHeight="1" x14ac:dyDescent="0.3">
      <c r="C196" s="15" t="s">
        <v>735</v>
      </c>
      <c r="D196" s="88"/>
      <c r="K196" s="1" t="s">
        <v>730</v>
      </c>
      <c r="L196" s="48" t="s">
        <v>19</v>
      </c>
      <c r="M196" s="39"/>
      <c r="N196" s="39"/>
      <c r="O196" s="49">
        <f t="shared" si="71"/>
        <v>0</v>
      </c>
      <c r="P196" s="88"/>
      <c r="T196" s="39"/>
      <c r="U196" s="49">
        <f t="shared" si="72"/>
        <v>0</v>
      </c>
      <c r="V196" s="39"/>
      <c r="W196" s="39"/>
      <c r="X196" s="39"/>
      <c r="Y196" s="39"/>
      <c r="Z196" s="39"/>
      <c r="AA196" s="39"/>
      <c r="AB196" s="49">
        <f t="shared" si="73"/>
        <v>0</v>
      </c>
      <c r="AC196" s="49">
        <f t="shared" si="73"/>
        <v>0</v>
      </c>
      <c r="AD196" s="50">
        <f t="shared" si="73"/>
        <v>0</v>
      </c>
    </row>
    <row r="197" spans="1:32" ht="20.149999999999999" customHeight="1" thickBot="1" x14ac:dyDescent="0.35">
      <c r="C197" s="15" t="s">
        <v>736</v>
      </c>
      <c r="D197" s="88"/>
      <c r="K197" s="1" t="s">
        <v>731</v>
      </c>
      <c r="L197" s="72" t="s">
        <v>20</v>
      </c>
      <c r="M197" s="39"/>
      <c r="N197" s="39"/>
      <c r="O197" s="73">
        <f t="shared" si="71"/>
        <v>160629360</v>
      </c>
      <c r="P197" s="88"/>
      <c r="T197" s="39"/>
      <c r="U197" s="73">
        <f t="shared" si="72"/>
        <v>161622099</v>
      </c>
      <c r="V197" s="39"/>
      <c r="W197" s="39"/>
      <c r="X197" s="39"/>
      <c r="Y197" s="39"/>
      <c r="Z197" s="39"/>
      <c r="AA197" s="39"/>
      <c r="AB197" s="73">
        <f t="shared" si="73"/>
        <v>755592836.57260001</v>
      </c>
      <c r="AC197" s="73">
        <f t="shared" si="73"/>
        <v>755592836.57260001</v>
      </c>
      <c r="AD197" s="74">
        <f t="shared" si="73"/>
        <v>755592836.57260001</v>
      </c>
    </row>
    <row r="198" spans="1:32" s="54" customFormat="1" ht="20.149999999999999" customHeight="1" thickBot="1" x14ac:dyDescent="0.35">
      <c r="A198" s="53"/>
      <c r="C198" s="89"/>
      <c r="F198" s="55"/>
      <c r="G198" s="55"/>
      <c r="H198" s="55"/>
      <c r="K198" s="55"/>
      <c r="L198" s="33" t="s">
        <v>49</v>
      </c>
      <c r="O198" s="34">
        <f>SUM(O192:O197)</f>
        <v>164722360</v>
      </c>
      <c r="P198" s="89"/>
      <c r="Q198" s="1"/>
      <c r="R198" s="2"/>
      <c r="S198" s="2"/>
      <c r="U198" s="34">
        <f>SUM(U192:U197)</f>
        <v>165715099</v>
      </c>
      <c r="AB198" s="34">
        <f>SUM(AB192:AB197)</f>
        <v>760095136.57260001</v>
      </c>
      <c r="AC198" s="34">
        <f>SUM(AC192:AC197)</f>
        <v>760095136.57260001</v>
      </c>
      <c r="AD198" s="35">
        <f>SUM(AD192:AD197)</f>
        <v>760095136.57260001</v>
      </c>
      <c r="AF198" s="128"/>
    </row>
    <row r="199" spans="1:32" ht="20.149999999999999" customHeight="1" thickBot="1" x14ac:dyDescent="0.35">
      <c r="C199" s="15"/>
    </row>
    <row r="200" spans="1:32" ht="20.149999999999999" customHeight="1" x14ac:dyDescent="0.3">
      <c r="C200" s="15"/>
      <c r="W200" s="197" t="s">
        <v>51</v>
      </c>
      <c r="X200" s="197"/>
      <c r="Y200" s="197"/>
      <c r="Z200" s="197"/>
      <c r="AA200" s="51"/>
      <c r="AB200" s="52">
        <f>AB193+AB196</f>
        <v>968000</v>
      </c>
      <c r="AC200" s="52">
        <f>AC193+AC196</f>
        <v>968000</v>
      </c>
      <c r="AD200" s="52">
        <f>AD193+AD196</f>
        <v>968000</v>
      </c>
    </row>
    <row r="201" spans="1:32" ht="20.149999999999999" customHeight="1" x14ac:dyDescent="0.3">
      <c r="C201" s="165"/>
      <c r="P201" s="87"/>
      <c r="W201" s="198" t="s">
        <v>774</v>
      </c>
      <c r="X201" s="198"/>
      <c r="Y201" s="198"/>
      <c r="Z201" s="198"/>
      <c r="AA201" s="75"/>
      <c r="AB201" s="76">
        <f>AB197+AB195</f>
        <v>755592836.57260001</v>
      </c>
      <c r="AC201" s="76">
        <f t="shared" ref="AC201:AD201" si="74">AC197+AC195</f>
        <v>755592836.57260001</v>
      </c>
      <c r="AD201" s="76">
        <f t="shared" si="74"/>
        <v>755592836.57260001</v>
      </c>
    </row>
    <row r="202" spans="1:32" ht="20.149999999999999" customHeight="1" thickBot="1" x14ac:dyDescent="0.35">
      <c r="C202" s="165"/>
      <c r="W202" s="199"/>
      <c r="X202" s="199"/>
      <c r="Y202" s="199"/>
      <c r="Z202" s="199"/>
      <c r="AA202" s="36"/>
      <c r="AB202" s="37"/>
      <c r="AC202" s="37"/>
      <c r="AD202" s="37"/>
    </row>
    <row r="203" spans="1:32" ht="16.5" customHeight="1" x14ac:dyDescent="0.3">
      <c r="C203" s="165"/>
    </row>
    <row r="204" spans="1:32" ht="16.5" customHeight="1" x14ac:dyDescent="0.3">
      <c r="C204" s="165"/>
    </row>
  </sheetData>
  <autoFilter ref="A3:AF189" xr:uid="{AF21DA9E-6E78-470E-A7C2-CD79325A5A60}"/>
  <mergeCells count="3">
    <mergeCell ref="W200:Z200"/>
    <mergeCell ref="W201:Z201"/>
    <mergeCell ref="W202:Z202"/>
  </mergeCells>
  <phoneticPr fontId="1" type="noConversion"/>
  <conditionalFormatting sqref="A4:AD189">
    <cfRule type="expression" dxfId="9" priority="141">
      <formula>$L4="선금지급"</formula>
    </cfRule>
    <cfRule type="expression" dxfId="8" priority="142">
      <formula>$L4="결제완료"</formula>
    </cfRule>
    <cfRule type="expression" dxfId="7" priority="143">
      <formula>$L4="입고완료"</formula>
    </cfRule>
    <cfRule type="expression" dxfId="6" priority="144">
      <formula>$L4="발주완료"</formula>
    </cfRule>
    <cfRule type="expression" dxfId="5" priority="145">
      <formula>$L4="발주취소"</formula>
    </cfRule>
  </conditionalFormatting>
  <dataValidations count="1">
    <dataValidation type="list" allowBlank="1" showInputMessage="1" showErrorMessage="1" sqref="L4:L189" xr:uid="{7EC63C55-C522-4768-8EF5-D1B09051B1F7}">
      <formula1>$L$192:$L$197</formula1>
    </dataValidation>
  </dataValidations>
  <pageMargins left="0.47244094488188981" right="0.19685039370078741" top="0.39370078740157483" bottom="0.47244094488188981" header="0.19685039370078741" footer="0.27559055118110237"/>
  <pageSetup paperSize="9" scale="24" fitToHeight="0" orientation="landscape" r:id="rId1"/>
  <headerFooter>
    <oddFooter>&amp;L(주)비업시스 구매및 입고 현황&amp;C&amp;P / &amp;N&amp;R&amp;D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C86E-9FC9-4734-98E4-578F2FA3E365}">
  <dimension ref="A1:M154"/>
  <sheetViews>
    <sheetView zoomScale="160" zoomScaleNormal="160" workbookViewId="0">
      <selection activeCell="I44" sqref="I44:I45"/>
    </sheetView>
  </sheetViews>
  <sheetFormatPr defaultColWidth="9.33203125" defaultRowHeight="15" customHeight="1" x14ac:dyDescent="0.3"/>
  <cols>
    <col min="1" max="1" width="13.77734375" style="15" customWidth="1"/>
    <col min="2" max="2" width="20.77734375" style="15" customWidth="1"/>
    <col min="3" max="3" width="9.33203125" style="16"/>
    <col min="4" max="5" width="20.77734375" style="17" customWidth="1"/>
    <col min="6" max="7" width="9.33203125" style="15"/>
    <col min="8" max="8" width="19" style="15" customWidth="1"/>
    <col min="9" max="9" width="20.77734375" style="2" customWidth="1"/>
    <col min="10" max="12" width="9.33203125" style="15"/>
    <col min="13" max="13" width="12.44140625" style="165" customWidth="1"/>
    <col min="14" max="16384" width="9.33203125" style="15"/>
  </cols>
  <sheetData>
    <row r="1" spans="1:13" ht="15" customHeight="1" x14ac:dyDescent="0.3">
      <c r="A1" s="10" t="s">
        <v>17</v>
      </c>
      <c r="I1" s="130"/>
    </row>
    <row r="2" spans="1:13" ht="15" customHeight="1" thickBot="1" x14ac:dyDescent="0.35">
      <c r="A2" s="13" t="s">
        <v>18</v>
      </c>
      <c r="I2" s="135"/>
    </row>
    <row r="3" spans="1:13" ht="15" customHeight="1" thickBot="1" x14ac:dyDescent="0.35">
      <c r="A3" s="14" t="s">
        <v>21</v>
      </c>
      <c r="I3" s="145" t="s">
        <v>276</v>
      </c>
    </row>
    <row r="4" spans="1:13" ht="15" customHeight="1" x14ac:dyDescent="0.3">
      <c r="A4" s="11" t="s">
        <v>19</v>
      </c>
      <c r="I4" s="3" t="s">
        <v>703</v>
      </c>
      <c r="J4" s="15">
        <v>1</v>
      </c>
    </row>
    <row r="5" spans="1:13" ht="15" customHeight="1" x14ac:dyDescent="0.3">
      <c r="A5" s="12" t="s">
        <v>20</v>
      </c>
      <c r="I5" s="3" t="s">
        <v>643</v>
      </c>
      <c r="J5" s="15">
        <v>2</v>
      </c>
    </row>
    <row r="6" spans="1:13" ht="15" customHeight="1" x14ac:dyDescent="0.3">
      <c r="B6" s="18" t="s">
        <v>30</v>
      </c>
      <c r="C6" s="19" t="s">
        <v>0</v>
      </c>
      <c r="D6" s="20" t="s">
        <v>31</v>
      </c>
      <c r="E6" s="21" t="s">
        <v>32</v>
      </c>
      <c r="I6" s="3" t="s">
        <v>658</v>
      </c>
      <c r="J6" s="15">
        <v>3</v>
      </c>
    </row>
    <row r="7" spans="1:13" ht="15" customHeight="1" x14ac:dyDescent="0.3">
      <c r="B7" s="18" t="s">
        <v>26</v>
      </c>
      <c r="C7" s="19">
        <v>200</v>
      </c>
      <c r="D7" s="28">
        <v>1670</v>
      </c>
      <c r="E7" s="29">
        <f>C7*D7</f>
        <v>334000</v>
      </c>
      <c r="I7" s="3" t="s">
        <v>813</v>
      </c>
      <c r="M7" s="165">
        <v>1</v>
      </c>
    </row>
    <row r="8" spans="1:13" ht="15" customHeight="1" x14ac:dyDescent="0.3">
      <c r="B8" s="22" t="s">
        <v>27</v>
      </c>
      <c r="C8" s="16">
        <v>10</v>
      </c>
      <c r="D8" s="17">
        <v>40100</v>
      </c>
      <c r="E8" s="23">
        <f t="shared" ref="E8:E10" si="0">C8*D8</f>
        <v>401000</v>
      </c>
      <c r="I8" s="182" t="s">
        <v>834</v>
      </c>
    </row>
    <row r="9" spans="1:13" ht="15" customHeight="1" x14ac:dyDescent="0.3">
      <c r="B9" s="22" t="s">
        <v>28</v>
      </c>
      <c r="E9" s="23">
        <f t="shared" si="0"/>
        <v>0</v>
      </c>
      <c r="I9" s="3" t="s">
        <v>670</v>
      </c>
      <c r="J9" s="15">
        <v>4</v>
      </c>
    </row>
    <row r="10" spans="1:13" ht="15" customHeight="1" x14ac:dyDescent="0.3">
      <c r="B10" s="24" t="s">
        <v>29</v>
      </c>
      <c r="C10" s="25"/>
      <c r="D10" s="26"/>
      <c r="E10" s="27">
        <f t="shared" si="0"/>
        <v>0</v>
      </c>
      <c r="I10" s="3" t="s">
        <v>68</v>
      </c>
      <c r="J10" s="15">
        <v>5</v>
      </c>
    </row>
    <row r="11" spans="1:13" ht="15" customHeight="1" x14ac:dyDescent="0.3">
      <c r="D11" s="17">
        <f>SUM(D7:D10)</f>
        <v>41770</v>
      </c>
      <c r="E11" s="17">
        <f>SUM(E7:E10)</f>
        <v>735000</v>
      </c>
      <c r="I11" s="3" t="s">
        <v>40</v>
      </c>
      <c r="J11" s="15">
        <v>6</v>
      </c>
    </row>
    <row r="12" spans="1:13" ht="15" customHeight="1" x14ac:dyDescent="0.3">
      <c r="I12" s="182" t="s">
        <v>833</v>
      </c>
    </row>
    <row r="13" spans="1:13" ht="15" customHeight="1" x14ac:dyDescent="0.3">
      <c r="C13" s="30">
        <v>80</v>
      </c>
      <c r="D13" s="31">
        <f>D11</f>
        <v>41770</v>
      </c>
      <c r="E13" s="32">
        <f t="shared" ref="E13" si="1">C13*D13</f>
        <v>3341600</v>
      </c>
      <c r="I13" s="3" t="s">
        <v>34</v>
      </c>
      <c r="J13" s="15">
        <v>7</v>
      </c>
    </row>
    <row r="14" spans="1:13" ht="15" customHeight="1" x14ac:dyDescent="0.3">
      <c r="I14" s="3" t="s">
        <v>744</v>
      </c>
      <c r="J14" s="15">
        <v>8</v>
      </c>
    </row>
    <row r="15" spans="1:13" ht="15" customHeight="1" x14ac:dyDescent="0.3">
      <c r="I15" s="3" t="s">
        <v>101</v>
      </c>
      <c r="J15" s="15">
        <v>9</v>
      </c>
    </row>
    <row r="16" spans="1:13" ht="15" customHeight="1" x14ac:dyDescent="0.3">
      <c r="B16" s="123" t="s">
        <v>471</v>
      </c>
      <c r="I16" s="3" t="s">
        <v>175</v>
      </c>
      <c r="J16" s="15">
        <v>10</v>
      </c>
    </row>
    <row r="17" spans="3:10" ht="15" customHeight="1" x14ac:dyDescent="0.3">
      <c r="I17" s="3" t="s">
        <v>226</v>
      </c>
      <c r="J17" s="15">
        <v>11</v>
      </c>
    </row>
    <row r="18" spans="3:10" ht="15" customHeight="1" x14ac:dyDescent="0.3">
      <c r="I18" s="3" t="s">
        <v>76</v>
      </c>
      <c r="J18" s="15">
        <v>12</v>
      </c>
    </row>
    <row r="19" spans="3:10" ht="15" customHeight="1" x14ac:dyDescent="0.3">
      <c r="D19" s="17">
        <v>7561414</v>
      </c>
      <c r="E19" s="17">
        <f>D19/11*10</f>
        <v>6874012.7272727266</v>
      </c>
      <c r="I19" s="3" t="s">
        <v>12</v>
      </c>
      <c r="J19" s="15">
        <v>13</v>
      </c>
    </row>
    <row r="20" spans="3:10" ht="15" customHeight="1" x14ac:dyDescent="0.3">
      <c r="D20" s="17">
        <v>17643293</v>
      </c>
      <c r="E20" s="17">
        <f>D20/11*10</f>
        <v>16039357.272727273</v>
      </c>
      <c r="I20" s="3" t="s">
        <v>299</v>
      </c>
      <c r="J20" s="15">
        <v>14</v>
      </c>
    </row>
    <row r="21" spans="3:10" ht="15" customHeight="1" x14ac:dyDescent="0.3">
      <c r="E21" s="17">
        <f>SUM(E19:E20)</f>
        <v>22913370</v>
      </c>
      <c r="I21" s="3" t="s">
        <v>306</v>
      </c>
      <c r="J21" s="15">
        <v>15</v>
      </c>
    </row>
    <row r="22" spans="3:10" ht="15" customHeight="1" x14ac:dyDescent="0.3">
      <c r="I22" s="3" t="s">
        <v>229</v>
      </c>
      <c r="J22" s="15">
        <v>16</v>
      </c>
    </row>
    <row r="23" spans="3:10" ht="15" customHeight="1" x14ac:dyDescent="0.3">
      <c r="I23" s="3" t="s">
        <v>38</v>
      </c>
      <c r="J23" s="15">
        <v>17</v>
      </c>
    </row>
    <row r="24" spans="3:10" ht="15" customHeight="1" x14ac:dyDescent="0.3">
      <c r="I24" s="3" t="s">
        <v>787</v>
      </c>
    </row>
    <row r="25" spans="3:10" ht="15" customHeight="1" x14ac:dyDescent="0.3">
      <c r="E25" s="17">
        <v>6874012.7272727266</v>
      </c>
      <c r="I25" s="3" t="s">
        <v>222</v>
      </c>
      <c r="J25" s="15">
        <v>18</v>
      </c>
    </row>
    <row r="26" spans="3:10" ht="15" customHeight="1" x14ac:dyDescent="0.3">
      <c r="E26" s="17">
        <v>16039357.272727273</v>
      </c>
      <c r="I26" s="3" t="s">
        <v>808</v>
      </c>
    </row>
    <row r="27" spans="3:10" ht="15" customHeight="1" x14ac:dyDescent="0.3">
      <c r="I27" s="3" t="s">
        <v>231</v>
      </c>
      <c r="J27" s="15">
        <v>19</v>
      </c>
    </row>
    <row r="28" spans="3:10" ht="15" customHeight="1" x14ac:dyDescent="0.3">
      <c r="I28" s="3" t="s">
        <v>600</v>
      </c>
      <c r="J28" s="15">
        <v>20</v>
      </c>
    </row>
    <row r="29" spans="3:10" ht="15" customHeight="1" x14ac:dyDescent="0.3">
      <c r="I29" s="3" t="s">
        <v>62</v>
      </c>
      <c r="J29" s="15">
        <v>21</v>
      </c>
    </row>
    <row r="30" spans="3:10" ht="15" customHeight="1" x14ac:dyDescent="0.3">
      <c r="I30" s="3" t="s">
        <v>233</v>
      </c>
      <c r="J30" s="15">
        <v>22</v>
      </c>
    </row>
    <row r="31" spans="3:10" ht="15" customHeight="1" x14ac:dyDescent="0.3">
      <c r="C31" s="81">
        <f>D31/D33</f>
        <v>0.37938067034903139</v>
      </c>
      <c r="D31" s="17">
        <v>16197119</v>
      </c>
      <c r="I31" s="3" t="s">
        <v>333</v>
      </c>
      <c r="J31" s="15">
        <v>23</v>
      </c>
    </row>
    <row r="32" spans="3:10" ht="15" customHeight="1" x14ac:dyDescent="0.3">
      <c r="C32" s="81">
        <f>D32/D33</f>
        <v>0.62061932965096855</v>
      </c>
      <c r="D32" s="17">
        <v>26496461</v>
      </c>
      <c r="I32" s="3" t="s">
        <v>644</v>
      </c>
      <c r="J32" s="15">
        <v>24</v>
      </c>
    </row>
    <row r="33" spans="3:10" ht="15" customHeight="1" x14ac:dyDescent="0.3">
      <c r="C33" s="81">
        <f t="shared" ref="C33" si="2">D33/D35</f>
        <v>8624.9656565656569</v>
      </c>
      <c r="D33" s="17">
        <f>SUM(D31:D32)</f>
        <v>42693580</v>
      </c>
      <c r="I33" s="3" t="s">
        <v>337</v>
      </c>
      <c r="J33" s="15">
        <v>25</v>
      </c>
    </row>
    <row r="34" spans="3:10" ht="15" customHeight="1" x14ac:dyDescent="0.3">
      <c r="I34" s="3" t="s">
        <v>92</v>
      </c>
      <c r="J34" s="15">
        <v>26</v>
      </c>
    </row>
    <row r="35" spans="3:10" ht="15" customHeight="1" x14ac:dyDescent="0.3">
      <c r="D35" s="17">
        <v>4950</v>
      </c>
      <c r="I35" s="3" t="s">
        <v>235</v>
      </c>
      <c r="J35" s="15">
        <v>27</v>
      </c>
    </row>
    <row r="36" spans="3:10" ht="15" customHeight="1" x14ac:dyDescent="0.3">
      <c r="D36" s="17">
        <v>6637950</v>
      </c>
      <c r="I36" s="3" t="s">
        <v>218</v>
      </c>
      <c r="J36" s="15">
        <v>28</v>
      </c>
    </row>
    <row r="37" spans="3:10" ht="15" customHeight="1" x14ac:dyDescent="0.3">
      <c r="D37" s="17">
        <f>D36/D35</f>
        <v>1341</v>
      </c>
      <c r="I37" s="3" t="s">
        <v>147</v>
      </c>
      <c r="J37" s="15">
        <v>29</v>
      </c>
    </row>
    <row r="38" spans="3:10" ht="15" customHeight="1" x14ac:dyDescent="0.3">
      <c r="I38" s="3" t="s">
        <v>224</v>
      </c>
      <c r="J38" s="15">
        <v>30</v>
      </c>
    </row>
    <row r="39" spans="3:10" ht="15" customHeight="1" x14ac:dyDescent="0.3">
      <c r="I39" s="3" t="s">
        <v>690</v>
      </c>
      <c r="J39" s="15">
        <v>31</v>
      </c>
    </row>
    <row r="40" spans="3:10" ht="15" customHeight="1" x14ac:dyDescent="0.3">
      <c r="D40" s="17">
        <v>33521494</v>
      </c>
      <c r="E40" s="17">
        <f>D40/11*10</f>
        <v>30474085.454545453</v>
      </c>
      <c r="I40" s="3" t="s">
        <v>345</v>
      </c>
      <c r="J40" s="15">
        <v>32</v>
      </c>
    </row>
    <row r="41" spans="3:10" ht="15" customHeight="1" x14ac:dyDescent="0.3">
      <c r="E41" s="17">
        <v>24200</v>
      </c>
      <c r="F41" s="15" t="s">
        <v>444</v>
      </c>
      <c r="I41" s="3" t="s">
        <v>494</v>
      </c>
      <c r="J41" s="15">
        <v>33</v>
      </c>
    </row>
    <row r="42" spans="3:10" ht="15" customHeight="1" x14ac:dyDescent="0.3">
      <c r="E42" s="94">
        <f>E40/E41</f>
        <v>1259.2597295266717</v>
      </c>
      <c r="F42" s="15" t="s">
        <v>445</v>
      </c>
      <c r="I42" s="3" t="s">
        <v>341</v>
      </c>
      <c r="J42" s="15">
        <v>34</v>
      </c>
    </row>
    <row r="43" spans="3:10" ht="15" customHeight="1" x14ac:dyDescent="0.3">
      <c r="I43" s="3" t="s">
        <v>11</v>
      </c>
      <c r="J43" s="15">
        <v>35</v>
      </c>
    </row>
    <row r="44" spans="3:10" ht="15" customHeight="1" x14ac:dyDescent="0.3">
      <c r="D44" s="95">
        <v>1259.25973</v>
      </c>
      <c r="I44" s="3" t="s">
        <v>329</v>
      </c>
      <c r="J44" s="15">
        <v>36</v>
      </c>
    </row>
    <row r="45" spans="3:10" ht="15" customHeight="1" x14ac:dyDescent="0.3">
      <c r="D45" s="96">
        <f>E41*D44</f>
        <v>30474085.465999998</v>
      </c>
      <c r="I45" s="3" t="s">
        <v>237</v>
      </c>
      <c r="J45" s="15">
        <v>37</v>
      </c>
    </row>
    <row r="46" spans="3:10" ht="15" customHeight="1" x14ac:dyDescent="0.3">
      <c r="I46"/>
    </row>
    <row r="47" spans="3:10" ht="15" customHeight="1" x14ac:dyDescent="0.3">
      <c r="I47"/>
    </row>
    <row r="48" spans="3:10" ht="15" customHeight="1" x14ac:dyDescent="0.3">
      <c r="I48"/>
    </row>
    <row r="49" spans="3:9" ht="15" customHeight="1" x14ac:dyDescent="0.3">
      <c r="I49"/>
    </row>
    <row r="50" spans="3:9" ht="15" customHeight="1" x14ac:dyDescent="0.3">
      <c r="E50" s="17">
        <v>6637950</v>
      </c>
      <c r="I50"/>
    </row>
    <row r="51" spans="3:9" ht="15" customHeight="1" x14ac:dyDescent="0.3">
      <c r="E51" s="17">
        <v>4950</v>
      </c>
      <c r="F51" s="15" t="s">
        <v>444</v>
      </c>
      <c r="I51"/>
    </row>
    <row r="52" spans="3:9" ht="15" customHeight="1" x14ac:dyDescent="0.3">
      <c r="E52" s="94">
        <f>E50/E51</f>
        <v>1341</v>
      </c>
      <c r="F52" s="15" t="s">
        <v>445</v>
      </c>
      <c r="H52"/>
      <c r="I52"/>
    </row>
    <row r="53" spans="3:9" ht="15" customHeight="1" x14ac:dyDescent="0.3">
      <c r="H53"/>
      <c r="I53"/>
    </row>
    <row r="54" spans="3:9" ht="15" customHeight="1" x14ac:dyDescent="0.3">
      <c r="H54"/>
      <c r="I54"/>
    </row>
    <row r="55" spans="3:9" ht="15" customHeight="1" x14ac:dyDescent="0.3">
      <c r="H55"/>
      <c r="I55"/>
    </row>
    <row r="56" spans="3:9" ht="15" customHeight="1" x14ac:dyDescent="0.3">
      <c r="C56" s="16">
        <v>1</v>
      </c>
      <c r="D56" s="17">
        <v>1132230</v>
      </c>
      <c r="H56"/>
      <c r="I56"/>
    </row>
    <row r="57" spans="3:9" ht="15" customHeight="1" x14ac:dyDescent="0.3">
      <c r="C57" s="16">
        <v>2</v>
      </c>
      <c r="D57" s="17">
        <v>1450690</v>
      </c>
      <c r="H57"/>
      <c r="I57"/>
    </row>
    <row r="58" spans="3:9" ht="15" customHeight="1" x14ac:dyDescent="0.3">
      <c r="C58" s="16">
        <v>3</v>
      </c>
      <c r="D58" s="17">
        <v>116850</v>
      </c>
      <c r="H58"/>
      <c r="I58"/>
    </row>
    <row r="59" spans="3:9" ht="15" customHeight="1" x14ac:dyDescent="0.3">
      <c r="C59" s="16">
        <v>4</v>
      </c>
      <c r="D59" s="17">
        <v>210750</v>
      </c>
      <c r="H59"/>
      <c r="I59"/>
    </row>
    <row r="60" spans="3:9" ht="15" customHeight="1" x14ac:dyDescent="0.3">
      <c r="C60" s="16">
        <v>5</v>
      </c>
      <c r="D60" s="17">
        <v>4034125</v>
      </c>
      <c r="H60"/>
      <c r="I60"/>
    </row>
    <row r="61" spans="3:9" ht="15" customHeight="1" x14ac:dyDescent="0.3">
      <c r="C61" s="16">
        <v>6</v>
      </c>
      <c r="D61" s="17">
        <v>8960700</v>
      </c>
      <c r="H61"/>
      <c r="I61"/>
    </row>
    <row r="62" spans="3:9" ht="15" customHeight="1" x14ac:dyDescent="0.3">
      <c r="C62" s="16" t="s">
        <v>497</v>
      </c>
      <c r="D62" s="17">
        <f>SUM(D56:D61)</f>
        <v>15905345</v>
      </c>
      <c r="H62"/>
      <c r="I62"/>
    </row>
    <row r="63" spans="3:9" ht="15" customHeight="1" x14ac:dyDescent="0.3">
      <c r="H63"/>
      <c r="I63"/>
    </row>
    <row r="64" spans="3:9" ht="15" customHeight="1" x14ac:dyDescent="0.3">
      <c r="H64"/>
      <c r="I64"/>
    </row>
    <row r="65" spans="2:9" ht="15" customHeight="1" x14ac:dyDescent="0.3">
      <c r="H65"/>
      <c r="I65"/>
    </row>
    <row r="66" spans="2:9" ht="15" customHeight="1" x14ac:dyDescent="0.3">
      <c r="H66"/>
      <c r="I66"/>
    </row>
    <row r="67" spans="2:9" ht="15" customHeight="1" x14ac:dyDescent="0.3">
      <c r="B67" s="15" t="s">
        <v>274</v>
      </c>
      <c r="H67"/>
      <c r="I67"/>
    </row>
    <row r="68" spans="2:9" ht="15" customHeight="1" x14ac:dyDescent="0.3">
      <c r="B68" s="15" t="s">
        <v>34</v>
      </c>
      <c r="H68"/>
      <c r="I68"/>
    </row>
    <row r="69" spans="2:9" ht="15" customHeight="1" x14ac:dyDescent="0.3">
      <c r="B69" s="15" t="s">
        <v>12</v>
      </c>
      <c r="H69"/>
      <c r="I69"/>
    </row>
    <row r="70" spans="2:9" ht="15" customHeight="1" x14ac:dyDescent="0.3">
      <c r="B70" s="15" t="s">
        <v>235</v>
      </c>
      <c r="H70"/>
      <c r="I70"/>
    </row>
    <row r="71" spans="2:9" ht="15" customHeight="1" x14ac:dyDescent="0.3">
      <c r="B71" s="15" t="s">
        <v>218</v>
      </c>
      <c r="H71"/>
      <c r="I71"/>
    </row>
    <row r="72" spans="2:9" ht="15" customHeight="1" x14ac:dyDescent="0.3">
      <c r="B72" s="15" t="s">
        <v>596</v>
      </c>
      <c r="H72"/>
      <c r="I72"/>
    </row>
    <row r="73" spans="2:9" ht="15" customHeight="1" x14ac:dyDescent="0.3">
      <c r="B73" s="15" t="s">
        <v>224</v>
      </c>
      <c r="H73"/>
      <c r="I73"/>
    </row>
    <row r="74" spans="2:9" ht="15" customHeight="1" x14ac:dyDescent="0.3">
      <c r="B74" s="15" t="s">
        <v>11</v>
      </c>
      <c r="H74"/>
      <c r="I74"/>
    </row>
    <row r="75" spans="2:9" ht="15" customHeight="1" x14ac:dyDescent="0.3">
      <c r="H75"/>
      <c r="I75"/>
    </row>
    <row r="76" spans="2:9" ht="15" customHeight="1" x14ac:dyDescent="0.3">
      <c r="H76"/>
      <c r="I76"/>
    </row>
    <row r="77" spans="2:9" ht="15" customHeight="1" x14ac:dyDescent="0.3">
      <c r="H77"/>
      <c r="I77"/>
    </row>
    <row r="78" spans="2:9" ht="15" customHeight="1" x14ac:dyDescent="0.3">
      <c r="H78"/>
      <c r="I78"/>
    </row>
    <row r="79" spans="2:9" ht="15" customHeight="1" x14ac:dyDescent="0.3">
      <c r="H79"/>
      <c r="I79"/>
    </row>
    <row r="80" spans="2:9" ht="15" customHeight="1" x14ac:dyDescent="0.3">
      <c r="H80"/>
      <c r="I80"/>
    </row>
    <row r="81" spans="8:9" ht="15" customHeight="1" x14ac:dyDescent="0.3">
      <c r="H81"/>
      <c r="I81"/>
    </row>
    <row r="82" spans="8:9" ht="15" customHeight="1" x14ac:dyDescent="0.3">
      <c r="H82"/>
      <c r="I82"/>
    </row>
    <row r="83" spans="8:9" ht="15" customHeight="1" x14ac:dyDescent="0.3">
      <c r="H83"/>
      <c r="I83"/>
    </row>
    <row r="84" spans="8:9" ht="15" customHeight="1" x14ac:dyDescent="0.3">
      <c r="H84"/>
      <c r="I84"/>
    </row>
    <row r="85" spans="8:9" ht="15" customHeight="1" x14ac:dyDescent="0.3">
      <c r="H85"/>
      <c r="I85"/>
    </row>
    <row r="86" spans="8:9" ht="15" customHeight="1" x14ac:dyDescent="0.3">
      <c r="H86"/>
      <c r="I86"/>
    </row>
    <row r="87" spans="8:9" ht="15" customHeight="1" x14ac:dyDescent="0.3">
      <c r="H87"/>
      <c r="I87"/>
    </row>
    <row r="88" spans="8:9" ht="15" customHeight="1" x14ac:dyDescent="0.3">
      <c r="H88"/>
      <c r="I88"/>
    </row>
    <row r="89" spans="8:9" ht="15" customHeight="1" x14ac:dyDescent="0.3">
      <c r="H89"/>
      <c r="I89"/>
    </row>
    <row r="90" spans="8:9" ht="15" customHeight="1" x14ac:dyDescent="0.3">
      <c r="H90"/>
      <c r="I90"/>
    </row>
    <row r="91" spans="8:9" ht="15" customHeight="1" x14ac:dyDescent="0.3">
      <c r="H91"/>
      <c r="I91"/>
    </row>
    <row r="92" spans="8:9" ht="15" customHeight="1" x14ac:dyDescent="0.3">
      <c r="H92"/>
      <c r="I92"/>
    </row>
    <row r="93" spans="8:9" ht="15" customHeight="1" x14ac:dyDescent="0.3">
      <c r="H93"/>
      <c r="I93"/>
    </row>
    <row r="94" spans="8:9" ht="15" customHeight="1" x14ac:dyDescent="0.3">
      <c r="H94"/>
      <c r="I94"/>
    </row>
    <row r="95" spans="8:9" ht="15" customHeight="1" x14ac:dyDescent="0.3">
      <c r="H95"/>
      <c r="I95"/>
    </row>
    <row r="96" spans="8:9" ht="15" customHeight="1" x14ac:dyDescent="0.3">
      <c r="H96"/>
      <c r="I96"/>
    </row>
    <row r="97" spans="9:9" ht="15" customHeight="1" x14ac:dyDescent="0.3">
      <c r="I97"/>
    </row>
    <row r="98" spans="9:9" ht="15" customHeight="1" x14ac:dyDescent="0.3">
      <c r="I98"/>
    </row>
    <row r="99" spans="9:9" ht="15" customHeight="1" x14ac:dyDescent="0.3">
      <c r="I99"/>
    </row>
    <row r="100" spans="9:9" ht="15" customHeight="1" x14ac:dyDescent="0.3">
      <c r="I100"/>
    </row>
    <row r="101" spans="9:9" ht="15" customHeight="1" x14ac:dyDescent="0.3">
      <c r="I101"/>
    </row>
    <row r="102" spans="9:9" ht="15" customHeight="1" x14ac:dyDescent="0.3">
      <c r="I102"/>
    </row>
    <row r="103" spans="9:9" ht="15" customHeight="1" x14ac:dyDescent="0.3">
      <c r="I103"/>
    </row>
    <row r="104" spans="9:9" ht="15" customHeight="1" x14ac:dyDescent="0.3">
      <c r="I104"/>
    </row>
    <row r="105" spans="9:9" ht="15" customHeight="1" x14ac:dyDescent="0.3">
      <c r="I105"/>
    </row>
    <row r="106" spans="9:9" ht="15" customHeight="1" x14ac:dyDescent="0.3">
      <c r="I106"/>
    </row>
    <row r="107" spans="9:9" ht="15" customHeight="1" x14ac:dyDescent="0.3">
      <c r="I107"/>
    </row>
    <row r="108" spans="9:9" ht="15" customHeight="1" x14ac:dyDescent="0.3">
      <c r="I108"/>
    </row>
    <row r="109" spans="9:9" ht="15" customHeight="1" x14ac:dyDescent="0.3">
      <c r="I109"/>
    </row>
    <row r="110" spans="9:9" ht="15" customHeight="1" x14ac:dyDescent="0.3">
      <c r="I110"/>
    </row>
    <row r="111" spans="9:9" ht="15" customHeight="1" x14ac:dyDescent="0.3">
      <c r="I111"/>
    </row>
    <row r="112" spans="9:9" ht="15" customHeight="1" x14ac:dyDescent="0.3">
      <c r="I112"/>
    </row>
    <row r="113" spans="9:9" ht="15" customHeight="1" x14ac:dyDescent="0.3">
      <c r="I113"/>
    </row>
    <row r="114" spans="9:9" ht="15" customHeight="1" x14ac:dyDescent="0.3">
      <c r="I114"/>
    </row>
    <row r="115" spans="9:9" ht="15" customHeight="1" x14ac:dyDescent="0.3">
      <c r="I115"/>
    </row>
    <row r="116" spans="9:9" ht="15" customHeight="1" x14ac:dyDescent="0.3">
      <c r="I116"/>
    </row>
    <row r="117" spans="9:9" ht="15" customHeight="1" x14ac:dyDescent="0.3">
      <c r="I117"/>
    </row>
    <row r="118" spans="9:9" ht="15" customHeight="1" x14ac:dyDescent="0.3">
      <c r="I118"/>
    </row>
    <row r="119" spans="9:9" ht="15" customHeight="1" x14ac:dyDescent="0.3">
      <c r="I119"/>
    </row>
    <row r="120" spans="9:9" ht="15" customHeight="1" x14ac:dyDescent="0.3">
      <c r="I120"/>
    </row>
    <row r="121" spans="9:9" ht="15" customHeight="1" x14ac:dyDescent="0.3">
      <c r="I121"/>
    </row>
    <row r="122" spans="9:9" ht="15" customHeight="1" x14ac:dyDescent="0.3">
      <c r="I122"/>
    </row>
    <row r="123" spans="9:9" ht="15" customHeight="1" x14ac:dyDescent="0.3">
      <c r="I123" s="3"/>
    </row>
    <row r="124" spans="9:9" ht="15" customHeight="1" x14ac:dyDescent="0.3">
      <c r="I124" s="3" t="s">
        <v>12</v>
      </c>
    </row>
    <row r="125" spans="9:9" ht="15" customHeight="1" x14ac:dyDescent="0.3">
      <c r="I125" s="3" t="s">
        <v>11</v>
      </c>
    </row>
    <row r="126" spans="9:9" ht="15" customHeight="1" x14ac:dyDescent="0.3">
      <c r="I126" s="3"/>
    </row>
    <row r="127" spans="9:9" ht="15" customHeight="1" x14ac:dyDescent="0.3">
      <c r="I127" s="3"/>
    </row>
    <row r="128" spans="9:9" ht="15" customHeight="1" x14ac:dyDescent="0.3">
      <c r="I128" s="3"/>
    </row>
    <row r="129" spans="9:9" ht="15" customHeight="1" x14ac:dyDescent="0.3">
      <c r="I129" s="3"/>
    </row>
    <row r="130" spans="9:9" ht="15" customHeight="1" x14ac:dyDescent="0.3">
      <c r="I130" s="3"/>
    </row>
    <row r="131" spans="9:9" ht="15" customHeight="1" x14ac:dyDescent="0.3">
      <c r="I131" s="3"/>
    </row>
    <row r="132" spans="9:9" ht="15" customHeight="1" x14ac:dyDescent="0.3">
      <c r="I132" s="3"/>
    </row>
    <row r="133" spans="9:9" ht="15" customHeight="1" x14ac:dyDescent="0.3">
      <c r="I133" s="3"/>
    </row>
    <row r="134" spans="9:9" ht="15" customHeight="1" x14ac:dyDescent="0.3">
      <c r="I134" s="3"/>
    </row>
    <row r="135" spans="9:9" ht="15" customHeight="1" x14ac:dyDescent="0.3">
      <c r="I135" s="3"/>
    </row>
    <row r="136" spans="9:9" ht="15" customHeight="1" x14ac:dyDescent="0.3">
      <c r="I136" s="3"/>
    </row>
    <row r="137" spans="9:9" ht="15" customHeight="1" x14ac:dyDescent="0.3">
      <c r="I137" s="3"/>
    </row>
    <row r="138" spans="9:9" ht="15" customHeight="1" x14ac:dyDescent="0.3">
      <c r="I138" s="3"/>
    </row>
    <row r="139" spans="9:9" ht="15" customHeight="1" x14ac:dyDescent="0.3">
      <c r="I139" s="3"/>
    </row>
    <row r="140" spans="9:9" ht="15" customHeight="1" x14ac:dyDescent="0.3">
      <c r="I140" s="3"/>
    </row>
    <row r="141" spans="9:9" ht="15" customHeight="1" x14ac:dyDescent="0.3">
      <c r="I141" s="3"/>
    </row>
    <row r="142" spans="9:9" ht="15" customHeight="1" x14ac:dyDescent="0.3">
      <c r="I142" s="3"/>
    </row>
    <row r="143" spans="9:9" ht="15" customHeight="1" x14ac:dyDescent="0.3">
      <c r="I143" s="3"/>
    </row>
    <row r="144" spans="9:9" ht="15" customHeight="1" x14ac:dyDescent="0.3">
      <c r="I144" s="3"/>
    </row>
    <row r="145" spans="9:9" ht="15" customHeight="1" x14ac:dyDescent="0.3">
      <c r="I145" s="3"/>
    </row>
    <row r="146" spans="9:9" ht="15" customHeight="1" thickBot="1" x14ac:dyDescent="0.35">
      <c r="I146" s="57"/>
    </row>
    <row r="154" spans="9:9" ht="15" customHeight="1" x14ac:dyDescent="0.3">
      <c r="I154" s="54"/>
    </row>
  </sheetData>
  <autoFilter ref="I3:J41" xr:uid="{A855C86E-9FC9-4734-98E4-578F2FA3E365}">
    <sortState xmlns:xlrd2="http://schemas.microsoft.com/office/spreadsheetml/2017/richdata2" ref="I4:J45">
      <sortCondition ref="I3:I41"/>
    </sortState>
  </autoFilter>
  <phoneticPr fontId="1" type="noConversion"/>
  <conditionalFormatting sqref="I123:I145 I4:I45">
    <cfRule type="expression" dxfId="4" priority="1">
      <formula>$J4="선금지급"</formula>
    </cfRule>
    <cfRule type="expression" dxfId="3" priority="2">
      <formula>$J4="결제완료"</formula>
    </cfRule>
    <cfRule type="expression" dxfId="2" priority="3">
      <formula>$J4="입고완료"</formula>
    </cfRule>
    <cfRule type="expression" dxfId="1" priority="4">
      <formula>$J4="발주완료"</formula>
    </cfRule>
    <cfRule type="expression" dxfId="0" priority="5">
      <formula>$J4="발주취소"</formula>
    </cfRule>
  </conditionalFormatting>
  <hyperlinks>
    <hyperlink ref="B16" r:id="rId1" xr:uid="{686EC3EC-FBD7-40EF-994A-646DC3C841D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요약</vt:lpstr>
      <vt:lpstr>구매 입고 현황</vt:lpstr>
      <vt:lpstr>참고</vt:lpstr>
      <vt:lpstr>'구매 입고 현황'!Print_Area</vt:lpstr>
      <vt:lpstr>요약!Print_Area</vt:lpstr>
      <vt:lpstr>'구매 입고 현황'!Print_Titles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LEEDJ</cp:lastModifiedBy>
  <cp:lastPrinted>2025-02-11T09:07:44Z</cp:lastPrinted>
  <dcterms:created xsi:type="dcterms:W3CDTF">2024-11-07T04:10:19Z</dcterms:created>
  <dcterms:modified xsi:type="dcterms:W3CDTF">2025-11-11T02:04:10Z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2025-04-15T12:11:00Z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f3b76722-dcb3-4d0e-8f61-bbd49d27c56d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
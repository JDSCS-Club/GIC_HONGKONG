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기획조정실 진행사항\1_수주현황 상세\2025년\"/>
    </mc:Choice>
  </mc:AlternateContent>
  <xr:revisionPtr revIDLastSave="0" documentId="13_ncr:1_{E8FF5261-5F02-4940-A5BF-8BD192A8D716}" xr6:coauthVersionLast="47" xr6:coauthVersionMax="47" xr10:uidLastSave="{00000000-0000-0000-0000-000000000000}"/>
  <bookViews>
    <workbookView xWindow="28680" yWindow="-120" windowWidth="29040" windowHeight="15840" tabRatio="948" activeTab="1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2" l="1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I8" i="1"/>
  <c r="W6" i="12"/>
  <c r="Q4" i="13"/>
  <c r="P4" i="13"/>
  <c r="Q5" i="8"/>
  <c r="Q4" i="8"/>
  <c r="Q6" i="12"/>
  <c r="Q5" i="12"/>
  <c r="Q4" i="12"/>
  <c r="Q7" i="5"/>
  <c r="Q6" i="5"/>
  <c r="Q4" i="5"/>
  <c r="H7" i="4"/>
  <c r="J7" i="4"/>
  <c r="K7" i="4"/>
  <c r="H6" i="12"/>
  <c r="H4" i="12"/>
  <c r="W5" i="8"/>
  <c r="W6" i="5"/>
  <c r="W4" i="5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0" i="5"/>
  <c r="V30" i="5"/>
  <c r="U30" i="5"/>
  <c r="T30" i="5"/>
  <c r="G5" i="1" s="1"/>
  <c r="S30" i="5"/>
  <c r="F5" i="1" s="1"/>
  <c r="R30" i="5"/>
  <c r="Q30" i="5"/>
  <c r="J5" i="1" s="1"/>
  <c r="P30" i="5"/>
  <c r="I5" i="1" s="1"/>
  <c r="O30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<sst xmlns="http://schemas.openxmlformats.org/spreadsheetml/2006/main" count="407" uniqueCount="176">
  <si>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</si>
  <si>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</si>
  <si>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</si>
  <si>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</si>
  <si>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</si>
  <si>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</si>
  <si>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</si>
  <si>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</si>
  <si>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</si>
  <si>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</si>
  <si>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</si>
  <si>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</si>
  <si>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</si>
  <si>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</si>
  <si>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</si>
  <si>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</si>
  <si>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</si>
  <si>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</si>
  <si>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</si>
  <si>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</si>
  <si>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</si>
  <si>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</si>
  <si>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</si>
  <si>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</si>
  <si>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</si>
  <si>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</si>
  <si>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</si>
  <si>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</si>
  <si>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</si>
  <si>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</si>
  <si>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</si>
  <si>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</si>
  <si>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</si>
  <si>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</si>
  <si>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</si>
  <si>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</si>
  <si>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</si>
  <si>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</si>
  <si>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</si>
  <si>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</si>
  <si>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</si>
  <si>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</si>
  <si>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</si>
  <si>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</si>
  <si>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</si>
  <si>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</si>
  <si>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</si>
  <si>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</si>
  <si>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</si>
  <si>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</si>
  <si>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</si>
  <si>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</si>
  <si>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</si>
  <si>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</si>
  <si>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</si>
  <si>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</si>
  <si>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</si>
  <si>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</si>
  <si>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</si>
  <si>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</si>
  <si>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</si>
  <si>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</si>
  <si>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</si>
  <si>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</si>
  <si>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</si>
  <si>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</si>
  <si>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</si>
  <si>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</si>
  <si>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</si>
  <si>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</si>
  <si>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</si>
  <si>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</si>
  <si>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</si>
  <si>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</si>
  <si>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</si>
  <si>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</si>
  <si>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</si>
  <si>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</si>
  <si>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</si>
  <si>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</si>
  <si>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</si>
  <si>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</si>
  <si>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</si>
  <si>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</si>
  <si>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</si>
  <si>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</si>
  <si>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</si>
  <si>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</si>
  <si>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</si>
  <si>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</si>
  <si>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</si>
  <si>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</si>
  <si>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</si>
  <si>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</si>
  <si>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</si>
  <si>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</si>
  <si>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</si>
  <si>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</si>
  <si>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</si>
  <si>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</si>
  <si>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</si>
  <si>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</si>
  <si>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</si>
  <si>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</si>
  <si>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</si>
  <si>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</si>
  <si>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</si>
  <si>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</si>
  <si>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</si>
  <si>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</si>
  <si>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</si>
  <si>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</si>
  <si>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</si>
  <si>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</si>
  <si>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</si>
  <si>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</si>
  <si>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</si>
  <si>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</si>
  <si>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</si>
  <si>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</si>
  <si>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</si>
  <si>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</si>
  <si>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</si>
  <si>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</si>
  <si>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</si>
  <si>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</si>
  <si>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인도네시아</t>
  </si>
  <si>
    <t>튀르키예</t>
  </si>
  <si>
    <t>마르마라이 전동차 OPERATION PANEL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</si>
  <si>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</si>
  <si>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</si>
  <si>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</si>
  <si>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</si>
  <si>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</si>
  <si>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</si>
  <si>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</si>
  <si>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</si>
  <si>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</si>
  <si>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</si>
  <si>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</si>
  <si>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</si>
  <si>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</si>
  <si>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</si>
  <si>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</si>
  <si>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</si>
  <si>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</si>
  <si>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</si>
  <si>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</si>
  <si>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</si>
  <si>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</si>
  <si>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</si>
  <si>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</si>
  <si>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</si>
  <si>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</si>
  <si>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</si>
  <si>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</si>
  <si>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</si>
  <si>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</si>
  <si>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</si>
  <si>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</si>
  <si>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</si>
  <si>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</si>
  <si>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20250211-01_rev.4</t>
    <phoneticPr fontId="3" type="noConversion"/>
  </si>
  <si>
    <t>OS02</t>
    <phoneticPr fontId="3" type="noConversion"/>
  </si>
  <si>
    <t>250930 PO 수신</t>
    <phoneticPr fontId="3" type="noConversion"/>
  </si>
  <si>
    <t>자카르타 경전철 CCTV 대체품</t>
    <phoneticPr fontId="3" type="noConversion"/>
  </si>
  <si>
    <t>자카르타 경전철 CTM 대체품</t>
    <phoneticPr fontId="3" type="noConversion"/>
  </si>
  <si>
    <t>자카르타 경전철 얘비품_DRM 등</t>
    <phoneticPr fontId="3" type="noConversion"/>
  </si>
  <si>
    <t>자카르타 경전철 예비품_MVB Board</t>
  </si>
  <si>
    <t>LRT 파워 노이즈 필터</t>
  </si>
  <si>
    <t>MRT PID 보드 개발</t>
  </si>
  <si>
    <t>수주 실패 / 12월 9일, 우진산전에서 수주했다는 정보가 입수되었음</t>
    <phoneticPr fontId="3" type="noConversion"/>
  </si>
  <si>
    <t>자기부상열차 PAPIS</t>
  </si>
  <si>
    <t>시행청 : 인천국제공항공사 / 2026년 예산 반영 예상</t>
    <phoneticPr fontId="3" type="noConversion"/>
  </si>
  <si>
    <t>2025년 12월 4일 [7호선 3차분 TCMS 개조] 계약 해지 (잔여 수주금액 제외)</t>
    <phoneticPr fontId="3" type="noConversion"/>
  </si>
  <si>
    <r>
      <t xml:space="preserve">2024년 수주 이월 /
250910 중도금 30%(\81,000,000) 입금 완료
</t>
    </r>
    <r>
      <rPr>
        <b/>
        <sz val="11"/>
        <color rgb="FFFF0000"/>
        <rFont val="맑은 고딕"/>
        <family val="3"/>
        <charset val="129"/>
        <scheme val="minor"/>
      </rPr>
      <t>251204 계약 해지 (잔여 수주금액 제외)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</si>
</sst>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9" t="s">
        <v>75</v>
      </c>
      <c r="F2" s="84"/>
      <c r="G2" s="85"/>
      <c r="H2" s="84" t="s">
        <v>79</v>
      </c>
      <c r="I2" s="84"/>
      <c r="J2" s="84"/>
      <c r="K2" s="84"/>
      <c r="L2" s="84"/>
      <c r="M2" s="80"/>
    </row>
    <row r="3" spans="2:14">
      <c r="B3" s="62" t="s">
        <v>73</v>
      </c>
      <c r="C3" s="86" t="s">
        <v>74</v>
      </c>
      <c r="D3" s="80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9" t="s">
        <v>80</v>
      </c>
      <c r="D4" s="80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>
      <c r="B5" s="44">
        <v>2</v>
      </c>
      <c r="C5" s="79" t="s">
        <v>55</v>
      </c>
      <c r="D5" s="80"/>
      <c r="E5" s="49">
        <f>SUM(F5:G5)</f>
        <v>3275099490</v>
      </c>
      <c r="F5" s="38">
        <f>'2.현대로템'!S30</f>
        <v>314674040</v>
      </c>
      <c r="G5" s="41">
        <f>'2.현대로템'!T30</f>
        <v>2960425450</v>
      </c>
      <c r="H5" s="45">
        <f>'2.현대로템'!O30</f>
        <v>314674040</v>
      </c>
      <c r="I5" s="46">
        <f>'2.현대로템'!P30</f>
        <v>19883340</v>
      </c>
      <c r="J5" s="47">
        <f>'2.현대로템'!Q30</f>
        <v>294790700</v>
      </c>
      <c r="K5" s="42">
        <f>H5/E5</f>
        <v>9.6080757534483321E-2</v>
      </c>
      <c r="L5" s="43"/>
      <c r="M5" s="43"/>
      <c r="N5" s="67"/>
    </row>
    <row r="6" spans="2:14">
      <c r="B6" s="44">
        <v>3</v>
      </c>
      <c r="C6" s="79" t="s">
        <v>72</v>
      </c>
      <c r="D6" s="80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53524209</v>
      </c>
      <c r="J6" s="47">
        <f>'3.인터모빌리티'!Q34</f>
        <v>18312700</v>
      </c>
      <c r="K6" s="42">
        <f>H6/E6</f>
        <v>1</v>
      </c>
      <c r="L6" s="43"/>
      <c r="M6" s="43"/>
      <c r="N6" s="68"/>
    </row>
    <row r="7" spans="2:14">
      <c r="B7" s="44">
        <v>4</v>
      </c>
      <c r="C7" s="79" t="s">
        <v>61</v>
      </c>
      <c r="D7" s="80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179000000</v>
      </c>
      <c r="I7" s="46">
        <f>'4.다원시스'!P34</f>
        <v>123000000</v>
      </c>
      <c r="J7" s="47">
        <f>'4.다원시스'!Q34</f>
        <v>56000000</v>
      </c>
      <c r="K7" s="42">
        <f>H7/E7</f>
        <v>0.35055184802150896</v>
      </c>
      <c r="L7" s="43"/>
      <c r="M7" s="43"/>
      <c r="N7" s="78" t="s">
        <v>174</v>
      </c>
    </row>
    <row r="8" spans="2:14">
      <c r="B8" s="44">
        <v>5</v>
      </c>
      <c r="C8" s="79" t="s">
        <v>94</v>
      </c>
      <c r="D8" s="80"/>
      <c r="E8" s="49">
        <f t="shared" ref="E8:E20" si="0">SUM(F8:G8)</f>
        <v>261187000</v>
      </c>
      <c r="F8" s="38">
        <f>'5.서울교통공사'!S34</f>
        <v>2807000</v>
      </c>
      <c r="G8" s="41">
        <f>'5.서울교통공사'!T34</f>
        <v>258380000</v>
      </c>
      <c r="H8" s="45">
        <f>'5.서울교통공사'!O34</f>
        <v>4007000</v>
      </c>
      <c r="I8" s="46">
        <f>'5.서울교통공사'!P34</f>
        <v>4007000</v>
      </c>
      <c r="J8" s="47">
        <f>'5.서울교통공사'!Q34</f>
        <v>0</v>
      </c>
      <c r="K8" s="42">
        <f t="shared" ref="K8:K20" si="1">H8/E8</f>
        <v>1.5341498619762852E-2</v>
      </c>
      <c r="L8" s="43"/>
      <c r="M8" s="43"/>
      <c r="N8" s="56"/>
    </row>
    <row r="9" spans="2:14">
      <c r="B9" s="44">
        <v>6</v>
      </c>
      <c r="C9" s="79" t="s">
        <v>121</v>
      </c>
      <c r="D9" s="80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>
      <c r="B10" s="44">
        <v>7</v>
      </c>
      <c r="C10" s="79" t="s">
        <v>86</v>
      </c>
      <c r="D10" s="80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30791000</v>
      </c>
      <c r="I10" s="45">
        <f>'7.GMTECH'!P34</f>
        <v>6158200</v>
      </c>
      <c r="J10" s="47">
        <f>'7.GMTECH'!Q34</f>
        <v>24632800</v>
      </c>
      <c r="K10" s="42">
        <f>H10/E10</f>
        <v>1</v>
      </c>
      <c r="L10" s="43"/>
      <c r="M10" s="43"/>
      <c r="N10" s="9"/>
    </row>
    <row r="11" spans="2:14">
      <c r="B11" s="62" t="s">
        <v>132</v>
      </c>
      <c r="C11" s="81" t="s">
        <v>107</v>
      </c>
      <c r="D11" s="44" t="s">
        <v>120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>
      <c r="B12" s="62" t="s">
        <v>133</v>
      </c>
      <c r="C12" s="82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134</v>
      </c>
      <c r="C13" s="82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135</v>
      </c>
      <c r="C14" s="82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136</v>
      </c>
      <c r="C15" s="82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137</v>
      </c>
      <c r="C16" s="82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138</v>
      </c>
      <c r="C17" s="82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139</v>
      </c>
      <c r="C18" s="83"/>
      <c r="D18" s="44" t="s">
        <v>118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5000832541.6999998</v>
      </c>
      <c r="F20" s="38">
        <f>SUM(F4:F19)</f>
        <v>1102344624.6999998</v>
      </c>
      <c r="G20" s="41">
        <f>SUM(G4:G19)</f>
        <v>3898487917</v>
      </c>
      <c r="H20" s="45">
        <f>SUM(H4:H19)</f>
        <v>995544624.70000005</v>
      </c>
      <c r="I20" s="46">
        <f>SUM(I4:I19)</f>
        <v>601808424.70000005</v>
      </c>
      <c r="J20" s="47">
        <f>SUM(J4:J19)</f>
        <v>393736200</v>
      </c>
      <c r="K20" s="42">
        <f t="shared" si="1"/>
        <v>0.19907577716281044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tabSelected="1"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P4</f>
        <v>245497525</v>
      </c>
      <c r="X4" s="9" t="s">
        <v>149</v>
      </c>
    </row>
    <row r="5" spans="2:24" s="14" customFormat="1" ht="33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P5</f>
        <v>13983023.1</v>
      </c>
      <c r="X5" s="88" t="s">
        <v>155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9" si="0">P6</f>
        <v>10164755.4</v>
      </c>
      <c r="X6" s="89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9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9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9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9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9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9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9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9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9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90"/>
    </row>
    <row r="17" spans="2:24" s="14" customFormat="1" ht="33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f t="shared" si="0"/>
        <v>8188800</v>
      </c>
      <c r="X17" s="88" t="s">
        <v>140</v>
      </c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f t="shared" si="0"/>
        <v>12435200</v>
      </c>
      <c r="X18" s="89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f t="shared" si="0"/>
        <v>23809600</v>
      </c>
      <c r="X19" s="90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395235675.69999999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43" style="2" bestFit="1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64.37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f>O4-P4</f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153</v>
      </c>
    </row>
    <row r="5" spans="1:24" s="14" customFormat="1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3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f>O6-P6</f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154</v>
      </c>
    </row>
    <row r="7" spans="1:24" s="14" customFormat="1" ht="33">
      <c r="B7" s="8">
        <v>4</v>
      </c>
      <c r="C7" s="9" t="s">
        <v>56</v>
      </c>
      <c r="D7" s="8" t="s">
        <v>104</v>
      </c>
      <c r="E7" s="9" t="s">
        <v>158</v>
      </c>
      <c r="F7" s="9"/>
      <c r="G7" s="51">
        <v>45910</v>
      </c>
      <c r="H7" s="52">
        <v>45930</v>
      </c>
      <c r="I7" s="9"/>
      <c r="J7" s="8"/>
      <c r="K7" s="10"/>
      <c r="L7" s="10"/>
      <c r="M7" s="9" t="s">
        <v>112</v>
      </c>
      <c r="N7" s="9"/>
      <c r="O7" s="11">
        <v>294790700</v>
      </c>
      <c r="P7" s="11">
        <v>0</v>
      </c>
      <c r="Q7" s="15">
        <f>O7-P7</f>
        <v>294790700</v>
      </c>
      <c r="R7" s="11">
        <v>294790700</v>
      </c>
      <c r="S7" s="11">
        <v>294790700</v>
      </c>
      <c r="T7" s="11"/>
      <c r="U7" s="11"/>
      <c r="V7" s="11"/>
      <c r="W7" s="11">
        <v>0</v>
      </c>
      <c r="X7" s="9" t="s">
        <v>164</v>
      </c>
    </row>
    <row r="8" spans="1:24" s="14" customFormat="1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45917</v>
      </c>
      <c r="H8" s="51">
        <v>45930</v>
      </c>
      <c r="I8" s="69"/>
      <c r="J8" s="51"/>
      <c r="K8" s="18"/>
      <c r="L8" s="18"/>
      <c r="M8" s="48" t="s">
        <v>157</v>
      </c>
      <c r="N8" s="17"/>
      <c r="O8" s="11"/>
      <c r="P8" s="11"/>
      <c r="Q8" s="26"/>
      <c r="R8" s="53">
        <v>26842450</v>
      </c>
      <c r="S8" s="53"/>
      <c r="T8" s="53">
        <v>26842450</v>
      </c>
      <c r="U8" s="13"/>
      <c r="V8" s="13"/>
      <c r="W8" s="19"/>
      <c r="X8" s="48" t="s">
        <v>161</v>
      </c>
    </row>
    <row r="9" spans="1:24" s="14" customFormat="1">
      <c r="A9" s="1"/>
      <c r="B9" s="16">
        <v>6</v>
      </c>
      <c r="C9" s="17" t="s">
        <v>56</v>
      </c>
      <c r="D9" s="16" t="s">
        <v>126</v>
      </c>
      <c r="E9" s="17"/>
      <c r="F9" s="17"/>
      <c r="G9" s="16"/>
      <c r="H9" s="18"/>
      <c r="I9" s="17"/>
      <c r="J9" s="16"/>
      <c r="K9" s="18"/>
      <c r="L9" s="18"/>
      <c r="M9" s="74" t="s">
        <v>146</v>
      </c>
      <c r="N9" s="17"/>
      <c r="O9" s="13"/>
      <c r="P9" s="11"/>
      <c r="Q9" s="15"/>
      <c r="R9" s="15">
        <v>97470000</v>
      </c>
      <c r="S9" s="15"/>
      <c r="T9" s="15">
        <v>97470000</v>
      </c>
      <c r="U9" s="13"/>
      <c r="V9" s="13"/>
      <c r="W9" s="19"/>
      <c r="X9" s="74"/>
    </row>
    <row r="10" spans="1:24" s="14" customFormat="1">
      <c r="B10" s="16">
        <v>7</v>
      </c>
      <c r="C10" s="17" t="s">
        <v>56</v>
      </c>
      <c r="D10" s="16" t="s">
        <v>126</v>
      </c>
      <c r="E10" s="17"/>
      <c r="F10" s="17"/>
      <c r="G10" s="16"/>
      <c r="H10" s="18"/>
      <c r="I10" s="17"/>
      <c r="J10" s="16"/>
      <c r="K10" s="18"/>
      <c r="L10" s="18"/>
      <c r="M10" s="74" t="s">
        <v>141</v>
      </c>
      <c r="N10" s="17"/>
      <c r="O10" s="13"/>
      <c r="P10" s="11"/>
      <c r="Q10" s="15"/>
      <c r="R10" s="15">
        <v>695290000</v>
      </c>
      <c r="S10" s="15"/>
      <c r="T10" s="15">
        <v>695290000</v>
      </c>
      <c r="U10" s="13"/>
      <c r="V10" s="13"/>
      <c r="W10" s="19"/>
      <c r="X10" s="74"/>
    </row>
    <row r="11" spans="1:24" s="14" customFormat="1">
      <c r="B11" s="16">
        <v>8</v>
      </c>
      <c r="C11" s="17" t="s">
        <v>56</v>
      </c>
      <c r="D11" s="16" t="s">
        <v>126</v>
      </c>
      <c r="E11" s="17"/>
      <c r="F11" s="17"/>
      <c r="G11" s="16"/>
      <c r="H11" s="18"/>
      <c r="I11" s="17"/>
      <c r="J11" s="16"/>
      <c r="K11" s="18"/>
      <c r="L11" s="18"/>
      <c r="M11" s="74" t="s">
        <v>165</v>
      </c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>
        <v>9</v>
      </c>
      <c r="C12" s="17" t="s">
        <v>56</v>
      </c>
      <c r="D12" s="16" t="s">
        <v>126</v>
      </c>
      <c r="E12" s="17"/>
      <c r="F12" s="17"/>
      <c r="G12" s="66">
        <v>45944</v>
      </c>
      <c r="H12" s="18"/>
      <c r="I12" s="17"/>
      <c r="J12" s="16"/>
      <c r="K12" s="18"/>
      <c r="L12" s="18"/>
      <c r="M12" s="74" t="s">
        <v>166</v>
      </c>
      <c r="N12" s="17"/>
      <c r="O12" s="13"/>
      <c r="P12" s="11"/>
      <c r="Q12" s="15"/>
      <c r="R12" s="15">
        <v>64440000</v>
      </c>
      <c r="S12" s="15"/>
      <c r="T12" s="15">
        <v>64440000</v>
      </c>
      <c r="U12" s="13"/>
      <c r="V12" s="13"/>
      <c r="W12" s="19"/>
      <c r="X12" s="17"/>
    </row>
    <row r="13" spans="1:24" s="14" customFormat="1">
      <c r="B13" s="16">
        <v>10</v>
      </c>
      <c r="C13" s="17" t="s">
        <v>56</v>
      </c>
      <c r="D13" s="16" t="s">
        <v>126</v>
      </c>
      <c r="E13" s="17"/>
      <c r="F13" s="17"/>
      <c r="G13" s="16"/>
      <c r="H13" s="18"/>
      <c r="I13" s="17"/>
      <c r="J13" s="16"/>
      <c r="K13" s="18"/>
      <c r="L13" s="18"/>
      <c r="M13" s="74" t="s">
        <v>167</v>
      </c>
      <c r="N13" s="17"/>
      <c r="O13" s="13"/>
      <c r="P13" s="11"/>
      <c r="Q13" s="15"/>
      <c r="R13" s="15">
        <v>31310000</v>
      </c>
      <c r="S13" s="13"/>
      <c r="T13" s="15">
        <v>31310000</v>
      </c>
      <c r="U13" s="13"/>
      <c r="V13" s="13"/>
      <c r="W13" s="19"/>
      <c r="X13" s="54"/>
    </row>
    <row r="14" spans="1:24" s="14" customFormat="1">
      <c r="B14" s="16">
        <v>11</v>
      </c>
      <c r="C14" s="17" t="s">
        <v>56</v>
      </c>
      <c r="D14" s="16" t="s">
        <v>127</v>
      </c>
      <c r="E14" s="72"/>
      <c r="F14" s="72"/>
      <c r="G14" s="66"/>
      <c r="H14" s="73"/>
      <c r="I14" s="72"/>
      <c r="J14" s="71"/>
      <c r="K14" s="73"/>
      <c r="L14" s="73"/>
      <c r="M14" s="74" t="s">
        <v>168</v>
      </c>
      <c r="N14" s="17"/>
      <c r="O14" s="13"/>
      <c r="P14" s="11"/>
      <c r="Q14" s="15"/>
      <c r="R14" s="15">
        <v>13165000</v>
      </c>
      <c r="S14" s="15"/>
      <c r="T14" s="15">
        <v>13165000</v>
      </c>
      <c r="U14" s="13"/>
      <c r="V14" s="13"/>
      <c r="W14" s="19"/>
      <c r="X14" s="54"/>
    </row>
    <row r="15" spans="1:24" s="14" customFormat="1">
      <c r="B15" s="16">
        <v>12</v>
      </c>
      <c r="C15" s="17" t="s">
        <v>56</v>
      </c>
      <c r="D15" s="16" t="s">
        <v>127</v>
      </c>
      <c r="E15" s="72"/>
      <c r="F15" s="72"/>
      <c r="G15" s="66">
        <v>45944</v>
      </c>
      <c r="H15" s="73"/>
      <c r="I15" s="72"/>
      <c r="J15" s="71"/>
      <c r="K15" s="73"/>
      <c r="L15" s="73"/>
      <c r="M15" s="74" t="s">
        <v>128</v>
      </c>
      <c r="N15" s="17"/>
      <c r="O15" s="13"/>
      <c r="P15" s="11"/>
      <c r="Q15" s="15"/>
      <c r="R15" s="15">
        <v>179400000</v>
      </c>
      <c r="S15" s="15"/>
      <c r="T15" s="15">
        <v>179400000</v>
      </c>
      <c r="U15" s="13"/>
      <c r="V15" s="13"/>
      <c r="W15" s="19"/>
      <c r="X15" s="17"/>
    </row>
    <row r="16" spans="1:24" s="14" customFormat="1">
      <c r="B16" s="16">
        <v>13</v>
      </c>
      <c r="C16" s="17" t="s">
        <v>56</v>
      </c>
      <c r="D16" s="16" t="s">
        <v>105</v>
      </c>
      <c r="E16" s="17"/>
      <c r="F16" s="17"/>
      <c r="G16" s="57">
        <v>45972</v>
      </c>
      <c r="H16" s="59"/>
      <c r="I16" s="48"/>
      <c r="J16" s="54"/>
      <c r="K16" s="59"/>
      <c r="L16" s="59"/>
      <c r="M16" s="48" t="s">
        <v>169</v>
      </c>
      <c r="N16" s="17"/>
      <c r="O16" s="13"/>
      <c r="P16" s="11"/>
      <c r="Q16" s="15"/>
      <c r="R16" s="53">
        <v>222920000</v>
      </c>
      <c r="S16" s="53"/>
      <c r="T16" s="53">
        <v>222920000</v>
      </c>
      <c r="U16" s="13"/>
      <c r="V16" s="13"/>
      <c r="W16" s="19"/>
      <c r="X16" s="48" t="s">
        <v>171</v>
      </c>
    </row>
    <row r="17" spans="2:24" s="14" customFormat="1">
      <c r="B17" s="16">
        <v>14</v>
      </c>
      <c r="C17" s="17" t="s">
        <v>56</v>
      </c>
      <c r="D17" s="16" t="s">
        <v>105</v>
      </c>
      <c r="E17" s="17"/>
      <c r="F17" s="17"/>
      <c r="G17" s="57">
        <v>45988</v>
      </c>
      <c r="H17" s="59"/>
      <c r="I17" s="48"/>
      <c r="J17" s="54"/>
      <c r="K17" s="59"/>
      <c r="L17" s="59"/>
      <c r="M17" s="48" t="s">
        <v>170</v>
      </c>
      <c r="N17" s="17"/>
      <c r="O17" s="13"/>
      <c r="P17" s="11"/>
      <c r="Q17" s="15"/>
      <c r="R17" s="53">
        <v>893660000</v>
      </c>
      <c r="S17" s="53"/>
      <c r="T17" s="53">
        <v>893660000</v>
      </c>
      <c r="U17" s="13"/>
      <c r="V17" s="13"/>
      <c r="W17" s="19"/>
      <c r="X17" s="48" t="s">
        <v>171</v>
      </c>
    </row>
    <row r="18" spans="2:24" s="14" customFormat="1">
      <c r="B18" s="16">
        <v>15</v>
      </c>
      <c r="C18" s="17" t="s">
        <v>56</v>
      </c>
      <c r="D18" s="16" t="s">
        <v>117</v>
      </c>
      <c r="E18" s="17"/>
      <c r="F18" s="17"/>
      <c r="G18" s="76"/>
      <c r="H18" s="77"/>
      <c r="I18" s="74"/>
      <c r="J18" s="76"/>
      <c r="K18" s="77"/>
      <c r="L18" s="77"/>
      <c r="M18" s="74" t="s">
        <v>172</v>
      </c>
      <c r="N18" s="17"/>
      <c r="O18" s="13"/>
      <c r="P18" s="11"/>
      <c r="Q18" s="15"/>
      <c r="R18" s="15">
        <v>547428000</v>
      </c>
      <c r="S18" s="13"/>
      <c r="T18" s="15">
        <v>547428000</v>
      </c>
      <c r="U18" s="13"/>
      <c r="V18" s="13"/>
      <c r="W18" s="19"/>
      <c r="X18" s="48" t="s">
        <v>173</v>
      </c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>
      <c r="B30" s="22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23"/>
      <c r="N30" s="23"/>
      <c r="O30" s="13">
        <f t="shared" ref="O30:W30" si="0">SUM(O4:O29)</f>
        <v>314674040</v>
      </c>
      <c r="P30" s="13">
        <f t="shared" si="0"/>
        <v>19883340</v>
      </c>
      <c r="Q30" s="13">
        <f t="shared" si="0"/>
        <v>294790700</v>
      </c>
      <c r="R30" s="13">
        <f t="shared" si="0"/>
        <v>3275099490</v>
      </c>
      <c r="S30" s="13">
        <f t="shared" si="0"/>
        <v>314674040</v>
      </c>
      <c r="T30" s="13">
        <f t="shared" si="0"/>
        <v>2960425450</v>
      </c>
      <c r="U30" s="13">
        <f t="shared" si="0"/>
        <v>0</v>
      </c>
      <c r="V30" s="13">
        <f t="shared" si="0"/>
        <v>0</v>
      </c>
      <c r="W30" s="13">
        <f t="shared" si="0"/>
        <v>19883340</v>
      </c>
      <c r="X30" s="24"/>
    </row>
    <row r="31" spans="2:24">
      <c r="O31" s="20"/>
      <c r="P31" s="20"/>
      <c r="Q31" s="20"/>
      <c r="R31" s="20"/>
      <c r="S31" s="20"/>
      <c r="T31" s="20"/>
      <c r="U31" s="20"/>
      <c r="V31" s="20"/>
    </row>
  </sheetData>
  <mergeCells count="1">
    <mergeCell ref="C30:L30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Q4" activePane="bottomRight" state="frozen"/>
      <selection pane="topRight" activeCell="L1" sqref="L1"/>
      <selection pane="bottomLeft" activeCell="A4" sqref="A4"/>
      <selection pane="bottomRight" activeCell="W6" sqref="W6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130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143</v>
      </c>
      <c r="N4" s="17"/>
      <c r="O4" s="11">
        <v>36585000</v>
      </c>
      <c r="P4" s="11">
        <v>36585000</v>
      </c>
      <c r="Q4" s="26">
        <f>O4-P4</f>
        <v>0</v>
      </c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152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130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144</v>
      </c>
      <c r="N5" s="17"/>
      <c r="O5" s="11">
        <v>9090909</v>
      </c>
      <c r="P5" s="11">
        <v>9090909</v>
      </c>
      <c r="Q5" s="26">
        <f>O5-P5</f>
        <v>0</v>
      </c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151</v>
      </c>
    </row>
    <row r="6" spans="1:24" s="14" customFormat="1" ht="33">
      <c r="B6" s="16">
        <v>3</v>
      </c>
      <c r="C6" s="9" t="s">
        <v>72</v>
      </c>
      <c r="D6" s="8" t="s">
        <v>13</v>
      </c>
      <c r="E6" s="9" t="s">
        <v>130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145</v>
      </c>
      <c r="N6" s="17"/>
      <c r="O6" s="11">
        <v>26161000</v>
      </c>
      <c r="P6" s="11">
        <v>7848300</v>
      </c>
      <c r="Q6" s="26">
        <f>O6-P6</f>
        <v>18312700</v>
      </c>
      <c r="R6" s="11">
        <v>26161000</v>
      </c>
      <c r="S6" s="11">
        <v>26161000</v>
      </c>
      <c r="T6" s="53"/>
      <c r="U6" s="13"/>
      <c r="V6" s="13"/>
      <c r="W6" s="12">
        <f>P6</f>
        <v>7848300</v>
      </c>
      <c r="X6" s="48" t="s">
        <v>150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71836909</v>
      </c>
      <c r="P34" s="13">
        <f t="shared" si="0"/>
        <v>53524209</v>
      </c>
      <c r="Q34" s="13">
        <f t="shared" si="0"/>
        <v>18312700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49.5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53">
        <v>81000000</v>
      </c>
      <c r="P4" s="53">
        <v>81000000</v>
      </c>
      <c r="Q4" s="15">
        <f>O4-P4</f>
        <v>0</v>
      </c>
      <c r="R4" s="11">
        <v>189000000</v>
      </c>
      <c r="S4" s="11">
        <v>189000000</v>
      </c>
      <c r="T4" s="13"/>
      <c r="U4" s="13"/>
      <c r="V4" s="13"/>
      <c r="W4" s="11">
        <v>81000000</v>
      </c>
      <c r="X4" s="9" t="s">
        <v>175</v>
      </c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42000000</v>
      </c>
      <c r="Q5" s="15">
        <f>O5-P5</f>
        <v>56000000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142</v>
      </c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129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2">SUM(O4:O33)</f>
        <v>179000000</v>
      </c>
      <c r="P34" s="13">
        <f t="shared" si="2"/>
        <v>123000000</v>
      </c>
      <c r="Q34" s="13">
        <f t="shared" si="2"/>
        <v>56000000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123000000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54.37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8"/>
      <c r="C6" s="17" t="s">
        <v>94</v>
      </c>
      <c r="D6" s="8"/>
      <c r="E6" s="17" t="s">
        <v>147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148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156</v>
      </c>
    </row>
    <row r="7" spans="1:24" s="14" customFormat="1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>
      <c r="B8" s="8">
        <v>3</v>
      </c>
      <c r="C8" s="9" t="s">
        <v>94</v>
      </c>
      <c r="D8" s="16"/>
      <c r="E8" s="17"/>
      <c r="F8" s="17"/>
      <c r="G8" s="16"/>
      <c r="H8" s="18"/>
      <c r="I8" s="17"/>
      <c r="J8" s="16"/>
      <c r="K8" s="18"/>
      <c r="L8" s="18"/>
      <c r="M8" s="10" t="s">
        <v>159</v>
      </c>
      <c r="N8" s="17"/>
      <c r="O8" s="11">
        <v>2807000</v>
      </c>
      <c r="P8" s="11">
        <v>2807000</v>
      </c>
      <c r="Q8" s="26"/>
      <c r="R8" s="11">
        <v>2807000</v>
      </c>
      <c r="S8" s="11">
        <v>2807000</v>
      </c>
      <c r="T8" s="13"/>
      <c r="U8" s="13"/>
      <c r="V8" s="13"/>
      <c r="W8" s="19"/>
      <c r="X8" s="75" t="s">
        <v>160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4007000</v>
      </c>
      <c r="P34" s="13">
        <f t="shared" si="0"/>
        <v>4007000</v>
      </c>
      <c r="Q34" s="13">
        <f t="shared" si="0"/>
        <v>0</v>
      </c>
      <c r="R34" s="13">
        <f t="shared" si="0"/>
        <v>261187000</v>
      </c>
      <c r="S34" s="13">
        <f t="shared" si="0"/>
        <v>2807000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122</v>
      </c>
      <c r="D4" s="16" t="s">
        <v>13</v>
      </c>
      <c r="E4" s="17" t="s">
        <v>125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123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124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53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8">
        <v>1</v>
      </c>
      <c r="C4" s="9" t="s">
        <v>86</v>
      </c>
      <c r="D4" s="8" t="s">
        <v>114</v>
      </c>
      <c r="E4" s="9" t="s">
        <v>162</v>
      </c>
      <c r="F4" s="9"/>
      <c r="G4" s="51">
        <v>45912</v>
      </c>
      <c r="H4" s="51">
        <v>45930</v>
      </c>
      <c r="I4" s="9" t="s">
        <v>163</v>
      </c>
      <c r="J4" s="51">
        <v>45925</v>
      </c>
      <c r="K4" s="51">
        <v>46053</v>
      </c>
      <c r="L4" s="10"/>
      <c r="M4" s="9" t="s">
        <v>91</v>
      </c>
      <c r="N4" s="9"/>
      <c r="O4" s="11">
        <v>30791000</v>
      </c>
      <c r="P4" s="11">
        <f>O4*0.2</f>
        <v>6158200</v>
      </c>
      <c r="Q4" s="15">
        <f>O4-P4</f>
        <v>24632800</v>
      </c>
      <c r="R4" s="11">
        <v>575270000</v>
      </c>
      <c r="S4" s="11">
        <v>30791000</v>
      </c>
      <c r="T4" s="11"/>
      <c r="U4" s="11"/>
      <c r="V4" s="11"/>
      <c r="W4" s="11">
        <v>0</v>
      </c>
      <c r="X4" s="9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30791000</v>
      </c>
      <c r="P34" s="13">
        <f t="shared" si="0"/>
        <v>6158200</v>
      </c>
      <c r="Q34" s="13">
        <f t="shared" si="0"/>
        <v>24632800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120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118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119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131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2025-12-30T17:29:14Z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
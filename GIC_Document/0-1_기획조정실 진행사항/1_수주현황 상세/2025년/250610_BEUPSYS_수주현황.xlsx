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1_수주현황\2025년\"/>
    </mc:Choice>
  </mc:AlternateContent>
  <xr:revisionPtr revIDLastSave="0" documentId="13_ncr:1_{CE50B92F-F589-4802-8787-880DCBD06E36}" xr6:coauthVersionLast="47" xr6:coauthVersionMax="47" xr10:uidLastSave="{00000000-0000-0000-0000-000000000000}"/>
  <bookViews>
    <workbookView xWindow="-28920" yWindow="-90" windowWidth="29040" windowHeight="17520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고구려엔지니어링" sheetId="14" r:id="rId5"/>
    <sheet name="5.다원시스" sheetId="8" r:id="rId6"/>
    <sheet name="6.GMTECH" sheetId="13" r:id="rId7"/>
    <sheet name="7.인터모빌리티" sheetId="12" r:id="rId8"/>
    <sheet name="7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4" i="14" l="1"/>
  <c r="V34" i="14"/>
  <c r="U34" i="14"/>
  <c r="T34" i="14"/>
  <c r="G7" i="1" s="1"/>
  <c r="S34" i="14"/>
  <c r="F7" i="1" s="1"/>
  <c r="R34" i="14"/>
  <c r="Q34" i="14"/>
  <c r="P34" i="14"/>
  <c r="O34" i="14"/>
  <c r="H5" i="12"/>
  <c r="J18" i="1"/>
  <c r="I18" i="1"/>
  <c r="H18" i="1"/>
  <c r="G18" i="1"/>
  <c r="F18" i="1"/>
  <c r="E18" i="1" s="1"/>
  <c r="E7" i="1" l="1"/>
  <c r="K18" i="1"/>
  <c r="H7" i="5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E12" i="1" s="1"/>
  <c r="J11" i="1"/>
  <c r="I11" i="1"/>
  <c r="H11" i="1"/>
  <c r="G11" i="1"/>
  <c r="F11" i="1"/>
  <c r="H5" i="5"/>
  <c r="E16" i="1" l="1"/>
  <c r="E17" i="1"/>
  <c r="E15" i="1"/>
  <c r="E14" i="1"/>
  <c r="E13" i="1"/>
  <c r="K6" i="4"/>
  <c r="J6" i="4"/>
  <c r="H6" i="4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 s="1"/>
  <c r="W34" i="12"/>
  <c r="V34" i="12"/>
  <c r="U34" i="12"/>
  <c r="T34" i="12"/>
  <c r="G10" i="1" s="1"/>
  <c r="S34" i="12"/>
  <c r="F10" i="1" s="1"/>
  <c r="R34" i="12"/>
  <c r="Q34" i="12"/>
  <c r="J10" i="1" s="1"/>
  <c r="P34" i="12"/>
  <c r="I10" i="1" s="1"/>
  <c r="O34" i="12"/>
  <c r="H10" i="1" s="1"/>
  <c r="E10" i="1" l="1"/>
  <c r="K10" i="1" s="1"/>
  <c r="K16" i="1"/>
  <c r="K17" i="1"/>
  <c r="W34" i="8"/>
  <c r="V34" i="8"/>
  <c r="U34" i="8"/>
  <c r="T34" i="8"/>
  <c r="G8" i="1" s="1"/>
  <c r="S34" i="8"/>
  <c r="F8" i="1" s="1"/>
  <c r="R34" i="8"/>
  <c r="Q34" i="8"/>
  <c r="J8" i="1" s="1"/>
  <c r="P34" i="8"/>
  <c r="I8" i="1" s="1"/>
  <c r="O34" i="8"/>
  <c r="H8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5" i="1" l="1"/>
  <c r="K5" i="1" s="1"/>
  <c r="E8" i="1"/>
  <c r="K8" i="1" s="1"/>
  <c r="E11" i="1"/>
  <c r="K11" i="1" s="1"/>
  <c r="E6" i="1"/>
  <c r="K6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<sst xmlns="http://schemas.openxmlformats.org/spreadsheetml/2006/main" count="360" uniqueCount="153">
  <si>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</si>
  <si>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</si>
  <si>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</si>
  <si>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</si>
  <si>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</si>
  <si>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</si>
  <si>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</si>
  <si>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</si>
  <si>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</si>
  <si>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</si>
  <si>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</si>
  <si>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</si>
  <si>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</si>
  <si>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</si>
  <si>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</si>
  <si>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</si>
  <si>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</si>
  <si>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</si>
  <si>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</si>
  <si>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</si>
  <si>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</si>
  <si>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</si>
  <si>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</si>
  <si>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</si>
  <si>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</si>
  <si>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</si>
  <si>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</si>
  <si>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</si>
  <si>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</si>
  <si>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</si>
  <si>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</si>
  <si>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</si>
  <si>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</si>
  <si>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</si>
  <si>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</si>
  <si>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</si>
  <si>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</si>
  <si>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</si>
  <si>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</si>
  <si>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</si>
  <si>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</si>
  <si>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</si>
  <si>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</si>
  <si>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</si>
  <si>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</si>
  <si>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</si>
  <si>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</si>
  <si>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</si>
  <si>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</si>
  <si>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</si>
  <si>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</si>
  <si>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</si>
  <si>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</si>
  <si>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</si>
  <si>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</si>
  <si>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</si>
  <si>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</si>
  <si>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</si>
  <si>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</si>
  <si>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</si>
  <si>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</si>
  <si>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</si>
  <si>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</si>
  <si>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</si>
  <si>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</si>
  <si>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</si>
  <si>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</si>
  <si>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</si>
  <si>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</si>
  <si>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</si>
  <si>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</si>
  <si>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</si>
  <si>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</si>
  <si>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</si>
  <si>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</si>
  <si>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</si>
  <si>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</si>
  <si>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</si>
  <si>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</si>
  <si>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</si>
  <si>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</si>
  <si>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</si>
  <si>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</si>
  <si>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</si>
  <si>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</si>
  <si>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</si>
  <si>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</si>
  <si>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</si>
  <si>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</si>
  <si>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</si>
  <si>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</si>
  <si>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</si>
  <si>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</si>
  <si>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</si>
  <si>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</si>
  <si>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</si>
  <si>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</si>
  <si>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</si>
  <si>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</si>
  <si>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</si>
  <si>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</si>
  <si>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</si>
  <si>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</si>
  <si>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</si>
  <si>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</si>
  <si>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</si>
  <si>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</si>
  <si>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</si>
  <si>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</si>
  <si>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</si>
  <si>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</si>
  <si>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</si>
  <si>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</si>
  <si>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</si>
  <si>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</si>
  <si>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</si>
  <si>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</si>
  <si>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2024121901 (\70,000,000)에 대한 수정견적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</si>
  <si>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</si>
  <si>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</si>
  <si>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</si>
  <si>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</si>
  <si>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</si>
  <si>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</si>
  <si>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</si>
  <si>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US$ 6875.00 / 4월 15일 이내 입금 예정</t>
    <phoneticPr fontId="3" type="noConversion"/>
  </si>
  <si>
    <t>LED 품목 2종 포함 20250415 재견적</t>
    <phoneticPr fontId="3" type="noConversion"/>
  </si>
  <si>
    <t>20250211-01 (\575,270,000)에 대한 수정견적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</si>
  <si>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</si>
  <si>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</si>
  <si>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</si>
  <si>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250425 견적서 제출 완료</t>
    <phoneticPr fontId="3" type="noConversion"/>
  </si>
  <si>
    <t>MAIN CTL. BD 개발</t>
  </si>
  <si>
    <t>위플랫</t>
    <phoneticPr fontId="3" type="noConversion"/>
  </si>
  <si>
    <t>GPR 시스템 개발</t>
    <phoneticPr fontId="3" type="noConversion"/>
  </si>
  <si>
    <t>K-water (한국수자원공사) 개방형 혁신 R&amp;D 연구과제 참여</t>
  </si>
  <si>
    <t>7-8</t>
    <phoneticPr fontId="3" type="noConversion"/>
  </si>
  <si>
    <t>250513 수정 견적서 제출 완료 /
MTR에서 로템과 PAPIS 포함 사업전체 계약 요망</t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</si>
  <si>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</si>
  <si>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</si>
  <si>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</si>
  <si>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</si>
  <si>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</si>
  <si>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</si>
  <si>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SRT 영상방송시스템 개량</t>
  </si>
  <si>
    <t>히어링루프 개발(국산화)</t>
  </si>
  <si>
    <t>김포골드라인 1차분 / 2차분</t>
  </si>
  <si>
    <t>250523 MTR 요청에 따라 상세사항 검토 중(~5/29)</t>
    <phoneticPr fontId="3" type="noConversion"/>
  </si>
  <si>
    <t>250605 [KTU 신역사] 가격 조정 요청에 5% 수준 가능 회신(이세한 미주영업팀장)
250527 [9호선 열차번호표시기 SW] 가격조정 요청에 15% 상한 회신</t>
    <phoneticPr fontId="3" type="noConversion"/>
  </si>
  <si>
    <t>250521 견적 제출 완료 / 250522 수정견적 요청에 무대응</t>
  </si>
  <si>
    <t>250527 1차 5개 품목 재견적 회신(\25,761,000)</t>
  </si>
  <si>
    <t>250523 MAIN CTL. BD 업무진행 관련 이메일 수신</t>
    <phoneticPr fontId="3" type="noConversion"/>
  </si>
  <si>
    <t>6월 5일 1차 협의 시 이더넷 스위치 변경(우선 1개 편성 4EA) 검토 요청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</si>
</sst>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75.75" bestFit="1" customWidth="1"/>
  </cols>
  <sheetData>
    <row r="2" spans="2:14">
      <c r="C2" s="1"/>
      <c r="D2" s="1"/>
      <c r="E2" s="72" t="s">
        <v>75</v>
      </c>
      <c r="F2" s="73"/>
      <c r="G2" s="74"/>
      <c r="H2" s="73" t="s">
        <v>79</v>
      </c>
      <c r="I2" s="73"/>
      <c r="J2" s="73"/>
      <c r="K2" s="73"/>
      <c r="L2" s="73"/>
      <c r="M2" s="75"/>
    </row>
    <row r="3" spans="2:14">
      <c r="B3" s="62" t="s">
        <v>73</v>
      </c>
      <c r="C3" s="76" t="s">
        <v>74</v>
      </c>
      <c r="D3" s="75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2" t="s">
        <v>80</v>
      </c>
      <c r="D4" s="75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70" t="s">
        <v>147</v>
      </c>
    </row>
    <row r="5" spans="2:14">
      <c r="B5" s="44">
        <v>2</v>
      </c>
      <c r="C5" s="72" t="s">
        <v>96</v>
      </c>
      <c r="D5" s="75"/>
      <c r="E5" s="49">
        <f t="shared" ref="E5:E20" si="0">SUM(F5:G5)</f>
        <v>186300000</v>
      </c>
      <c r="F5" s="38">
        <f>'2.서울교통공사'!S34</f>
        <v>0</v>
      </c>
      <c r="G5" s="41">
        <f>'2.서울교통공사'!T34</f>
        <v>186300000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20" si="1">H5/E5</f>
        <v>6.4412238325281803E-3</v>
      </c>
      <c r="L5" s="43"/>
      <c r="M5" s="43"/>
      <c r="N5" s="56"/>
    </row>
    <row r="6" spans="2:14" ht="33">
      <c r="B6" s="44">
        <v>3</v>
      </c>
      <c r="C6" s="72" t="s">
        <v>55</v>
      </c>
      <c r="D6" s="75"/>
      <c r="E6" s="49">
        <f t="shared" si="0"/>
        <v>528906340</v>
      </c>
      <c r="F6" s="38">
        <f>'3.현대로템'!S34</f>
        <v>518689340</v>
      </c>
      <c r="G6" s="41">
        <f>'3.현대로템'!T34</f>
        <v>10217000</v>
      </c>
      <c r="H6" s="45">
        <f>'3.현대로템'!O34</f>
        <v>19883340</v>
      </c>
      <c r="I6" s="46">
        <f>'3.현대로템'!P34</f>
        <v>19883340</v>
      </c>
      <c r="J6" s="47">
        <f>'3.현대로템'!Q34</f>
        <v>0</v>
      </c>
      <c r="K6" s="42">
        <f t="shared" si="1"/>
        <v>3.7593309998893189E-2</v>
      </c>
      <c r="L6" s="43"/>
      <c r="M6" s="43"/>
      <c r="N6" s="70" t="s">
        <v>148</v>
      </c>
    </row>
    <row r="7" spans="2:14">
      <c r="B7" s="44">
        <v>4</v>
      </c>
      <c r="C7" s="72" t="s">
        <v>139</v>
      </c>
      <c r="D7" s="75"/>
      <c r="E7" s="49">
        <f>SUM(F7:G7)</f>
        <v>328059000</v>
      </c>
      <c r="F7" s="38">
        <f>'4.고구려엔지니어링'!S34</f>
        <v>0</v>
      </c>
      <c r="G7" s="41">
        <f>'4.고구려엔지니어링'!T34</f>
        <v>328059000</v>
      </c>
      <c r="H7" s="45"/>
      <c r="I7" s="46"/>
      <c r="J7" s="47"/>
      <c r="K7" s="42"/>
      <c r="L7" s="43"/>
      <c r="M7" s="43"/>
      <c r="N7" s="70" t="s">
        <v>149</v>
      </c>
    </row>
    <row r="8" spans="2:14">
      <c r="B8" s="44">
        <v>5</v>
      </c>
      <c r="C8" s="72" t="s">
        <v>61</v>
      </c>
      <c r="D8" s="75"/>
      <c r="E8" s="49">
        <f>SUM(F8:G8)</f>
        <v>510623467</v>
      </c>
      <c r="F8" s="38">
        <f>'5.다원시스'!S34</f>
        <v>287000000</v>
      </c>
      <c r="G8" s="41">
        <f>'5.다원시스'!T34</f>
        <v>223623467</v>
      </c>
      <c r="H8" s="45">
        <f>'5.다원시스'!O34</f>
        <v>287000000</v>
      </c>
      <c r="I8" s="46">
        <f>'5.다원시스'!P34</f>
        <v>287000000</v>
      </c>
      <c r="J8" s="47">
        <f>'5.다원시스'!Q34</f>
        <v>0</v>
      </c>
      <c r="K8" s="42">
        <f>H8/E8</f>
        <v>0.56205799096186071</v>
      </c>
      <c r="L8" s="43"/>
      <c r="M8" s="43"/>
      <c r="N8" s="43"/>
    </row>
    <row r="9" spans="2:14">
      <c r="B9" s="44">
        <v>6</v>
      </c>
      <c r="C9" s="72" t="s">
        <v>86</v>
      </c>
      <c r="D9" s="75"/>
      <c r="E9" s="49">
        <f>SUM(F9:G9)</f>
        <v>560588000</v>
      </c>
      <c r="F9" s="38">
        <f>'6.GMTECH'!S34</f>
        <v>560588000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71" t="s">
        <v>150</v>
      </c>
    </row>
    <row r="10" spans="2:14">
      <c r="B10" s="44">
        <v>7</v>
      </c>
      <c r="C10" s="72" t="s">
        <v>72</v>
      </c>
      <c r="D10" s="75"/>
      <c r="E10" s="49">
        <f>SUM(F10:G10)</f>
        <v>119575000</v>
      </c>
      <c r="F10" s="38">
        <f>'7.인터모빌리티'!S34</f>
        <v>36585000</v>
      </c>
      <c r="G10" s="41">
        <f>'7.인터모빌리티'!T34</f>
        <v>82990000</v>
      </c>
      <c r="H10" s="45">
        <f>'7.인터모빌리티'!O34</f>
        <v>0</v>
      </c>
      <c r="I10" s="46">
        <f>'7.인터모빌리티'!P34</f>
        <v>0</v>
      </c>
      <c r="J10" s="47">
        <f>'7.인터모빌리티'!Q34</f>
        <v>0</v>
      </c>
      <c r="K10" s="42">
        <f>H10/E10</f>
        <v>0</v>
      </c>
      <c r="L10" s="43"/>
      <c r="M10" s="43"/>
      <c r="N10" s="71" t="s">
        <v>151</v>
      </c>
    </row>
    <row r="11" spans="2:14">
      <c r="B11" s="62" t="s">
        <v>109</v>
      </c>
      <c r="C11" s="77" t="s">
        <v>116</v>
      </c>
      <c r="D11" s="44" t="s">
        <v>138</v>
      </c>
      <c r="E11" s="49">
        <f>SUM(F11:G11)</f>
        <v>0</v>
      </c>
      <c r="F11" s="38">
        <f>SUMIF('7.기타'!$C$4:$C$33, Total!D11, '7.기타'!$S$4:$S$33)</f>
        <v>0</v>
      </c>
      <c r="G11" s="41">
        <f>SUMIF('7.기타'!$C$4:$C$33, Total!D11, '7.기타'!$T$4:$T$33)</f>
        <v>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 t="e">
        <f>H11/E11</f>
        <v>#DIV/0!</v>
      </c>
      <c r="L11" s="43"/>
      <c r="M11" s="43"/>
      <c r="N11" s="71" t="s">
        <v>152</v>
      </c>
    </row>
    <row r="12" spans="2:14">
      <c r="B12" s="62" t="s">
        <v>110</v>
      </c>
      <c r="C12" s="78"/>
      <c r="D12" s="44" t="s">
        <v>100</v>
      </c>
      <c r="E12" s="49">
        <f t="shared" ref="E12:E18" si="2">SUM(F12:G12)</f>
        <v>8000000</v>
      </c>
      <c r="F12" s="38">
        <f>SUMIF('7.기타'!$C$4:$C$33, Total!D12, '7.기타'!$S$4:$S$33)</f>
        <v>0</v>
      </c>
      <c r="G12" s="41">
        <f>SUMIF('7.기타'!$C$4:$C$33, Total!D12, '7.기타'!$T$4:$T$33)</f>
        <v>8000000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111</v>
      </c>
      <c r="C13" s="78"/>
      <c r="D13" s="44" t="s">
        <v>57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112</v>
      </c>
      <c r="C14" s="78"/>
      <c r="D14" s="44" t="s">
        <v>59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113</v>
      </c>
      <c r="C15" s="78"/>
      <c r="D15" s="44" t="s">
        <v>66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114</v>
      </c>
      <c r="C16" s="78"/>
      <c r="D16" s="44" t="s">
        <v>68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115</v>
      </c>
      <c r="C17" s="78"/>
      <c r="D17" s="44" t="s">
        <v>70</v>
      </c>
      <c r="E17" s="49">
        <f t="shared" si="2"/>
        <v>0</v>
      </c>
      <c r="F17" s="38">
        <f>SUMIF('7.기타'!$C$4:$C$33, Total!D17, '7.기타'!$S$4:$S$33)</f>
        <v>0</v>
      </c>
      <c r="G17" s="41">
        <f>SUMIF('7.기타'!$C$4:$C$33, Total!D17, '7.기타'!$T$4:$T$33)</f>
        <v>0</v>
      </c>
      <c r="H17" s="45">
        <f>SUMIF('7.기타'!$C$4:$C$33, Total!D17, '7.기타'!$O$4:$O$33)</f>
        <v>0</v>
      </c>
      <c r="I17" s="46">
        <f>SUMIF('7.기타'!$C$4:$C$33, Total!D17, '7.기타'!$P$4:$P$33)</f>
        <v>0</v>
      </c>
      <c r="J17" s="47">
        <f>SUMIF('7.기타'!$C$4:$C$33, Total!D17, '7.기타'!$Q$4:$Q$33)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136</v>
      </c>
      <c r="C18" s="79"/>
      <c r="D18" s="44" t="s">
        <v>133</v>
      </c>
      <c r="E18" s="49">
        <f t="shared" si="2"/>
        <v>120000000</v>
      </c>
      <c r="F18" s="38">
        <f>SUMIF('7.기타'!$C$4:$C$33, Total!D18, '7.기타'!$S$4:$S$33)</f>
        <v>120000000</v>
      </c>
      <c r="G18" s="41">
        <f>SUMIF('7.기타'!$C$4:$C$33, Total!D18, '7.기타'!$T$4:$T$33)</f>
        <v>0</v>
      </c>
      <c r="H18" s="45">
        <f>SUMIF('7.기타'!$C$4:$C$33, Total!D18, '7.기타'!$O$4:$O$33)</f>
        <v>0</v>
      </c>
      <c r="I18" s="46">
        <f>SUMIF('7.기타'!$C$4:$C$33, Total!D18, '7.기타'!$P$4:$P$33)</f>
        <v>0</v>
      </c>
      <c r="J18" s="47">
        <f>SUMIF('7.기타'!$C$4:$C$33, Total!D18, '7.기타'!$Q$4:$Q$33)</f>
        <v>0</v>
      </c>
      <c r="K18" s="42">
        <f t="shared" ref="K18" si="4">H18/E18</f>
        <v>0</v>
      </c>
      <c r="L18" s="43"/>
      <c r="M18" s="43"/>
      <c r="N18" s="68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2757287482.6999998</v>
      </c>
      <c r="F20" s="38">
        <f>SUM(F4:F19)</f>
        <v>1918098015.6999998</v>
      </c>
      <c r="G20" s="41">
        <f>SUM(G4:G19)</f>
        <v>839189467</v>
      </c>
      <c r="H20" s="45">
        <f>SUM(H4:H19)</f>
        <v>703319015.70000005</v>
      </c>
      <c r="I20" s="46">
        <f>SUM(I4:I19)</f>
        <v>703319015.70000005</v>
      </c>
      <c r="J20" s="47">
        <f>SUM(J4:J19)</f>
        <v>0</v>
      </c>
      <c r="K20" s="42">
        <f t="shared" si="1"/>
        <v>0.25507641844124784</v>
      </c>
      <c r="L20" s="43"/>
      <c r="M20" s="43"/>
      <c r="N20" s="43"/>
    </row>
  </sheetData>
  <mergeCells count="11">
    <mergeCell ref="C6:D6"/>
    <mergeCell ref="C8:D8"/>
    <mergeCell ref="C10:D10"/>
    <mergeCell ref="C9:D9"/>
    <mergeCell ref="C11:C18"/>
    <mergeCell ref="C7:D7"/>
    <mergeCell ref="E2:G2"/>
    <mergeCell ref="H2:M2"/>
    <mergeCell ref="C3:D3"/>
    <mergeCell ref="C4:D4"/>
    <mergeCell ref="C5:D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106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106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106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154460502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96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96</v>
      </c>
      <c r="D5" s="8"/>
      <c r="E5" s="17" t="s">
        <v>97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98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89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90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104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3.375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56</v>
      </c>
      <c r="D4" s="8" t="s">
        <v>106</v>
      </c>
      <c r="E4" s="9" t="s">
        <v>123</v>
      </c>
      <c r="F4" s="9"/>
      <c r="G4" s="51">
        <v>45693</v>
      </c>
      <c r="H4" s="52">
        <f>G4+15</f>
        <v>45708</v>
      </c>
      <c r="I4" s="9" t="s">
        <v>99</v>
      </c>
      <c r="J4" s="51">
        <v>45714</v>
      </c>
      <c r="K4" s="51">
        <v>45741</v>
      </c>
      <c r="L4" s="10"/>
      <c r="M4" s="10" t="s">
        <v>108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56</v>
      </c>
      <c r="D5" s="16" t="s">
        <v>107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105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126</v>
      </c>
    </row>
    <row r="6" spans="1:24" s="14" customFormat="1" ht="33">
      <c r="B6" s="8">
        <v>3</v>
      </c>
      <c r="C6" s="9" t="s">
        <v>56</v>
      </c>
      <c r="D6" s="8" t="s">
        <v>106</v>
      </c>
      <c r="E6" s="9" t="s">
        <v>120</v>
      </c>
      <c r="F6" s="9"/>
      <c r="G6" s="51">
        <v>45741</v>
      </c>
      <c r="H6" s="52">
        <f>G6+15</f>
        <v>45756</v>
      </c>
      <c r="I6" s="9" t="s">
        <v>121</v>
      </c>
      <c r="J6" s="51">
        <v>45742</v>
      </c>
      <c r="K6" s="10"/>
      <c r="L6" s="10"/>
      <c r="M6" s="9" t="s">
        <v>119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48" t="s">
        <v>125</v>
      </c>
    </row>
    <row r="7" spans="1:24" s="14" customFormat="1" ht="33">
      <c r="B7" s="16">
        <v>4</v>
      </c>
      <c r="C7" s="17" t="s">
        <v>56</v>
      </c>
      <c r="D7" s="16" t="s">
        <v>106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122</v>
      </c>
      <c r="N7" s="17"/>
      <c r="O7" s="13"/>
      <c r="P7" s="13"/>
      <c r="Q7" s="65"/>
      <c r="R7" s="53">
        <v>310306000</v>
      </c>
      <c r="S7" s="53">
        <v>310306000</v>
      </c>
      <c r="T7" s="13"/>
      <c r="U7" s="13"/>
      <c r="V7" s="13"/>
      <c r="W7" s="19"/>
      <c r="X7" s="48" t="s">
        <v>137</v>
      </c>
    </row>
    <row r="8" spans="1:24" s="14" customFormat="1">
      <c r="B8" s="16">
        <v>5</v>
      </c>
      <c r="C8" s="17" t="s">
        <v>56</v>
      </c>
      <c r="D8" s="16" t="s">
        <v>129</v>
      </c>
      <c r="E8" s="17" t="s">
        <v>128</v>
      </c>
      <c r="F8" s="17"/>
      <c r="G8" s="50">
        <v>45772</v>
      </c>
      <c r="H8" s="64">
        <f>G8+15</f>
        <v>45787</v>
      </c>
      <c r="I8" s="17"/>
      <c r="J8" s="16"/>
      <c r="K8" s="18"/>
      <c r="L8" s="18"/>
      <c r="M8" s="17" t="s">
        <v>130</v>
      </c>
      <c r="N8" s="17"/>
      <c r="O8" s="13"/>
      <c r="P8" s="11"/>
      <c r="Q8" s="26"/>
      <c r="R8" s="13">
        <v>10217000</v>
      </c>
      <c r="S8" s="13"/>
      <c r="T8" s="13">
        <v>10217000</v>
      </c>
      <c r="U8" s="13"/>
      <c r="V8" s="13"/>
      <c r="W8" s="19"/>
      <c r="X8" s="17" t="s">
        <v>131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528906340</v>
      </c>
      <c r="S34" s="13">
        <f t="shared" si="0"/>
        <v>518689340</v>
      </c>
      <c r="T34" s="13">
        <f t="shared" si="0"/>
        <v>10217000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140</v>
      </c>
      <c r="D4" s="16" t="s">
        <v>13</v>
      </c>
      <c r="E4" s="17" t="s">
        <v>143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141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142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18" t="s">
        <v>144</v>
      </c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 t="s">
        <v>145</v>
      </c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103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118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117</v>
      </c>
    </row>
    <row r="7" spans="1:24" s="14" customFormat="1" ht="33">
      <c r="B7" s="16">
        <v>4</v>
      </c>
      <c r="C7" s="17" t="s">
        <v>62</v>
      </c>
      <c r="D7" s="16" t="s">
        <v>13</v>
      </c>
      <c r="E7" s="48" t="s">
        <v>94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93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124</v>
      </c>
      <c r="E4" s="17" t="s">
        <v>95</v>
      </c>
      <c r="F4" s="17"/>
      <c r="G4" s="57">
        <v>45769</v>
      </c>
      <c r="H4" s="57">
        <v>45838</v>
      </c>
      <c r="I4" s="17"/>
      <c r="J4" s="50"/>
      <c r="K4" s="50"/>
      <c r="L4" s="18"/>
      <c r="M4" s="17" t="s">
        <v>92</v>
      </c>
      <c r="N4" s="17"/>
      <c r="O4" s="13"/>
      <c r="P4" s="11"/>
      <c r="Q4" s="15"/>
      <c r="R4" s="13">
        <v>575270000</v>
      </c>
      <c r="S4" s="53">
        <v>560588000</v>
      </c>
      <c r="T4" s="13"/>
      <c r="U4" s="13"/>
      <c r="V4" s="13"/>
      <c r="W4" s="19"/>
      <c r="X4" s="48" t="s">
        <v>127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560588000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72</v>
      </c>
      <c r="D4" s="16" t="s">
        <v>124</v>
      </c>
      <c r="E4" s="17" t="s">
        <v>91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92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72</v>
      </c>
      <c r="D5" s="16" t="s">
        <v>13</v>
      </c>
      <c r="E5" s="17"/>
      <c r="F5" s="17"/>
      <c r="G5" s="50">
        <v>45793</v>
      </c>
      <c r="H5" s="50">
        <f>G5+15</f>
        <v>45808</v>
      </c>
      <c r="I5" s="17"/>
      <c r="J5" s="16"/>
      <c r="K5" s="18"/>
      <c r="L5" s="18"/>
      <c r="M5" s="17" t="s">
        <v>132</v>
      </c>
      <c r="N5" s="17"/>
      <c r="O5" s="13"/>
      <c r="P5" s="11"/>
      <c r="Q5" s="26"/>
      <c r="R5" s="53">
        <v>36585000</v>
      </c>
      <c r="S5" s="53">
        <v>36585000</v>
      </c>
      <c r="T5" s="5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119575000</v>
      </c>
      <c r="S34" s="13">
        <f t="shared" si="0"/>
        <v>36585000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138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146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100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101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102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 ht="33">
      <c r="B11" s="16">
        <v>8</v>
      </c>
      <c r="C11" s="17" t="s">
        <v>133</v>
      </c>
      <c r="D11" s="16" t="s">
        <v>13</v>
      </c>
      <c r="E11" s="17"/>
      <c r="F11" s="17"/>
      <c r="G11" s="69">
        <v>45786</v>
      </c>
      <c r="H11" s="18"/>
      <c r="I11" s="17"/>
      <c r="J11" s="16"/>
      <c r="K11" s="18"/>
      <c r="L11" s="18"/>
      <c r="M11" s="67" t="s">
        <v>134</v>
      </c>
      <c r="N11" s="17"/>
      <c r="O11" s="13"/>
      <c r="P11" s="11"/>
      <c r="Q11" s="15"/>
      <c r="R11" s="15">
        <v>120000000</v>
      </c>
      <c r="S11" s="15">
        <v>120000000</v>
      </c>
      <c r="T11" s="13"/>
      <c r="U11" s="13"/>
      <c r="V11" s="13"/>
      <c r="W11" s="19"/>
      <c r="X11" s="66" t="s">
        <v>135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120000000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2.서울교통공사</vt:lpstr>
      <vt:lpstr>3.현대로템</vt:lpstr>
      <vt:lpstr>4.고구려엔지니어링</vt:lpstr>
      <vt:lpstr>5.다원시스</vt:lpstr>
      <vt:lpstr>6.GMTECH</vt:lpstr>
      <vt:lpstr>7.인터모빌리티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2025-06-10T03:45:14Z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
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및생산회의_장부문장주관\1_수주현황 상세\2025년\"/>
    </mc:Choice>
  </mc:AlternateContent>
  <xr:revisionPtr revIDLastSave="0" documentId="13_ncr:1_{B3E31D2C-E8BB-4BA3-A768-D47ECED68C51}" xr6:coauthVersionLast="47" xr6:coauthVersionMax="47" xr10:uidLastSave="{00000000-0000-0000-0000-000000000000}"/>
  <bookViews>
    <workbookView xWindow="4530" yWindow="105" windowWidth="24120" windowHeight="14865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14" l="1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6" i="4"/>
  <c r="J6" i="4"/>
  <c r="H6" i="4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<sst xmlns="http://schemas.openxmlformats.org/spreadsheetml/2006/main" count="382" uniqueCount="163">
  <si>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</si>
  <si>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</si>
  <si>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</si>
  <si>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</si>
  <si>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</si>
  <si>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</si>
  <si>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</si>
  <si>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</si>
  <si>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</si>
  <si>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</si>
  <si>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</si>
  <si>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</si>
  <si>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</si>
  <si>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</si>
  <si>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</si>
  <si>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</si>
  <si>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</si>
  <si>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</si>
  <si>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</si>
  <si>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</si>
  <si>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</si>
  <si>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</si>
  <si>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</si>
  <si>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</si>
  <si>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</si>
  <si>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</si>
  <si>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</si>
  <si>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</si>
  <si>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</si>
  <si>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</si>
  <si>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</si>
  <si>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</si>
  <si>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</si>
  <si>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</si>
  <si>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</si>
  <si>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</si>
  <si>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</si>
  <si>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</si>
  <si>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</si>
  <si>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</si>
  <si>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</si>
  <si>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</si>
  <si>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</si>
  <si>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</si>
  <si>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</si>
  <si>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</si>
  <si>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</si>
  <si>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</si>
  <si>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</si>
  <si>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</si>
  <si>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</si>
  <si>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</si>
  <si>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</si>
  <si>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</si>
  <si>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</si>
  <si>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</si>
  <si>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</si>
  <si>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</si>
  <si>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</si>
  <si>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</si>
  <si>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</si>
  <si>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</si>
  <si>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</si>
  <si>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</si>
  <si>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</si>
  <si>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</si>
  <si>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</si>
  <si>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</si>
  <si>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</si>
  <si>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</si>
  <si>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</si>
  <si>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</si>
  <si>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</si>
  <si>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</si>
  <si>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</si>
  <si>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</si>
  <si>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</si>
  <si>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</si>
  <si>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</si>
  <si>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</si>
  <si>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</si>
  <si>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</si>
  <si>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</si>
  <si>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</si>
  <si>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</si>
  <si>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</si>
  <si>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</si>
  <si>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</si>
  <si>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</si>
  <si>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</si>
  <si>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</si>
  <si>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</si>
  <si>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</si>
  <si>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</si>
  <si>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</si>
  <si>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</si>
  <si>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</si>
  <si>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</si>
  <si>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</si>
  <si>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</si>
  <si>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</si>
  <si>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</si>
  <si>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</si>
  <si>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</si>
  <si>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</si>
  <si>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</si>
  <si>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</si>
  <si>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</si>
  <si>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</si>
  <si>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</si>
  <si>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</si>
  <si>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</si>
  <si>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</si>
  <si>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</si>
  <si>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</si>
  <si>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</si>
  <si>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</si>
  <si>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</si>
  <si>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</si>
  <si>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</si>
  <si>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</si>
  <si>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</si>
  <si>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</si>
  <si>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</si>
  <si>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</si>
  <si>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250513 수정 견적서 제출 완료 /
MTR에서 로템과 PAPIS 포함 사업전체 계약 요망</t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</si>
  <si>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</si>
  <si>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</si>
  <si>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</si>
  <si>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</si>
  <si>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</si>
  <si>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</si>
  <si>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SRT 영상방송시스템 개량</t>
  </si>
  <si>
    <t>히어링루프 개발(국산화)</t>
  </si>
  <si>
    <t>김포골드라인 1차분 / 2차분</t>
  </si>
  <si>
    <t>250521 견적 제출 완료 / 250522 수정견적 요청에 무대응</t>
  </si>
  <si>
    <t>카자흐스탄</t>
  </si>
  <si>
    <t>인도네시아</t>
  </si>
  <si>
    <t>튀르키예</t>
  </si>
  <si>
    <t>알마티 전동차 28량 방송장치 대체품</t>
  </si>
  <si>
    <t>자카르타 경전철 TCMS 및 방송장치 보드류 예비품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</si>
  <si>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</si>
  <si>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</si>
  <si>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</si>
  <si>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</si>
  <si>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</si>
  <si>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250702 e-mail로 PO 대체 /
업무 종료(8월 중 예상) 후 세금계산서 발행</t>
    <phoneticPr fontId="3" type="noConversion"/>
  </si>
  <si>
    <t>e-mail</t>
    <phoneticPr fontId="3" type="noConversion"/>
  </si>
  <si>
    <t>20250704 계약 미체결 확정</t>
    <phoneticPr fontId="3" type="noConversion"/>
  </si>
  <si>
    <t>250702 e-mail로 PO 대체 / 7월 말 세금계산서 발행</t>
  </si>
  <si>
    <t>HSJ20250516-01</t>
    <phoneticPr fontId="3" type="noConversion"/>
  </si>
  <si>
    <t>250702 e-mail로 PO 대체 /
7월 말 세금계산서 발행</t>
    <phoneticPr fontId="3" type="noConversion"/>
  </si>
  <si>
    <t>위플랫에서 대체 참여과제 탐색 중</t>
  </si>
  <si>
    <t>250605 [KTU 신역사] 가격 조정 요청에 5% 수준 가능 회신(이세한 미주영업팀장)
250702 [9호선 열차번호표시기 SW] e-mail로 PO 대체 /
업무 종료(8월 중 예상) 후 세금계산서 발행</t>
    <phoneticPr fontId="3" type="noConversion"/>
  </si>
  <si>
    <t>7호선 3차분 PIS-CSC 장치 보수품</t>
    <phoneticPr fontId="3" type="noConversion"/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</si>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</sst>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2" t="s">
        <v>75</v>
      </c>
      <c r="F2" s="77"/>
      <c r="G2" s="78"/>
      <c r="H2" s="77" t="s">
        <v>79</v>
      </c>
      <c r="I2" s="77"/>
      <c r="J2" s="77"/>
      <c r="K2" s="77"/>
      <c r="L2" s="77"/>
      <c r="M2" s="73"/>
    </row>
    <row r="3" spans="2:14">
      <c r="B3" s="62" t="s">
        <v>73</v>
      </c>
      <c r="C3" s="79" t="s">
        <v>74</v>
      </c>
      <c r="D3" s="73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2" t="s">
        <v>80</v>
      </c>
      <c r="D4" s="73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9"/>
    </row>
    <row r="5" spans="2:14" ht="49.5">
      <c r="B5" s="44">
        <v>2</v>
      </c>
      <c r="C5" s="72" t="s">
        <v>55</v>
      </c>
      <c r="D5" s="73"/>
      <c r="E5" s="49">
        <f>SUM(F5:G5)</f>
        <v>527373790</v>
      </c>
      <c r="F5" s="38">
        <f>'2.현대로템'!S34</f>
        <v>527373790</v>
      </c>
      <c r="G5" s="41">
        <f>'2.현대로템'!T34</f>
        <v>0</v>
      </c>
      <c r="H5" s="45">
        <f>'2.현대로템'!O34</f>
        <v>28567790</v>
      </c>
      <c r="I5" s="46">
        <f>'2.현대로템'!P34</f>
        <v>28567790</v>
      </c>
      <c r="J5" s="47">
        <f>'2.현대로템'!Q34</f>
        <v>0</v>
      </c>
      <c r="K5" s="42">
        <f>H5/E5</f>
        <v>5.4169908595571276E-2</v>
      </c>
      <c r="L5" s="43"/>
      <c r="M5" s="43"/>
      <c r="N5" s="69" t="s">
        <v>153</v>
      </c>
    </row>
    <row r="6" spans="2:14">
      <c r="B6" s="44">
        <v>3</v>
      </c>
      <c r="C6" s="72" t="s">
        <v>72</v>
      </c>
      <c r="D6" s="73"/>
      <c r="E6" s="49">
        <f>SUM(F6:G6)</f>
        <v>119575000</v>
      </c>
      <c r="F6" s="38">
        <f>'3.인터모빌리티'!S34</f>
        <v>36585000</v>
      </c>
      <c r="G6" s="41">
        <f>'3.인터모빌리티'!T34</f>
        <v>82990000</v>
      </c>
      <c r="H6" s="45">
        <f>'3.인터모빌리티'!O34</f>
        <v>36585000</v>
      </c>
      <c r="I6" s="46">
        <f>'3.인터모빌리티'!P34</f>
        <v>36585000</v>
      </c>
      <c r="J6" s="47">
        <f>'3.인터모빌리티'!Q34</f>
        <v>0</v>
      </c>
      <c r="K6" s="42">
        <f>H6/E6</f>
        <v>0.3059586033869956</v>
      </c>
      <c r="L6" s="43"/>
      <c r="M6" s="43"/>
      <c r="N6" s="70" t="s">
        <v>149</v>
      </c>
    </row>
    <row r="7" spans="2:14">
      <c r="B7" s="44">
        <v>4</v>
      </c>
      <c r="C7" s="72" t="s">
        <v>61</v>
      </c>
      <c r="D7" s="73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44">
        <v>5</v>
      </c>
      <c r="C8" s="72" t="s">
        <v>96</v>
      </c>
      <c r="D8" s="73"/>
      <c r="E8" s="49">
        <f t="shared" ref="E8:E20" si="0">SUM(F8:G8)</f>
        <v>186300000</v>
      </c>
      <c r="F8" s="38">
        <f>'5.서울교통공사'!S34</f>
        <v>0</v>
      </c>
      <c r="G8" s="41">
        <f>'5.서울교통공사'!T34</f>
        <v>186300000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6.4412238325281803E-3</v>
      </c>
      <c r="L8" s="43"/>
      <c r="M8" s="43"/>
      <c r="N8" s="56"/>
    </row>
    <row r="9" spans="2:14">
      <c r="B9" s="44">
        <v>6</v>
      </c>
      <c r="C9" s="72" t="s">
        <v>127</v>
      </c>
      <c r="D9" s="73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9" t="s">
        <v>135</v>
      </c>
    </row>
    <row r="10" spans="2:14">
      <c r="B10" s="44">
        <v>7</v>
      </c>
      <c r="C10" s="72" t="s">
        <v>86</v>
      </c>
      <c r="D10" s="73"/>
      <c r="E10" s="49">
        <f>SUM(F10:G10)</f>
        <v>560588000</v>
      </c>
      <c r="F10" s="38">
        <f>'7.GMTECH'!S34</f>
        <v>0</v>
      </c>
      <c r="G10" s="41">
        <f>'7.GMTECH'!T34</f>
        <v>560588000</v>
      </c>
      <c r="H10" s="45">
        <f>'7.GMTECH'!O34</f>
        <v>0</v>
      </c>
      <c r="I10" s="45">
        <f>'7.GMTECH'!P34</f>
        <v>0</v>
      </c>
      <c r="J10" s="47">
        <f>'7.GMTECH'!Q34</f>
        <v>0</v>
      </c>
      <c r="K10" s="42">
        <f>H10/E10</f>
        <v>0</v>
      </c>
      <c r="L10" s="43"/>
      <c r="M10" s="43"/>
      <c r="N10" s="70"/>
    </row>
    <row r="11" spans="2:14">
      <c r="B11" s="62" t="s">
        <v>155</v>
      </c>
      <c r="C11" s="74" t="s">
        <v>109</v>
      </c>
      <c r="D11" s="44" t="s">
        <v>126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70"/>
    </row>
    <row r="12" spans="2:14">
      <c r="B12" s="62" t="s">
        <v>156</v>
      </c>
      <c r="C12" s="75"/>
      <c r="D12" s="44" t="s">
        <v>100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157</v>
      </c>
      <c r="C13" s="75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158</v>
      </c>
      <c r="C14" s="75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159</v>
      </c>
      <c r="C15" s="75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160</v>
      </c>
      <c r="C16" s="75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161</v>
      </c>
      <c r="C17" s="75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162</v>
      </c>
      <c r="C18" s="76"/>
      <c r="D18" s="44" t="s">
        <v>123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7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2755754932.6999998</v>
      </c>
      <c r="F20" s="38">
        <f>SUM(F4:F19)</f>
        <v>1246194465.6999998</v>
      </c>
      <c r="G20" s="41">
        <f>SUM(G4:G19)</f>
        <v>1509560467</v>
      </c>
      <c r="H20" s="45">
        <f>SUM(H4:H19)</f>
        <v>748588465.70000005</v>
      </c>
      <c r="I20" s="46">
        <f>SUM(I4:I19)</f>
        <v>748588465.70000005</v>
      </c>
      <c r="J20" s="47">
        <f>SUM(J4:J19)</f>
        <v>0</v>
      </c>
      <c r="K20" s="42">
        <f t="shared" si="1"/>
        <v>0.27164551419910088</v>
      </c>
      <c r="L20" s="43"/>
      <c r="M20" s="43"/>
      <c r="N20" s="43"/>
    </row>
  </sheetData>
  <mergeCells count="11">
    <mergeCell ref="E2:G2"/>
    <mergeCell ref="H2:M2"/>
    <mergeCell ref="C3:D3"/>
    <mergeCell ref="C4:D4"/>
    <mergeCell ref="C8:D8"/>
    <mergeCell ref="C5:D5"/>
    <mergeCell ref="C7:D7"/>
    <mergeCell ref="C6:D6"/>
    <mergeCell ref="C10:D10"/>
    <mergeCell ref="C11:C18"/>
    <mergeCell ref="C9:D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106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106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106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106</v>
      </c>
      <c r="E4" s="9" t="s">
        <v>115</v>
      </c>
      <c r="F4" s="9"/>
      <c r="G4" s="51">
        <v>45693</v>
      </c>
      <c r="H4" s="52">
        <f>G4+15</f>
        <v>45708</v>
      </c>
      <c r="I4" s="9" t="s">
        <v>99</v>
      </c>
      <c r="J4" s="51">
        <v>45714</v>
      </c>
      <c r="K4" s="51">
        <v>45741</v>
      </c>
      <c r="L4" s="10"/>
      <c r="M4" s="10" t="s">
        <v>108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56</v>
      </c>
      <c r="D5" s="16" t="s">
        <v>107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105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117</v>
      </c>
    </row>
    <row r="6" spans="1:24" s="14" customFormat="1" ht="33">
      <c r="B6" s="8">
        <v>3</v>
      </c>
      <c r="C6" s="9" t="s">
        <v>56</v>
      </c>
      <c r="D6" s="8" t="s">
        <v>106</v>
      </c>
      <c r="E6" s="9" t="s">
        <v>112</v>
      </c>
      <c r="F6" s="9"/>
      <c r="G6" s="51">
        <v>45741</v>
      </c>
      <c r="H6" s="52">
        <f>G6+15</f>
        <v>45756</v>
      </c>
      <c r="I6" s="9" t="s">
        <v>113</v>
      </c>
      <c r="J6" s="51">
        <v>45742</v>
      </c>
      <c r="K6" s="10"/>
      <c r="L6" s="10"/>
      <c r="M6" s="9" t="s">
        <v>111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63">
        <v>6875</v>
      </c>
    </row>
    <row r="7" spans="1:24" s="14" customFormat="1" ht="33">
      <c r="B7" s="16">
        <v>4</v>
      </c>
      <c r="C7" s="17" t="s">
        <v>56</v>
      </c>
      <c r="D7" s="16" t="s">
        <v>106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114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125</v>
      </c>
    </row>
    <row r="8" spans="1:24" s="14" customFormat="1" ht="33">
      <c r="B8" s="16">
        <v>5</v>
      </c>
      <c r="C8" s="9" t="s">
        <v>56</v>
      </c>
      <c r="D8" s="8" t="s">
        <v>120</v>
      </c>
      <c r="E8" s="9" t="s">
        <v>119</v>
      </c>
      <c r="F8" s="9"/>
      <c r="G8" s="51">
        <v>45772</v>
      </c>
      <c r="H8" s="52">
        <f>G8+15</f>
        <v>45787</v>
      </c>
      <c r="I8" s="71" t="s">
        <v>147</v>
      </c>
      <c r="J8" s="51">
        <v>45840</v>
      </c>
      <c r="K8" s="18"/>
      <c r="L8" s="18"/>
      <c r="M8" s="9" t="s">
        <v>121</v>
      </c>
      <c r="N8" s="17"/>
      <c r="O8" s="11">
        <v>8684450</v>
      </c>
      <c r="P8" s="11">
        <v>8684450</v>
      </c>
      <c r="Q8" s="26"/>
      <c r="R8" s="13">
        <v>10217000</v>
      </c>
      <c r="S8" s="53">
        <v>8684450</v>
      </c>
      <c r="T8" s="13"/>
      <c r="U8" s="13"/>
      <c r="V8" s="13"/>
      <c r="W8" s="19"/>
      <c r="X8" s="48" t="s">
        <v>146</v>
      </c>
    </row>
    <row r="9" spans="1:24" s="14" customFormat="1">
      <c r="B9" s="16">
        <v>6</v>
      </c>
      <c r="C9" s="17" t="s">
        <v>56</v>
      </c>
      <c r="D9" s="16" t="s">
        <v>136</v>
      </c>
      <c r="E9" s="17"/>
      <c r="F9" s="17"/>
      <c r="G9" s="16"/>
      <c r="H9" s="18"/>
      <c r="I9" s="17"/>
      <c r="J9" s="16"/>
      <c r="K9" s="18"/>
      <c r="L9" s="18"/>
      <c r="M9" s="17" t="s">
        <v>139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ht="33">
      <c r="A10" s="1"/>
      <c r="B10" s="16">
        <v>7</v>
      </c>
      <c r="C10" s="17" t="s">
        <v>56</v>
      </c>
      <c r="D10" s="16" t="s">
        <v>137</v>
      </c>
      <c r="E10" s="17"/>
      <c r="F10" s="17"/>
      <c r="G10" s="16"/>
      <c r="H10" s="18"/>
      <c r="I10" s="17"/>
      <c r="J10" s="16"/>
      <c r="K10" s="18"/>
      <c r="L10" s="18"/>
      <c r="M10" s="17" t="s">
        <v>140</v>
      </c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>
        <v>8</v>
      </c>
      <c r="C11" s="17" t="s">
        <v>56</v>
      </c>
      <c r="D11" s="16" t="s">
        <v>138</v>
      </c>
      <c r="E11" s="17"/>
      <c r="F11" s="17"/>
      <c r="G11" s="16"/>
      <c r="H11" s="18"/>
      <c r="I11" s="17"/>
      <c r="J11" s="16"/>
      <c r="K11" s="18"/>
      <c r="L11" s="18"/>
      <c r="M11" s="17" t="s">
        <v>141</v>
      </c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ht="33">
      <c r="B12" s="16">
        <v>9</v>
      </c>
      <c r="C12" s="17" t="s">
        <v>56</v>
      </c>
      <c r="D12" s="16" t="s">
        <v>138</v>
      </c>
      <c r="E12" s="17"/>
      <c r="F12" s="17"/>
      <c r="G12" s="16"/>
      <c r="H12" s="18"/>
      <c r="I12" s="17"/>
      <c r="J12" s="16"/>
      <c r="K12" s="18"/>
      <c r="L12" s="18"/>
      <c r="M12" s="17" t="s">
        <v>142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ht="33">
      <c r="B13" s="16">
        <v>10</v>
      </c>
      <c r="C13" s="17" t="s">
        <v>56</v>
      </c>
      <c r="D13" s="16" t="s">
        <v>138</v>
      </c>
      <c r="E13" s="17"/>
      <c r="F13" s="17"/>
      <c r="G13" s="16"/>
      <c r="H13" s="18"/>
      <c r="I13" s="17"/>
      <c r="J13" s="16"/>
      <c r="K13" s="18"/>
      <c r="L13" s="18"/>
      <c r="M13" s="17" t="s">
        <v>143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>
        <v>11</v>
      </c>
      <c r="C14" s="17" t="s">
        <v>56</v>
      </c>
      <c r="D14" s="16" t="s">
        <v>138</v>
      </c>
      <c r="E14" s="17"/>
      <c r="F14" s="17"/>
      <c r="G14" s="16"/>
      <c r="H14" s="18"/>
      <c r="I14" s="17"/>
      <c r="J14" s="16"/>
      <c r="K14" s="18"/>
      <c r="L14" s="18"/>
      <c r="M14" s="17" t="s">
        <v>144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>
        <v>12</v>
      </c>
      <c r="C15" s="17" t="s">
        <v>56</v>
      </c>
      <c r="D15" s="16" t="s">
        <v>138</v>
      </c>
      <c r="E15" s="17"/>
      <c r="F15" s="17"/>
      <c r="G15" s="16"/>
      <c r="H15" s="18"/>
      <c r="I15" s="17"/>
      <c r="J15" s="16"/>
      <c r="K15" s="18"/>
      <c r="L15" s="18"/>
      <c r="M15" s="17" t="s">
        <v>145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28567790</v>
      </c>
      <c r="P34" s="13">
        <f t="shared" si="0"/>
        <v>28567790</v>
      </c>
      <c r="Q34" s="13">
        <f t="shared" si="0"/>
        <v>0</v>
      </c>
      <c r="R34" s="13">
        <f t="shared" si="0"/>
        <v>528906340</v>
      </c>
      <c r="S34" s="13">
        <f t="shared" si="0"/>
        <v>527373790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72</v>
      </c>
      <c r="D4" s="16" t="s">
        <v>116</v>
      </c>
      <c r="E4" s="17" t="s">
        <v>91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92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 ht="33">
      <c r="A5" s="1"/>
      <c r="B5" s="16">
        <v>2</v>
      </c>
      <c r="C5" s="9" t="s">
        <v>72</v>
      </c>
      <c r="D5" s="8" t="s">
        <v>13</v>
      </c>
      <c r="E5" s="9" t="s">
        <v>150</v>
      </c>
      <c r="F5" s="9"/>
      <c r="G5" s="51">
        <v>45793</v>
      </c>
      <c r="H5" s="51">
        <f>G5+15</f>
        <v>45808</v>
      </c>
      <c r="I5" s="71" t="s">
        <v>147</v>
      </c>
      <c r="J5" s="51">
        <v>45840</v>
      </c>
      <c r="K5" s="18"/>
      <c r="L5" s="18"/>
      <c r="M5" s="17" t="s">
        <v>122</v>
      </c>
      <c r="N5" s="17"/>
      <c r="O5" s="11">
        <v>36585000</v>
      </c>
      <c r="P5" s="11">
        <v>36585000</v>
      </c>
      <c r="Q5" s="26"/>
      <c r="R5" s="11">
        <v>36585000</v>
      </c>
      <c r="S5" s="11">
        <v>36585000</v>
      </c>
      <c r="T5" s="53"/>
      <c r="U5" s="13"/>
      <c r="V5" s="13"/>
      <c r="W5" s="19"/>
      <c r="X5" s="48" t="s">
        <v>151</v>
      </c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36585000</v>
      </c>
      <c r="P34" s="13">
        <f t="shared" si="0"/>
        <v>36585000</v>
      </c>
      <c r="Q34" s="13">
        <f t="shared" si="0"/>
        <v>0</v>
      </c>
      <c r="R34" s="13">
        <f t="shared" si="0"/>
        <v>119575000</v>
      </c>
      <c r="S34" s="13">
        <f t="shared" si="0"/>
        <v>36585000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103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110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148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94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93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96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96</v>
      </c>
      <c r="D5" s="8"/>
      <c r="E5" s="17" t="s">
        <v>97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98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89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90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104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8" t="s">
        <v>154</v>
      </c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128</v>
      </c>
      <c r="D4" s="16" t="s">
        <v>13</v>
      </c>
      <c r="E4" s="17" t="s">
        <v>131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129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130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18" t="s">
        <v>132</v>
      </c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 t="s">
        <v>133</v>
      </c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116</v>
      </c>
      <c r="E4" s="17" t="s">
        <v>95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92</v>
      </c>
      <c r="N4" s="17"/>
      <c r="O4" s="13"/>
      <c r="P4" s="11"/>
      <c r="Q4" s="15"/>
      <c r="R4" s="13">
        <v>575270000</v>
      </c>
      <c r="S4" s="53"/>
      <c r="T4" s="53">
        <v>560588000</v>
      </c>
      <c r="U4" s="13"/>
      <c r="V4" s="13"/>
      <c r="W4" s="19"/>
      <c r="X4" s="48" t="s">
        <v>118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560588000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G44" sqref="G4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126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134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100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101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102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123</v>
      </c>
      <c r="D11" s="16" t="s">
        <v>13</v>
      </c>
      <c r="E11" s="17"/>
      <c r="F11" s="17"/>
      <c r="G11" s="68">
        <v>45786</v>
      </c>
      <c r="H11" s="18"/>
      <c r="I11" s="17"/>
      <c r="J11" s="16"/>
      <c r="K11" s="18"/>
      <c r="L11" s="18"/>
      <c r="M11" s="66" t="s">
        <v>124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71" t="s">
        <v>152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S.S. Choi</cp:lastModifiedBy>
  <dcterms:created xsi:type="dcterms:W3CDTF">2024-12-31T06:54:11Z</dcterms:created>
  <dcterms:modified xsi:type="dcterms:W3CDTF">2025-08-05T23:47:26Z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
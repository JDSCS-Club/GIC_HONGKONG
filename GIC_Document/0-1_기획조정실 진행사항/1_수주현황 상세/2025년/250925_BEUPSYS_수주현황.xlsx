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1_수주현황 상세\2025년\"/>
    </mc:Choice>
  </mc:AlternateContent>
  <xr:revisionPtr revIDLastSave="0" documentId="13_ncr:1_{CE7B66D8-C974-470B-9608-0427028A0EE9}" xr6:coauthVersionLast="47" xr6:coauthVersionMax="47" xr10:uidLastSave="{00000000-0000-0000-0000-000000000000}"/>
  <bookViews>
    <workbookView xWindow="-110" yWindow="-110" windowWidth="25820" windowHeight="15500" tabRatio="948" xr2:uid="{94AEEC11-5145-4BB5-83E0-0258373AD203}"/>
  </bookViews>
  <sheets>
    <sheet name="Total" sheetId="1" r:id="rId1"/>
    <sheet name="1.지아이씨" sheetId="2" r:id="rId2"/>
    <sheet name="2.현대로템" sheetId="5" r:id="rId3"/>
    <sheet name="3.인터모빌리티" sheetId="12" r:id="rId4"/>
    <sheet name="4.다원시스" sheetId="8" r:id="rId5"/>
    <sheet name="5.서울교통공사" sheetId="4" r:id="rId6"/>
    <sheet name="6.고구려엔지니어링" sheetId="14" r:id="rId7"/>
    <sheet name="7.GMTECH" sheetId="13" r:id="rId8"/>
    <sheet name="8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J7" i="4"/>
  <c r="K7" i="4"/>
  <c r="W6" i="12"/>
  <c r="H6" i="12"/>
  <c r="H4" i="12"/>
  <c r="W5" i="8"/>
  <c r="W6" i="5"/>
  <c r="W4" i="5"/>
  <c r="W16" i="2"/>
  <c r="W15" i="2"/>
  <c r="W14" i="2"/>
  <c r="W13" i="2"/>
  <c r="W12" i="2"/>
  <c r="W11" i="2"/>
  <c r="W10" i="2"/>
  <c r="W9" i="2"/>
  <c r="W8" i="2"/>
  <c r="W7" i="2"/>
  <c r="W6" i="2"/>
  <c r="W5" i="2"/>
  <c r="W34" i="14"/>
  <c r="V34" i="14"/>
  <c r="U34" i="14"/>
  <c r="T34" i="14"/>
  <c r="G9" i="1" s="1"/>
  <c r="S34" i="14"/>
  <c r="F9" i="1" s="1"/>
  <c r="R34" i="14"/>
  <c r="Q34" i="14"/>
  <c r="P34" i="14"/>
  <c r="O34" i="14"/>
  <c r="H5" i="12"/>
  <c r="J18" i="1"/>
  <c r="I18" i="1"/>
  <c r="H18" i="1"/>
  <c r="G18" i="1"/>
  <c r="F18" i="1"/>
  <c r="E18" i="1" l="1"/>
  <c r="K18" i="1" s="1"/>
  <c r="E9" i="1"/>
  <c r="W4" i="2"/>
  <c r="H6" i="5" l="1"/>
  <c r="J17" i="1" l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H5" i="5"/>
  <c r="E12" i="1" l="1"/>
  <c r="E16" i="1"/>
  <c r="E17" i="1"/>
  <c r="E15" i="1"/>
  <c r="E14" i="1"/>
  <c r="E13" i="1"/>
  <c r="K12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W34" i="13" l="1"/>
  <c r="V34" i="13"/>
  <c r="U34" i="13"/>
  <c r="T34" i="13"/>
  <c r="G10" i="1" s="1"/>
  <c r="S34" i="13"/>
  <c r="F10" i="1" s="1"/>
  <c r="R34" i="13"/>
  <c r="Q34" i="13"/>
  <c r="J10" i="1" s="1"/>
  <c r="P34" i="13"/>
  <c r="I10" i="1" s="1"/>
  <c r="O34" i="13"/>
  <c r="H10" i="1" s="1"/>
  <c r="O34" i="2"/>
  <c r="H4" i="1" s="1"/>
  <c r="P34" i="2"/>
  <c r="I4" i="1" s="1"/>
  <c r="Q34" i="2"/>
  <c r="J4" i="1" s="1"/>
  <c r="E10" i="1" l="1"/>
  <c r="K10" i="1" s="1"/>
  <c r="W34" i="12"/>
  <c r="V34" i="12"/>
  <c r="U34" i="12"/>
  <c r="T34" i="12"/>
  <c r="G6" i="1" s="1"/>
  <c r="S34" i="12"/>
  <c r="F6" i="1" s="1"/>
  <c r="R34" i="12"/>
  <c r="Q34" i="12"/>
  <c r="J6" i="1" s="1"/>
  <c r="P34" i="12"/>
  <c r="I6" i="1" s="1"/>
  <c r="O34" i="12"/>
  <c r="H6" i="1" s="1"/>
  <c r="E6" i="1" l="1"/>
  <c r="K6" i="1" s="1"/>
  <c r="K16" i="1"/>
  <c r="K17" i="1"/>
  <c r="W34" i="8"/>
  <c r="V34" i="8"/>
  <c r="U34" i="8"/>
  <c r="T34" i="8"/>
  <c r="G7" i="1" s="1"/>
  <c r="S34" i="8"/>
  <c r="F7" i="1" s="1"/>
  <c r="R34" i="8"/>
  <c r="Q34" i="8"/>
  <c r="J7" i="1" s="1"/>
  <c r="P34" i="8"/>
  <c r="I7" i="1" s="1"/>
  <c r="O34" i="8"/>
  <c r="H7" i="1" s="1"/>
  <c r="W34" i="5"/>
  <c r="V34" i="5"/>
  <c r="U34" i="5"/>
  <c r="T34" i="5"/>
  <c r="G5" i="1" s="1"/>
  <c r="S34" i="5"/>
  <c r="F5" i="1" s="1"/>
  <c r="R34" i="5"/>
  <c r="Q34" i="5"/>
  <c r="J5" i="1" s="1"/>
  <c r="P34" i="5"/>
  <c r="I5" i="1" s="1"/>
  <c r="O34" i="5"/>
  <c r="H5" i="1" s="1"/>
  <c r="W34" i="4"/>
  <c r="V34" i="4"/>
  <c r="U34" i="4"/>
  <c r="T34" i="4"/>
  <c r="G8" i="1" s="1"/>
  <c r="S34" i="4"/>
  <c r="F8" i="1" s="1"/>
  <c r="R34" i="4"/>
  <c r="Q34" i="4"/>
  <c r="J8" i="1" s="1"/>
  <c r="P34" i="4"/>
  <c r="I8" i="1" s="1"/>
  <c r="O34" i="4"/>
  <c r="H8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O34" i="3"/>
  <c r="U34" i="2"/>
  <c r="V34" i="2"/>
  <c r="E4" i="1" l="1"/>
  <c r="E8" i="1"/>
  <c r="K8" i="1" s="1"/>
  <c r="E7" i="1"/>
  <c r="K7" i="1" s="1"/>
  <c r="E11" i="1"/>
  <c r="K11" i="1" s="1"/>
  <c r="E5" i="1"/>
  <c r="K5" i="1" s="1"/>
  <c r="G20" i="1"/>
  <c r="J20" i="1"/>
  <c r="H20" i="1"/>
  <c r="I20" i="1"/>
  <c r="K13" i="1"/>
  <c r="F20" i="1"/>
  <c r="K14" i="1"/>
  <c r="K15" i="1"/>
  <c r="R34" i="2"/>
  <c r="E20" i="1" l="1"/>
  <c r="K20" i="1" s="1"/>
  <c r="K4" i="1"/>
</calcChain>
</file>

<file path=xl/sharedStrings.xml><?xml version="1.0" encoding="utf-8"?>
<sst xmlns="http://schemas.openxmlformats.org/spreadsheetml/2006/main" count="402" uniqueCount="176">
  <si>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</si>
  <si>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</si>
  <si>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</si>
  <si>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</si>
  <si>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</si>
  <si>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</si>
  <si>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</si>
  <si>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</si>
  <si>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</si>
  <si>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</si>
  <si>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</si>
  <si>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</si>
  <si>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</si>
  <si>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</si>
  <si>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</si>
  <si>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</si>
  <si>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</si>
  <si>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</si>
  <si>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</si>
  <si>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</si>
  <si>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</si>
  <si>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</si>
  <si>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</si>
  <si>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</si>
  <si>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</si>
  <si>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</si>
  <si>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</si>
  <si>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</si>
  <si>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</si>
  <si>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</si>
  <si>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</si>
  <si>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</si>
  <si>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</si>
  <si>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</si>
  <si>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</si>
  <si>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</si>
  <si>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</si>
  <si>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</si>
  <si>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</si>
  <si>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</si>
  <si>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</si>
  <si>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</si>
  <si>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</si>
  <si>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</si>
  <si>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</si>
  <si>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</si>
  <si>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</si>
  <si>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</si>
  <si>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</si>
  <si>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</si>
  <si>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</si>
  <si>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</si>
  <si>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</si>
  <si>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</si>
  <si>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</si>
  <si>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</si>
  <si>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</si>
  <si>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</si>
  <si>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</si>
  <si>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</si>
  <si>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</si>
  <si>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</si>
  <si>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</si>
  <si>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</si>
  <si>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</si>
  <si>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</si>
  <si>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</si>
  <si>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</si>
  <si>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</si>
  <si>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</si>
  <si>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</si>
  <si>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</si>
  <si>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</si>
  <si>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</si>
  <si>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</si>
  <si>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</si>
  <si>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</si>
  <si>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</si>
  <si>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</si>
  <si>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</si>
  <si>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</si>
  <si>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</si>
  <si>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</si>
  <si>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</si>
  <si>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</si>
  <si>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</si>
  <si>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</si>
  <si>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</si>
  <si>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</si>
  <si>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</si>
  <si>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</si>
  <si>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</si>
  <si>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</si>
  <si>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</si>
  <si>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</si>
  <si>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</si>
  <si>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</si>
  <si>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</si>
  <si>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</si>
  <si>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</si>
  <si>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</si>
  <si>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</si>
  <si>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</si>
  <si>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</si>
  <si>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</si>
  <si>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</si>
  <si>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</si>
  <si>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기타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</si>
  <si>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</si>
  <si>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</si>
  <si>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</si>
  <si>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</si>
  <si>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</si>
  <si>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</si>
  <si>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</si>
  <si>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LED 품목 2종 포함 20250415 재견적</t>
    <phoneticPr fontId="3" type="noConversion"/>
  </si>
  <si>
    <t>HSJ20250425-01</t>
    <phoneticPr fontId="3" type="noConversion"/>
  </si>
  <si>
    <t>대한민국</t>
    <phoneticPr fontId="3" type="noConversion"/>
  </si>
  <si>
    <t>위플랫</t>
    <phoneticPr fontId="3" type="noConversion"/>
  </si>
  <si>
    <t>GPR 시스템 개발</t>
    <phoneticPr fontId="3" type="noConversion"/>
  </si>
  <si>
    <t>김포골드라인SRS</t>
    <phoneticPr fontId="3" type="noConversion"/>
  </si>
  <si>
    <t>고구려엔지니어링</t>
    <phoneticPr fontId="3" type="noConversion"/>
  </si>
  <si>
    <t>고구려
엔지니어링</t>
    <phoneticPr fontId="3" type="noConversion"/>
  </si>
  <si>
    <t>ITX-새마을 객실안내표시장치 개선</t>
    <phoneticPr fontId="3" type="noConversion"/>
  </si>
  <si>
    <t>250521 견적 제출 완료</t>
    <phoneticPr fontId="3" type="noConversion"/>
  </si>
  <si>
    <t>HSJ20250521-03</t>
    <phoneticPr fontId="3" type="noConversion"/>
  </si>
  <si>
    <t>김포골드라인 1차분 / 2차분</t>
  </si>
  <si>
    <t>카자흐스탄</t>
  </si>
  <si>
    <t>인도네시아</t>
  </si>
  <si>
    <t>튀르키예</t>
  </si>
  <si>
    <t>알마티 전동차 28량 방송장치 대체품</t>
  </si>
  <si>
    <t>예니카프 전동차 68량 CCTV</t>
  </si>
  <si>
    <t>예니카프 전동차 68량 스피커 및 노이즈 센서</t>
  </si>
  <si>
    <t>마르마라이 전동차 OPERATION PANEL</t>
  </si>
  <si>
    <t>예니카프 전동차 68량 보드</t>
  </si>
  <si>
    <t>마르마라이 440량 CCTV</t>
  </si>
  <si>
    <t>20250704 계약 미체결 확정</t>
    <phoneticPr fontId="3" type="noConversion"/>
  </si>
  <si>
    <t>HSJ20250516-01</t>
    <phoneticPr fontId="3" type="noConversion"/>
  </si>
  <si>
    <t>위플랫에서 대체 참여과제 탐색 중</t>
  </si>
  <si>
    <t>8-1</t>
    <phoneticPr fontId="3" type="noConversion"/>
  </si>
  <si>
    <t>8-2</t>
    <phoneticPr fontId="3" type="noConversion"/>
  </si>
  <si>
    <t>8-3</t>
    <phoneticPr fontId="3" type="noConversion"/>
  </si>
  <si>
    <t>8-4</t>
    <phoneticPr fontId="3" type="noConversion"/>
  </si>
  <si>
    <t>8-5</t>
    <phoneticPr fontId="3" type="noConversion"/>
  </si>
  <si>
    <t>8-6</t>
    <phoneticPr fontId="3" type="noConversion"/>
  </si>
  <si>
    <t>8-7</t>
    <phoneticPr fontId="3" type="noConversion"/>
  </si>
  <si>
    <t>8-8</t>
    <phoneticPr fontId="3" type="noConversion"/>
  </si>
  <si>
    <t>2024년 수주 이월 / 프로젝트 종료</t>
    <phoneticPr fontId="3" type="noConversion"/>
  </si>
  <si>
    <t>자카르타 경전철 TCMS 신규 개발</t>
    <phoneticPr fontId="3" type="noConversion"/>
  </si>
  <si>
    <t>2024년 수주 이월</t>
  </si>
  <si>
    <t>통전 검사기 HW 개발</t>
  </si>
  <si>
    <t>통합통전검사기 개발</t>
  </si>
  <si>
    <t>POSCO TCMS 관련 통신보드 HW 개발</t>
  </si>
  <si>
    <t>자카르타 경전철 방송장치 보드류 예비품</t>
  </si>
  <si>
    <t>HSJ20250819-01</t>
    <phoneticPr fontId="3" type="noConversion"/>
  </si>
  <si>
    <t>7호선 3차분 CSC 대 수선</t>
    <phoneticPr fontId="3" type="noConversion"/>
  </si>
  <si>
    <r>
      <t xml:space="preserve">2024년 수주 이월 /
</t>
    </r>
    <r>
      <rPr>
        <b/>
        <sz val="11"/>
        <color rgb="FFFF0000"/>
        <rFont val="맑은 고딕"/>
        <family val="3"/>
        <charset val="129"/>
        <scheme val="minor"/>
      </rPr>
      <t>CTM &amp; MSR 출고 후 프로젝트 종료</t>
    </r>
    <phoneticPr fontId="3" type="noConversion"/>
  </si>
  <si>
    <t>현대로템과 공동으로 시행청 협의 예정 (9월 3~4일)</t>
  </si>
  <si>
    <t>250801 선금(30%) 수금 완료</t>
    <phoneticPr fontId="3" type="noConversion"/>
  </si>
  <si>
    <t>개발 자재대금 보전 성격 / 250811 대금 수금</t>
    <phoneticPr fontId="3" type="noConversion"/>
  </si>
  <si>
    <t>250801 대금 수금 / 프로젝트 종료</t>
    <phoneticPr fontId="3" type="noConversion"/>
  </si>
  <si>
    <t>USD 6885
250615 수금 완료 / 프로젝트 종료</t>
    <phoneticPr fontId="3" type="noConversion"/>
  </si>
  <si>
    <t>USD 6875 / 수금 완료 / 프로젝트 종료</t>
    <phoneticPr fontId="3" type="noConversion"/>
  </si>
  <si>
    <t>2024년 수주 이월 / 250808 대금 30%(\105,304,551) 수금 / 프로젝트 종료</t>
    <phoneticPr fontId="3" type="noConversion"/>
  </si>
  <si>
    <t>서울교통공사에서 나라장터 통한 입찰공고 준비 중 (2026년)</t>
    <phoneticPr fontId="3" type="noConversion"/>
  </si>
  <si>
    <t>9호선열차번호표시기 예비품 공급 및 SW업데이트</t>
    <phoneticPr fontId="3" type="noConversion"/>
  </si>
  <si>
    <t>HSJ20250521-02_rev.3</t>
    <phoneticPr fontId="3" type="noConversion"/>
  </si>
  <si>
    <t>250908 협력사 등록완료
250911 가격 조정 5% 수용, 대금지급 마일스톤 제출</t>
    <phoneticPr fontId="3" type="noConversion"/>
  </si>
  <si>
    <t>2024년 수주 이월 /
250910 중도금 30%(\81,000,000) 입금 완료</t>
    <phoneticPr fontId="3" type="noConversion"/>
  </si>
  <si>
    <t>7호선 3차분 PIS-CSC 장치 수리</t>
    <phoneticPr fontId="3" type="noConversion"/>
  </si>
  <si>
    <t>1세트 시범 개발 분 / 'CSC 대 수선' 입찰 공고로 연계</t>
    <phoneticPr fontId="3" type="noConversion"/>
  </si>
  <si>
    <t>250917 기 작업 견적에 예비품 견적을 포함하여 재견적 제출</t>
  </si>
  <si>
    <t>250922 [KTU 신역사] PO 대기 중
250917 [9호선 열차번호표시기] 기 작업 견적에 예비품 견적을 포함하여 재견적 제출</t>
    <phoneticPr fontId="3" type="noConversion"/>
  </si>
  <si>
    <t>20250211-01_rev.4</t>
    <phoneticPr fontId="3" type="noConversion"/>
  </si>
  <si>
    <t>OS02</t>
    <phoneticPr fontId="3" type="noConversion"/>
  </si>
  <si>
    <t>250925 PO 수신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</si>
</sst>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20"/>
  <sheetViews>
    <sheetView tabSelected="1" workbookViewId="0"/>
  </sheetViews>
  <sheetFormatPr defaultRowHeight="17"/>
  <cols>
    <col min="1" max="1" width="3.5" customWidth="1"/>
    <col min="2" max="2" width="3.5" style="61" bestFit="1" customWidth="1"/>
    <col min="3" max="3" width="5.25" bestFit="1" customWidth="1"/>
    <col min="4" max="4" width="16.5" bestFit="1" customWidth="1"/>
    <col min="5" max="6" width="16.08203125" bestFit="1" customWidth="1"/>
    <col min="7" max="7" width="14.58203125" bestFit="1" customWidth="1"/>
    <col min="8" max="9" width="16.08203125" bestFit="1" customWidth="1"/>
    <col min="10" max="10" width="14.58203125" bestFit="1" customWidth="1"/>
    <col min="11" max="11" width="10.25" bestFit="1" customWidth="1"/>
    <col min="12" max="13" width="16.08203125" customWidth="1"/>
    <col min="14" max="14" width="75.75" bestFit="1" customWidth="1"/>
  </cols>
  <sheetData>
    <row r="2" spans="2:14">
      <c r="C2" s="1"/>
      <c r="D2" s="1"/>
      <c r="E2" s="79" t="s">
        <v>75</v>
      </c>
      <c r="F2" s="84"/>
      <c r="G2" s="85"/>
      <c r="H2" s="84" t="s">
        <v>79</v>
      </c>
      <c r="I2" s="84"/>
      <c r="J2" s="84"/>
      <c r="K2" s="84"/>
      <c r="L2" s="84"/>
      <c r="M2" s="80"/>
    </row>
    <row r="3" spans="2:14">
      <c r="B3" s="62" t="s">
        <v>73</v>
      </c>
      <c r="C3" s="86" t="s">
        <v>74</v>
      </c>
      <c r="D3" s="80"/>
      <c r="E3" s="37" t="s">
        <v>78</v>
      </c>
      <c r="F3" s="37" t="s">
        <v>76</v>
      </c>
      <c r="G3" s="40" t="s">
        <v>77</v>
      </c>
      <c r="H3" s="39" t="s">
        <v>78</v>
      </c>
      <c r="I3" s="37" t="s">
        <v>84</v>
      </c>
      <c r="J3" s="37" t="s">
        <v>85</v>
      </c>
      <c r="K3" s="37" t="s">
        <v>81</v>
      </c>
      <c r="L3" s="37" t="s">
        <v>53</v>
      </c>
      <c r="M3" s="37" t="s">
        <v>54</v>
      </c>
      <c r="N3" s="37" t="s">
        <v>12</v>
      </c>
    </row>
    <row r="4" spans="2:14">
      <c r="B4" s="62">
        <v>1</v>
      </c>
      <c r="C4" s="79" t="s">
        <v>80</v>
      </c>
      <c r="D4" s="80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67"/>
    </row>
    <row r="5" spans="2:14" ht="34">
      <c r="B5" s="44">
        <v>2</v>
      </c>
      <c r="C5" s="79" t="s">
        <v>55</v>
      </c>
      <c r="D5" s="80"/>
      <c r="E5" s="49">
        <f>SUM(F5:G5)</f>
        <v>1322776490</v>
      </c>
      <c r="F5" s="38">
        <f>'2.현대로템'!S34</f>
        <v>1107434040</v>
      </c>
      <c r="G5" s="41">
        <f>'2.현대로템'!T34</f>
        <v>215342450</v>
      </c>
      <c r="H5" s="45">
        <f>'2.현대로템'!O34</f>
        <v>19883340</v>
      </c>
      <c r="I5" s="46">
        <f>'2.현대로템'!P34</f>
        <v>19883340</v>
      </c>
      <c r="J5" s="47">
        <f>'2.현대로템'!Q34</f>
        <v>0</v>
      </c>
      <c r="K5" s="42">
        <f>H5/E5</f>
        <v>1.5031519043704806E-2</v>
      </c>
      <c r="L5" s="43"/>
      <c r="M5" s="43"/>
      <c r="N5" s="67" t="s">
        <v>172</v>
      </c>
    </row>
    <row r="6" spans="2:14">
      <c r="B6" s="44">
        <v>3</v>
      </c>
      <c r="C6" s="79" t="s">
        <v>72</v>
      </c>
      <c r="D6" s="80"/>
      <c r="E6" s="49">
        <f>SUM(F6:G6)</f>
        <v>71836909</v>
      </c>
      <c r="F6" s="38">
        <f>'3.인터모빌리티'!S34</f>
        <v>71836909</v>
      </c>
      <c r="G6" s="41">
        <f>'3.인터모빌리티'!T34</f>
        <v>0</v>
      </c>
      <c r="H6" s="45">
        <f>'3.인터모빌리티'!O34</f>
        <v>71836909</v>
      </c>
      <c r="I6" s="46">
        <f>'3.인터모빌리티'!P34</f>
        <v>71836909</v>
      </c>
      <c r="J6" s="47">
        <f>'3.인터모빌리티'!Q34</f>
        <v>0</v>
      </c>
      <c r="K6" s="42">
        <f>H6/E6</f>
        <v>1</v>
      </c>
      <c r="L6" s="43"/>
      <c r="M6" s="43"/>
      <c r="N6" s="68"/>
    </row>
    <row r="7" spans="2:14">
      <c r="B7" s="44">
        <v>4</v>
      </c>
      <c r="C7" s="79" t="s">
        <v>61</v>
      </c>
      <c r="D7" s="80"/>
      <c r="E7" s="49">
        <f>SUM(F7:G7)</f>
        <v>510623467</v>
      </c>
      <c r="F7" s="38">
        <f>'4.다원시스'!S34</f>
        <v>287000000</v>
      </c>
      <c r="G7" s="41">
        <f>'4.다원시스'!T34</f>
        <v>223623467</v>
      </c>
      <c r="H7" s="45">
        <f>'4.다원시스'!O34</f>
        <v>287000000</v>
      </c>
      <c r="I7" s="46">
        <f>'4.다원시스'!P34</f>
        <v>287000000</v>
      </c>
      <c r="J7" s="47">
        <f>'4.다원시스'!Q34</f>
        <v>0</v>
      </c>
      <c r="K7" s="42">
        <f>H7/E7</f>
        <v>0.56205799096186071</v>
      </c>
      <c r="L7" s="43"/>
      <c r="M7" s="43"/>
      <c r="N7" s="68"/>
    </row>
    <row r="8" spans="2:14">
      <c r="B8" s="44">
        <v>5</v>
      </c>
      <c r="C8" s="79" t="s">
        <v>94</v>
      </c>
      <c r="D8" s="80"/>
      <c r="E8" s="49">
        <f t="shared" ref="E8:E20" si="0">SUM(F8:G8)</f>
        <v>261187000</v>
      </c>
      <c r="F8" s="38">
        <f>'5.서울교통공사'!S34</f>
        <v>2807000</v>
      </c>
      <c r="G8" s="41">
        <f>'5.서울교통공사'!T34</f>
        <v>258380000</v>
      </c>
      <c r="H8" s="45">
        <f>'5.서울교통공사'!O34</f>
        <v>1200000</v>
      </c>
      <c r="I8" s="46">
        <f>'5.서울교통공사'!P34</f>
        <v>1200000</v>
      </c>
      <c r="J8" s="47">
        <f>'5.서울교통공사'!Q34</f>
        <v>0</v>
      </c>
      <c r="K8" s="42">
        <f t="shared" ref="K8:K20" si="1">H8/E8</f>
        <v>4.5944093695321746E-3</v>
      </c>
      <c r="L8" s="43"/>
      <c r="M8" s="43"/>
      <c r="N8" s="56"/>
    </row>
    <row r="9" spans="2:14">
      <c r="B9" s="44">
        <v>6</v>
      </c>
      <c r="C9" s="79" t="s">
        <v>121</v>
      </c>
      <c r="D9" s="80"/>
      <c r="E9" s="49">
        <f>SUM(F9:G9)</f>
        <v>328059000</v>
      </c>
      <c r="F9" s="38">
        <f>'6.고구려엔지니어링'!S34</f>
        <v>0</v>
      </c>
      <c r="G9" s="41">
        <f>'6.고구려엔지니어링'!T34</f>
        <v>328059000</v>
      </c>
      <c r="H9" s="45"/>
      <c r="I9" s="46"/>
      <c r="J9" s="47"/>
      <c r="K9" s="42"/>
      <c r="L9" s="43"/>
      <c r="M9" s="43"/>
      <c r="N9" s="67"/>
    </row>
    <row r="10" spans="2:14">
      <c r="B10" s="44">
        <v>7</v>
      </c>
      <c r="C10" s="79" t="s">
        <v>86</v>
      </c>
      <c r="D10" s="80"/>
      <c r="E10" s="49">
        <f>SUM(F10:G10)</f>
        <v>30791000</v>
      </c>
      <c r="F10" s="38">
        <f>'7.GMTECH'!S34</f>
        <v>30791000</v>
      </c>
      <c r="G10" s="41">
        <f>'7.GMTECH'!T34</f>
        <v>0</v>
      </c>
      <c r="H10" s="45">
        <f>'7.GMTECH'!O34</f>
        <v>30791000</v>
      </c>
      <c r="I10" s="45">
        <f>'7.GMTECH'!P34</f>
        <v>30791000</v>
      </c>
      <c r="J10" s="47">
        <f>'7.GMTECH'!Q34</f>
        <v>0</v>
      </c>
      <c r="K10" s="42">
        <f>H10/E10</f>
        <v>1</v>
      </c>
      <c r="L10" s="43"/>
      <c r="M10" s="43"/>
      <c r="N10" s="91" t="s">
        <v>175</v>
      </c>
    </row>
    <row r="11" spans="2:14">
      <c r="B11" s="62" t="s">
        <v>139</v>
      </c>
      <c r="C11" s="81" t="s">
        <v>107</v>
      </c>
      <c r="D11" s="44" t="s">
        <v>120</v>
      </c>
      <c r="E11" s="49">
        <f>SUM(F11:G11)</f>
        <v>0</v>
      </c>
      <c r="F11" s="38">
        <f>SUMIF('8.기타'!$C$4:$C$33, Total!D11, '8.기타'!$S$4:$S$33)</f>
        <v>0</v>
      </c>
      <c r="G11" s="41">
        <f>SUMIF('8.기타'!$C$4:$C$33, Total!D11, '8.기타'!$T$4:$T$33)</f>
        <v>0</v>
      </c>
      <c r="H11" s="45">
        <f>SUMIF('8.기타'!$C$4:$C$33, Total!D11, '8.기타'!$O$4:$O$33)</f>
        <v>0</v>
      </c>
      <c r="I11" s="46">
        <f>SUMIF('8.기타'!$C$4:$C$33, Total!D11, '8.기타'!$P$4:$P$33)</f>
        <v>0</v>
      </c>
      <c r="J11" s="47">
        <f>SUMIF('8.기타'!$C$4:$C$33, Total!D11, '8.기타'!$Q$4:$Q$33)</f>
        <v>0</v>
      </c>
      <c r="K11" s="42" t="e">
        <f>H11/E11</f>
        <v>#DIV/0!</v>
      </c>
      <c r="L11" s="43"/>
      <c r="M11" s="43"/>
      <c r="N11" s="68"/>
    </row>
    <row r="12" spans="2:14">
      <c r="B12" s="62" t="s">
        <v>140</v>
      </c>
      <c r="C12" s="82"/>
      <c r="D12" s="44" t="s">
        <v>98</v>
      </c>
      <c r="E12" s="49">
        <f t="shared" ref="E12:E18" si="2">SUM(F12:G12)</f>
        <v>8000000</v>
      </c>
      <c r="F12" s="38">
        <f>SUMIF('8.기타'!$C$4:$C$33, Total!D12, '8.기타'!$S$4:$S$33)</f>
        <v>0</v>
      </c>
      <c r="G12" s="41">
        <f>SUMIF('8.기타'!$C$4:$C$33, Total!D12, '8.기타'!$T$4:$T$33)</f>
        <v>8000000</v>
      </c>
      <c r="H12" s="45">
        <f>SUMIF('8.기타'!$C$4:$C$33, Total!D12, '8.기타'!$O$4:$O$33)</f>
        <v>0</v>
      </c>
      <c r="I12" s="46">
        <f>SUMIF('8.기타'!$C$4:$C$33, Total!D12, '8.기타'!$P$4:$P$33)</f>
        <v>0</v>
      </c>
      <c r="J12" s="47">
        <f>SUMIF('8.기타'!$C$4:$C$33, Total!D12, '8.기타'!$Q$4:$Q$33)</f>
        <v>0</v>
      </c>
      <c r="K12" s="42">
        <f t="shared" ref="K12" si="3">H12/E12</f>
        <v>0</v>
      </c>
      <c r="L12" s="43"/>
      <c r="M12" s="43"/>
      <c r="N12" s="43"/>
    </row>
    <row r="13" spans="2:14">
      <c r="B13" s="62" t="s">
        <v>141</v>
      </c>
      <c r="C13" s="82"/>
      <c r="D13" s="44" t="s">
        <v>57</v>
      </c>
      <c r="E13" s="49">
        <f t="shared" si="2"/>
        <v>0</v>
      </c>
      <c r="F13" s="38">
        <f>SUMIF('8.기타'!$C$4:$C$33, Total!D13, '8.기타'!$S$4:$S$33)</f>
        <v>0</v>
      </c>
      <c r="G13" s="41">
        <f>SUMIF('8.기타'!$C$4:$C$33, Total!D13, '8.기타'!$T$4:$T$33)</f>
        <v>0</v>
      </c>
      <c r="H13" s="45">
        <f>SUMIF('8.기타'!$C$4:$C$33, Total!D13, '8.기타'!$O$4:$O$33)</f>
        <v>0</v>
      </c>
      <c r="I13" s="46">
        <f>SUMIF('8.기타'!$C$4:$C$33, Total!D13, '8.기타'!$P$4:$P$33)</f>
        <v>0</v>
      </c>
      <c r="J13" s="47">
        <f>SUMIF('8.기타'!$C$4:$C$33, Total!D13, '8.기타'!$Q$4:$Q$33)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142</v>
      </c>
      <c r="C14" s="82"/>
      <c r="D14" s="44" t="s">
        <v>59</v>
      </c>
      <c r="E14" s="49">
        <f t="shared" si="2"/>
        <v>0</v>
      </c>
      <c r="F14" s="38">
        <f>SUMIF('8.기타'!$C$4:$C$33, Total!D14, '8.기타'!$S$4:$S$33)</f>
        <v>0</v>
      </c>
      <c r="G14" s="41">
        <f>SUMIF('8.기타'!$C$4:$C$33, Total!D14, '8.기타'!$T$4:$T$33)</f>
        <v>0</v>
      </c>
      <c r="H14" s="45">
        <f>SUMIF('8.기타'!$C$4:$C$33, Total!D14, '8.기타'!$O$4:$O$33)</f>
        <v>0</v>
      </c>
      <c r="I14" s="46">
        <f>SUMIF('8.기타'!$C$4:$C$33, Total!D14, '8.기타'!$P$4:$P$33)</f>
        <v>0</v>
      </c>
      <c r="J14" s="47">
        <f>SUMIF('8.기타'!$C$4:$C$33, Total!D14, '8.기타'!$Q$4:$Q$33)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143</v>
      </c>
      <c r="C15" s="82"/>
      <c r="D15" s="44" t="s">
        <v>66</v>
      </c>
      <c r="E15" s="49">
        <f t="shared" si="2"/>
        <v>0</v>
      </c>
      <c r="F15" s="38">
        <f>SUMIF('8.기타'!$C$4:$C$33, Total!D15, '8.기타'!$S$4:$S$33)</f>
        <v>0</v>
      </c>
      <c r="G15" s="41">
        <f>SUMIF('8.기타'!$C$4:$C$33, Total!D15, '8.기타'!$T$4:$T$33)</f>
        <v>0</v>
      </c>
      <c r="H15" s="45">
        <f>SUMIF('8.기타'!$C$4:$C$33, Total!D15, '8.기타'!$O$4:$O$33)</f>
        <v>0</v>
      </c>
      <c r="I15" s="46">
        <f>SUMIF('8.기타'!$C$4:$C$33, Total!D15, '8.기타'!$P$4:$P$33)</f>
        <v>0</v>
      </c>
      <c r="J15" s="47">
        <f>SUMIF('8.기타'!$C$4:$C$33, Total!D15, '8.기타'!$Q$4:$Q$33)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144</v>
      </c>
      <c r="C16" s="82"/>
      <c r="D16" s="44" t="s">
        <v>68</v>
      </c>
      <c r="E16" s="49">
        <f t="shared" si="2"/>
        <v>0</v>
      </c>
      <c r="F16" s="38">
        <f>SUMIF('8.기타'!$C$4:$C$33, Total!D16, '8.기타'!$S$4:$S$33)</f>
        <v>0</v>
      </c>
      <c r="G16" s="41">
        <f>SUMIF('8.기타'!$C$4:$C$33, Total!D16, '8.기타'!$T$4:$T$33)</f>
        <v>0</v>
      </c>
      <c r="H16" s="45">
        <f>SUMIF('8.기타'!$C$4:$C$33, Total!D16, '8.기타'!$O$4:$O$33)</f>
        <v>0</v>
      </c>
      <c r="I16" s="46">
        <f>SUMIF('8.기타'!$C$4:$C$33, Total!D16, '8.기타'!$P$4:$P$33)</f>
        <v>0</v>
      </c>
      <c r="J16" s="47">
        <f>SUMIF('8.기타'!$C$4:$C$33, Total!D16, '8.기타'!$Q$4:$Q$33)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 t="s">
        <v>145</v>
      </c>
      <c r="C17" s="82"/>
      <c r="D17" s="44" t="s">
        <v>70</v>
      </c>
      <c r="E17" s="49">
        <f t="shared" si="2"/>
        <v>0</v>
      </c>
      <c r="F17" s="38">
        <f>SUMIF('8.기타'!$C$4:$C$33, Total!D17, '8.기타'!$S$4:$S$33)</f>
        <v>0</v>
      </c>
      <c r="G17" s="41">
        <f>SUMIF('8.기타'!$C$4:$C$33, Total!D17, '8.기타'!$T$4:$T$33)</f>
        <v>0</v>
      </c>
      <c r="H17" s="45">
        <f>SUMIF('8.기타'!$C$4:$C$33, Total!D17, '8.기타'!$O$4:$O$33)</f>
        <v>0</v>
      </c>
      <c r="I17" s="46">
        <f>SUMIF('8.기타'!$C$4:$C$33, Total!D17, '8.기타'!$P$4:$P$33)</f>
        <v>0</v>
      </c>
      <c r="J17" s="47">
        <f>SUMIF('8.기타'!$C$4:$C$33, Total!D17, '8.기타'!$Q$4:$Q$33)</f>
        <v>0</v>
      </c>
      <c r="K17" s="42" t="e">
        <f t="shared" si="1"/>
        <v>#DIV/0!</v>
      </c>
      <c r="L17" s="43"/>
      <c r="M17" s="43"/>
      <c r="N17" s="43"/>
    </row>
    <row r="18" spans="2:14">
      <c r="B18" s="62" t="s">
        <v>146</v>
      </c>
      <c r="C18" s="83"/>
      <c r="D18" s="44" t="s">
        <v>118</v>
      </c>
      <c r="E18" s="49">
        <f t="shared" si="2"/>
        <v>120000000</v>
      </c>
      <c r="F18" s="38">
        <f>SUMIF('8.기타'!$C$4:$C$33, Total!D18, '8.기타'!$S$4:$S$33)</f>
        <v>0</v>
      </c>
      <c r="G18" s="41">
        <f>SUMIF('8.기타'!$C$4:$C$33, Total!D18, '8.기타'!$T$4:$T$33)</f>
        <v>120000000</v>
      </c>
      <c r="H18" s="45">
        <f>SUMIF('8.기타'!$C$4:$C$33, Total!D18, '8.기타'!$O$4:$O$33)</f>
        <v>0</v>
      </c>
      <c r="I18" s="46">
        <f>SUMIF('8.기타'!$C$4:$C$33, Total!D18, '8.기타'!$P$4:$P$33)</f>
        <v>0</v>
      </c>
      <c r="J18" s="47">
        <f>SUMIF('8.기타'!$C$4:$C$33, Total!D18, '8.기타'!$Q$4:$Q$33)</f>
        <v>0</v>
      </c>
      <c r="K18" s="42">
        <f t="shared" ref="K18" si="4">H18/E18</f>
        <v>0</v>
      </c>
      <c r="L18" s="43"/>
      <c r="M18" s="43"/>
      <c r="N18" s="68"/>
    </row>
    <row r="19" spans="2:14">
      <c r="B19" s="62"/>
      <c r="C19" s="44"/>
      <c r="D19" s="44"/>
      <c r="E19" s="49"/>
      <c r="F19" s="38"/>
      <c r="G19" s="41"/>
      <c r="H19" s="45"/>
      <c r="I19" s="45"/>
      <c r="J19" s="47"/>
      <c r="K19" s="42"/>
      <c r="L19" s="43"/>
      <c r="M19" s="43"/>
      <c r="N19" s="54"/>
    </row>
    <row r="20" spans="2:14">
      <c r="B20" s="62"/>
      <c r="C20" s="44" t="s">
        <v>82</v>
      </c>
      <c r="D20" s="44"/>
      <c r="E20" s="49">
        <f t="shared" si="0"/>
        <v>3048509541.6999998</v>
      </c>
      <c r="F20" s="38">
        <f>SUM(F4:F19)</f>
        <v>1895104624.6999998</v>
      </c>
      <c r="G20" s="41">
        <f>SUM(G4:G19)</f>
        <v>1153404917</v>
      </c>
      <c r="H20" s="45">
        <f>SUM(H4:H19)</f>
        <v>805946924.70000005</v>
      </c>
      <c r="I20" s="46">
        <f>SUM(I4:I19)</f>
        <v>805946924.70000005</v>
      </c>
      <c r="J20" s="47">
        <f>SUM(J4:J19)</f>
        <v>0</v>
      </c>
      <c r="K20" s="42">
        <f t="shared" si="1"/>
        <v>0.26437408631188475</v>
      </c>
      <c r="L20" s="43"/>
      <c r="M20" s="43"/>
      <c r="N20" s="43"/>
    </row>
  </sheetData>
  <mergeCells count="11">
    <mergeCell ref="C10:D10"/>
    <mergeCell ref="C11:C18"/>
    <mergeCell ref="C9:D9"/>
    <mergeCell ref="E2:G2"/>
    <mergeCell ref="H2:M2"/>
    <mergeCell ref="C3:D3"/>
    <mergeCell ref="C4:D4"/>
    <mergeCell ref="C8:D8"/>
    <mergeCell ref="C5:D5"/>
    <mergeCell ref="C7:D7"/>
    <mergeCell ref="C6:D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4">
      <c r="B4" s="8">
        <v>1</v>
      </c>
      <c r="C4" s="9" t="s">
        <v>14</v>
      </c>
      <c r="D4" s="8" t="s">
        <v>104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f>4813677+105213225</f>
        <v>110026902</v>
      </c>
      <c r="X4" s="9" t="s">
        <v>156</v>
      </c>
    </row>
    <row r="5" spans="2:24" s="14" customFormat="1">
      <c r="B5" s="8">
        <v>2</v>
      </c>
      <c r="C5" s="9" t="s">
        <v>14</v>
      </c>
      <c r="D5" s="8" t="s">
        <v>104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f>S5</f>
        <v>13983023.1</v>
      </c>
      <c r="X5" s="88" t="s">
        <v>163</v>
      </c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f t="shared" ref="W6:W16" si="0">S6</f>
        <v>10164755.4</v>
      </c>
      <c r="X6" s="89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f t="shared" si="0"/>
        <v>9341652.2999999989</v>
      </c>
      <c r="X7" s="89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f t="shared" si="0"/>
        <v>7854455.3999999994</v>
      </c>
      <c r="X8" s="89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f t="shared" si="0"/>
        <v>9422642.6999999993</v>
      </c>
      <c r="X9" s="89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f t="shared" si="0"/>
        <v>4421700</v>
      </c>
      <c r="X10" s="89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f t="shared" si="0"/>
        <v>10373400</v>
      </c>
      <c r="X11" s="89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f t="shared" si="0"/>
        <v>7264302.2999999998</v>
      </c>
      <c r="X12" s="89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f t="shared" si="0"/>
        <v>4590000</v>
      </c>
      <c r="X13" s="89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f t="shared" si="0"/>
        <v>7246837.5</v>
      </c>
      <c r="X14" s="89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f t="shared" si="0"/>
        <v>6505758.8999999994</v>
      </c>
      <c r="X15" s="89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f t="shared" si="0"/>
        <v>14136023.1</v>
      </c>
      <c r="X16" s="90"/>
    </row>
    <row r="17" spans="2:24" s="14" customFormat="1">
      <c r="B17" s="8">
        <v>3</v>
      </c>
      <c r="C17" s="9" t="s">
        <v>14</v>
      </c>
      <c r="D17" s="8" t="s">
        <v>104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1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88" t="s">
        <v>147</v>
      </c>
    </row>
    <row r="18" spans="2:24" s="14" customFormat="1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1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89"/>
    </row>
    <row r="19" spans="2:24" s="14" customFormat="1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1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90"/>
    </row>
    <row r="20" spans="2:24" s="14" customFormat="1">
      <c r="B20" s="8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2">SUM(O4:O33)</f>
        <v>395235675.69999999</v>
      </c>
      <c r="P34" s="13">
        <f t="shared" si="2"/>
        <v>395235675.69999999</v>
      </c>
      <c r="Q34" s="13">
        <f t="shared" si="2"/>
        <v>0</v>
      </c>
      <c r="R34" s="13">
        <f t="shared" si="2"/>
        <v>395235675.69999993</v>
      </c>
      <c r="S34" s="13">
        <f t="shared" si="2"/>
        <v>395235675.69999993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259765052.70000002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3">
    <mergeCell ref="C34:L34"/>
    <mergeCell ref="X5:X16"/>
    <mergeCell ref="X17:X1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43" style="2" bestFit="1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64.33203125" style="6" bestFit="1" customWidth="1"/>
    <col min="26" max="26" width="9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4">
      <c r="B4" s="8">
        <v>1</v>
      </c>
      <c r="C4" s="9" t="s">
        <v>56</v>
      </c>
      <c r="D4" s="8" t="s">
        <v>104</v>
      </c>
      <c r="E4" s="9" t="s">
        <v>113</v>
      </c>
      <c r="F4" s="9"/>
      <c r="G4" s="51">
        <v>45693</v>
      </c>
      <c r="H4" s="52">
        <f>G4+15</f>
        <v>45708</v>
      </c>
      <c r="I4" s="9" t="s">
        <v>97</v>
      </c>
      <c r="J4" s="51">
        <v>45714</v>
      </c>
      <c r="K4" s="51">
        <v>45741</v>
      </c>
      <c r="L4" s="10"/>
      <c r="M4" s="10" t="s">
        <v>106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1">
        <f>S4</f>
        <v>9983340</v>
      </c>
      <c r="X4" s="70" t="s">
        <v>161</v>
      </c>
    </row>
    <row r="5" spans="1:24" s="14" customFormat="1">
      <c r="A5" s="1"/>
      <c r="B5" s="16">
        <v>2</v>
      </c>
      <c r="C5" s="17" t="s">
        <v>56</v>
      </c>
      <c r="D5" s="16" t="s">
        <v>105</v>
      </c>
      <c r="E5" s="17">
        <v>2025041501</v>
      </c>
      <c r="F5" s="17"/>
      <c r="G5" s="50">
        <v>45762</v>
      </c>
      <c r="H5" s="63">
        <f>G5+15</f>
        <v>45777</v>
      </c>
      <c r="I5" s="17"/>
      <c r="J5" s="16"/>
      <c r="K5" s="18"/>
      <c r="L5" s="18"/>
      <c r="M5" s="18" t="s">
        <v>103</v>
      </c>
      <c r="N5" s="17"/>
      <c r="O5" s="13"/>
      <c r="P5" s="13"/>
      <c r="Q5" s="64"/>
      <c r="R5" s="13">
        <v>188500000</v>
      </c>
      <c r="S5" s="13"/>
      <c r="T5" s="15">
        <v>188500000</v>
      </c>
      <c r="U5" s="13"/>
      <c r="V5" s="13"/>
      <c r="W5" s="19"/>
      <c r="X5" s="48" t="s">
        <v>115</v>
      </c>
    </row>
    <row r="6" spans="1:24" s="14" customFormat="1" ht="34">
      <c r="B6" s="8">
        <v>3</v>
      </c>
      <c r="C6" s="9" t="s">
        <v>56</v>
      </c>
      <c r="D6" s="8" t="s">
        <v>104</v>
      </c>
      <c r="E6" s="9" t="s">
        <v>110</v>
      </c>
      <c r="F6" s="9"/>
      <c r="G6" s="51">
        <v>45741</v>
      </c>
      <c r="H6" s="52">
        <f>G6+15</f>
        <v>45756</v>
      </c>
      <c r="I6" s="9" t="s">
        <v>111</v>
      </c>
      <c r="J6" s="51">
        <v>45742</v>
      </c>
      <c r="K6" s="10"/>
      <c r="L6" s="10"/>
      <c r="M6" s="9" t="s">
        <v>109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1">
        <f>S6</f>
        <v>9900000</v>
      </c>
      <c r="X6" s="70" t="s">
        <v>162</v>
      </c>
    </row>
    <row r="7" spans="1:24" s="14" customFormat="1" ht="34">
      <c r="B7" s="16">
        <v>4</v>
      </c>
      <c r="C7" s="17" t="s">
        <v>56</v>
      </c>
      <c r="D7" s="16" t="s">
        <v>104</v>
      </c>
      <c r="E7" s="74" t="s">
        <v>166</v>
      </c>
      <c r="F7" s="74"/>
      <c r="G7" s="66">
        <v>45910</v>
      </c>
      <c r="H7" s="75">
        <v>45930</v>
      </c>
      <c r="I7" s="74"/>
      <c r="J7" s="76"/>
      <c r="K7" s="77"/>
      <c r="L7" s="77"/>
      <c r="M7" s="74" t="s">
        <v>112</v>
      </c>
      <c r="N7" s="74"/>
      <c r="O7" s="15"/>
      <c r="P7" s="15"/>
      <c r="Q7" s="26"/>
      <c r="R7" s="15">
        <v>294790700</v>
      </c>
      <c r="S7" s="15">
        <v>294790700</v>
      </c>
      <c r="T7" s="15"/>
      <c r="U7" s="15"/>
      <c r="V7" s="15"/>
      <c r="W7" s="33"/>
      <c r="X7" s="74" t="s">
        <v>167</v>
      </c>
    </row>
    <row r="8" spans="1:24" s="14" customFormat="1">
      <c r="B8" s="16">
        <v>5</v>
      </c>
      <c r="C8" s="9" t="s">
        <v>56</v>
      </c>
      <c r="D8" s="8" t="s">
        <v>117</v>
      </c>
      <c r="E8" s="9" t="s">
        <v>116</v>
      </c>
      <c r="F8" s="9"/>
      <c r="G8" s="51">
        <v>45917</v>
      </c>
      <c r="H8" s="51">
        <v>45930</v>
      </c>
      <c r="I8" s="69"/>
      <c r="J8" s="51"/>
      <c r="K8" s="18"/>
      <c r="L8" s="18"/>
      <c r="M8" s="48" t="s">
        <v>165</v>
      </c>
      <c r="N8" s="17"/>
      <c r="O8" s="11"/>
      <c r="P8" s="11"/>
      <c r="Q8" s="26"/>
      <c r="R8" s="53">
        <v>26842450</v>
      </c>
      <c r="S8" s="53"/>
      <c r="T8" s="53">
        <v>26842450</v>
      </c>
      <c r="U8" s="13"/>
      <c r="V8" s="13"/>
      <c r="W8" s="19"/>
      <c r="X8" s="48" t="s">
        <v>171</v>
      </c>
    </row>
    <row r="9" spans="1:24" s="14" customFormat="1">
      <c r="B9" s="16">
        <v>6</v>
      </c>
      <c r="C9" s="17" t="s">
        <v>56</v>
      </c>
      <c r="D9" s="16" t="s">
        <v>127</v>
      </c>
      <c r="E9" s="17"/>
      <c r="F9" s="17"/>
      <c r="G9" s="16"/>
      <c r="H9" s="18"/>
      <c r="I9" s="17"/>
      <c r="J9" s="16"/>
      <c r="K9" s="18"/>
      <c r="L9" s="18"/>
      <c r="M9" s="17" t="s">
        <v>130</v>
      </c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>
        <v>7</v>
      </c>
      <c r="C10" s="17" t="s">
        <v>56</v>
      </c>
      <c r="D10" s="16" t="s">
        <v>128</v>
      </c>
      <c r="E10" s="17"/>
      <c r="F10" s="17"/>
      <c r="G10" s="16"/>
      <c r="H10" s="18"/>
      <c r="I10" s="17"/>
      <c r="J10" s="16"/>
      <c r="K10" s="18"/>
      <c r="L10" s="18"/>
      <c r="M10" s="74" t="s">
        <v>153</v>
      </c>
      <c r="N10" s="17"/>
      <c r="O10" s="13"/>
      <c r="P10" s="11"/>
      <c r="Q10" s="15"/>
      <c r="R10" s="13"/>
      <c r="S10" s="15">
        <v>97470000</v>
      </c>
      <c r="T10" s="13"/>
      <c r="U10" s="13"/>
      <c r="V10" s="13"/>
      <c r="W10" s="19"/>
      <c r="X10" s="74" t="s">
        <v>157</v>
      </c>
    </row>
    <row r="11" spans="1:24" s="14" customFormat="1">
      <c r="B11" s="16">
        <v>8</v>
      </c>
      <c r="C11" s="17" t="s">
        <v>56</v>
      </c>
      <c r="D11" s="16" t="s">
        <v>128</v>
      </c>
      <c r="E11" s="17"/>
      <c r="F11" s="17"/>
      <c r="G11" s="16"/>
      <c r="H11" s="18"/>
      <c r="I11" s="17"/>
      <c r="J11" s="16"/>
      <c r="K11" s="18"/>
      <c r="L11" s="18"/>
      <c r="M11" s="74" t="s">
        <v>148</v>
      </c>
      <c r="N11" s="17"/>
      <c r="O11" s="13"/>
      <c r="P11" s="11"/>
      <c r="Q11" s="15"/>
      <c r="R11" s="13"/>
      <c r="S11" s="15">
        <v>695290000</v>
      </c>
      <c r="T11" s="13"/>
      <c r="U11" s="13"/>
      <c r="V11" s="13"/>
      <c r="W11" s="19"/>
      <c r="X11" s="74" t="s">
        <v>157</v>
      </c>
    </row>
    <row r="12" spans="1:24" s="14" customFormat="1">
      <c r="B12" s="16">
        <v>9</v>
      </c>
      <c r="C12" s="17" t="s">
        <v>56</v>
      </c>
      <c r="D12" s="16" t="s">
        <v>129</v>
      </c>
      <c r="E12" s="17"/>
      <c r="F12" s="17"/>
      <c r="G12" s="16"/>
      <c r="H12" s="18"/>
      <c r="I12" s="17"/>
      <c r="J12" s="16"/>
      <c r="K12" s="18"/>
      <c r="L12" s="18"/>
      <c r="M12" s="17" t="s">
        <v>131</v>
      </c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>
        <v>10</v>
      </c>
      <c r="C13" s="17" t="s">
        <v>56</v>
      </c>
      <c r="D13" s="16" t="s">
        <v>129</v>
      </c>
      <c r="E13" s="17"/>
      <c r="F13" s="17"/>
      <c r="G13" s="16"/>
      <c r="H13" s="18"/>
      <c r="I13" s="17"/>
      <c r="J13" s="16"/>
      <c r="K13" s="18"/>
      <c r="L13" s="18"/>
      <c r="M13" s="17" t="s">
        <v>132</v>
      </c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>
        <v>11</v>
      </c>
      <c r="C14" s="17" t="s">
        <v>56</v>
      </c>
      <c r="D14" s="16" t="s">
        <v>129</v>
      </c>
      <c r="E14" s="72"/>
      <c r="F14" s="72"/>
      <c r="G14" s="71"/>
      <c r="H14" s="73"/>
      <c r="I14" s="72"/>
      <c r="J14" s="71"/>
      <c r="K14" s="73"/>
      <c r="L14" s="73"/>
      <c r="M14" s="17" t="s">
        <v>133</v>
      </c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54"/>
    </row>
    <row r="15" spans="1:24" s="14" customFormat="1">
      <c r="B15" s="16">
        <v>12</v>
      </c>
      <c r="C15" s="17" t="s">
        <v>56</v>
      </c>
      <c r="D15" s="16" t="s">
        <v>129</v>
      </c>
      <c r="E15" s="17"/>
      <c r="F15" s="17"/>
      <c r="G15" s="16"/>
      <c r="H15" s="18"/>
      <c r="I15" s="17"/>
      <c r="J15" s="16"/>
      <c r="K15" s="18"/>
      <c r="L15" s="18"/>
      <c r="M15" s="17" t="s">
        <v>134</v>
      </c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54"/>
    </row>
    <row r="16" spans="1:24" s="14" customFormat="1">
      <c r="B16" s="16">
        <v>13</v>
      </c>
      <c r="C16" s="17" t="s">
        <v>56</v>
      </c>
      <c r="D16" s="16" t="s">
        <v>129</v>
      </c>
      <c r="E16" s="17"/>
      <c r="F16" s="17"/>
      <c r="G16" s="16"/>
      <c r="H16" s="18"/>
      <c r="I16" s="17"/>
      <c r="J16" s="16"/>
      <c r="K16" s="18"/>
      <c r="L16" s="18"/>
      <c r="M16" s="17" t="s">
        <v>135</v>
      </c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54"/>
    </row>
    <row r="17" spans="2:24" s="14" customFormat="1">
      <c r="B17" s="16"/>
      <c r="C17" s="17"/>
      <c r="D17" s="71"/>
      <c r="E17" s="72"/>
      <c r="F17" s="72"/>
      <c r="G17" s="71"/>
      <c r="H17" s="73"/>
      <c r="I17" s="72"/>
      <c r="J17" s="71"/>
      <c r="K17" s="73"/>
      <c r="L17" s="73"/>
      <c r="M17" s="72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54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0">SUM(O4:O33)</f>
        <v>19883340</v>
      </c>
      <c r="P34" s="13">
        <f t="shared" si="0"/>
        <v>19883340</v>
      </c>
      <c r="Q34" s="13">
        <f t="shared" si="0"/>
        <v>0</v>
      </c>
      <c r="R34" s="13">
        <f t="shared" si="0"/>
        <v>530016490</v>
      </c>
      <c r="S34" s="13">
        <f t="shared" si="0"/>
        <v>1107434040</v>
      </c>
      <c r="T34" s="13">
        <f t="shared" si="0"/>
        <v>215342450</v>
      </c>
      <c r="U34" s="13">
        <f t="shared" si="0"/>
        <v>0</v>
      </c>
      <c r="V34" s="13">
        <f t="shared" si="0"/>
        <v>0</v>
      </c>
      <c r="W34" s="13">
        <f t="shared" si="0"/>
        <v>19883340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9" t="s">
        <v>72</v>
      </c>
      <c r="D4" s="8" t="s">
        <v>13</v>
      </c>
      <c r="E4" s="9" t="s">
        <v>137</v>
      </c>
      <c r="F4" s="9"/>
      <c r="G4" s="51">
        <v>45793</v>
      </c>
      <c r="H4" s="51">
        <f>G4+15</f>
        <v>45808</v>
      </c>
      <c r="I4" s="69"/>
      <c r="J4" s="51">
        <v>45849</v>
      </c>
      <c r="K4" s="18"/>
      <c r="L4" s="18"/>
      <c r="M4" s="17" t="s">
        <v>150</v>
      </c>
      <c r="N4" s="17"/>
      <c r="O4" s="11">
        <v>36585000</v>
      </c>
      <c r="P4" s="11">
        <v>36585000</v>
      </c>
      <c r="Q4" s="26"/>
      <c r="R4" s="11">
        <v>36585000</v>
      </c>
      <c r="S4" s="11">
        <v>36585000</v>
      </c>
      <c r="T4" s="53"/>
      <c r="U4" s="13"/>
      <c r="V4" s="13"/>
      <c r="W4" s="11">
        <v>36585000</v>
      </c>
      <c r="X4" s="9" t="s">
        <v>160</v>
      </c>
    </row>
    <row r="5" spans="1:24" s="14" customFormat="1">
      <c r="A5" s="1"/>
      <c r="B5" s="16">
        <v>2</v>
      </c>
      <c r="C5" s="9" t="s">
        <v>72</v>
      </c>
      <c r="D5" s="8" t="s">
        <v>13</v>
      </c>
      <c r="E5" s="9" t="s">
        <v>137</v>
      </c>
      <c r="F5" s="9"/>
      <c r="G5" s="51">
        <v>45793</v>
      </c>
      <c r="H5" s="51">
        <f>G5+15</f>
        <v>45808</v>
      </c>
      <c r="I5" s="69"/>
      <c r="J5" s="51">
        <v>45876</v>
      </c>
      <c r="K5" s="18"/>
      <c r="L5" s="18"/>
      <c r="M5" s="17" t="s">
        <v>151</v>
      </c>
      <c r="N5" s="17"/>
      <c r="O5" s="11">
        <v>9090909</v>
      </c>
      <c r="P5" s="11">
        <v>9090909</v>
      </c>
      <c r="Q5" s="26"/>
      <c r="R5" s="11">
        <v>9090909</v>
      </c>
      <c r="S5" s="11">
        <v>9090909</v>
      </c>
      <c r="T5" s="53"/>
      <c r="U5" s="13"/>
      <c r="V5" s="13"/>
      <c r="W5" s="11">
        <v>9090909</v>
      </c>
      <c r="X5" s="9" t="s">
        <v>159</v>
      </c>
    </row>
    <row r="6" spans="1:24" s="14" customFormat="1">
      <c r="B6" s="16">
        <v>3</v>
      </c>
      <c r="C6" s="9" t="s">
        <v>72</v>
      </c>
      <c r="D6" s="8" t="s">
        <v>13</v>
      </c>
      <c r="E6" s="9" t="s">
        <v>137</v>
      </c>
      <c r="F6" s="9"/>
      <c r="G6" s="51">
        <v>45793</v>
      </c>
      <c r="H6" s="51">
        <f>G6+15</f>
        <v>45808</v>
      </c>
      <c r="I6" s="69"/>
      <c r="J6" s="51">
        <v>45840</v>
      </c>
      <c r="K6" s="18"/>
      <c r="L6" s="18"/>
      <c r="M6" s="17" t="s">
        <v>152</v>
      </c>
      <c r="N6" s="17"/>
      <c r="O6" s="11">
        <v>26161000</v>
      </c>
      <c r="P6" s="11">
        <v>26161000</v>
      </c>
      <c r="Q6" s="26"/>
      <c r="R6" s="11">
        <v>26161000</v>
      </c>
      <c r="S6" s="11">
        <v>26161000</v>
      </c>
      <c r="T6" s="53"/>
      <c r="U6" s="13"/>
      <c r="V6" s="13"/>
      <c r="W6" s="12">
        <f>P6*0.3</f>
        <v>7848300</v>
      </c>
      <c r="X6" s="48" t="s">
        <v>158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0">SUM(O4:O33)</f>
        <v>71836909</v>
      </c>
      <c r="P34" s="13">
        <f t="shared" si="0"/>
        <v>71836909</v>
      </c>
      <c r="Q34" s="13">
        <f t="shared" si="0"/>
        <v>0</v>
      </c>
      <c r="R34" s="13">
        <f t="shared" si="0"/>
        <v>71836909</v>
      </c>
      <c r="S34" s="13">
        <f t="shared" si="0"/>
        <v>71836909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53524209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4">
      <c r="B4" s="8">
        <v>1</v>
      </c>
      <c r="C4" s="9" t="s">
        <v>62</v>
      </c>
      <c r="D4" s="8" t="s">
        <v>13</v>
      </c>
      <c r="E4" s="9"/>
      <c r="F4" s="9"/>
      <c r="G4" s="51">
        <v>45454</v>
      </c>
      <c r="H4" s="51">
        <v>45747</v>
      </c>
      <c r="I4" s="9" t="s">
        <v>63</v>
      </c>
      <c r="J4" s="51">
        <f>G4</f>
        <v>45454</v>
      </c>
      <c r="K4" s="51">
        <f t="shared" ref="K4:K5" si="0">H4</f>
        <v>45747</v>
      </c>
      <c r="L4" s="10"/>
      <c r="M4" s="10" t="s">
        <v>64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1">
        <v>81000000</v>
      </c>
      <c r="X4" s="9" t="s">
        <v>168</v>
      </c>
    </row>
    <row r="5" spans="1:24" s="14" customFormat="1" ht="34">
      <c r="A5" s="1"/>
      <c r="B5" s="8">
        <v>2</v>
      </c>
      <c r="C5" s="9" t="s">
        <v>61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101</v>
      </c>
      <c r="J5" s="51">
        <f t="shared" ref="J5" si="1">G5</f>
        <v>45533</v>
      </c>
      <c r="K5" s="51">
        <f t="shared" si="0"/>
        <v>45838</v>
      </c>
      <c r="L5" s="10"/>
      <c r="M5" s="9" t="s">
        <v>65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>
        <f>42000000</f>
        <v>42000000</v>
      </c>
      <c r="X5" s="8" t="s">
        <v>149</v>
      </c>
    </row>
    <row r="6" spans="1:24" s="14" customFormat="1" ht="34">
      <c r="B6" s="16">
        <v>3</v>
      </c>
      <c r="C6" s="17" t="s">
        <v>62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108</v>
      </c>
      <c r="N6" s="17"/>
      <c r="O6" s="13"/>
      <c r="P6" s="11"/>
      <c r="Q6" s="26"/>
      <c r="R6" s="13">
        <v>70000000</v>
      </c>
      <c r="S6" s="53"/>
      <c r="T6" s="53">
        <v>40000000</v>
      </c>
      <c r="U6" s="13"/>
      <c r="V6" s="13"/>
      <c r="W6" s="19"/>
      <c r="X6" s="48" t="s">
        <v>136</v>
      </c>
    </row>
    <row r="7" spans="1:24" s="14" customFormat="1" ht="34">
      <c r="B7" s="16">
        <v>4</v>
      </c>
      <c r="C7" s="17" t="s">
        <v>62</v>
      </c>
      <c r="D7" s="16" t="s">
        <v>13</v>
      </c>
      <c r="E7" s="48" t="s">
        <v>93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87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92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287000000</v>
      </c>
      <c r="T34" s="13">
        <f t="shared" si="2"/>
        <v>223623467</v>
      </c>
      <c r="U34" s="13">
        <f t="shared" si="2"/>
        <v>0</v>
      </c>
      <c r="V34" s="13">
        <f t="shared" si="2"/>
        <v>0</v>
      </c>
      <c r="W34" s="13">
        <f t="shared" si="2"/>
        <v>123000000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8" style="2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54.33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94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88</v>
      </c>
      <c r="N4" s="17"/>
      <c r="O4" s="13"/>
      <c r="P4" s="11"/>
      <c r="Q4" s="15"/>
      <c r="R4" s="13">
        <v>182000000</v>
      </c>
      <c r="S4" s="13"/>
      <c r="T4" s="13">
        <v>182000000</v>
      </c>
      <c r="U4" s="13"/>
      <c r="V4" s="13"/>
      <c r="W4" s="19"/>
      <c r="X4" s="21"/>
    </row>
    <row r="5" spans="1:24" s="14" customFormat="1">
      <c r="A5" s="1"/>
      <c r="B5" s="8"/>
      <c r="C5" s="17" t="s">
        <v>94</v>
      </c>
      <c r="D5" s="8"/>
      <c r="E5" s="17" t="s">
        <v>95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96</v>
      </c>
      <c r="N5" s="9"/>
      <c r="O5" s="11"/>
      <c r="P5" s="11"/>
      <c r="Q5" s="36"/>
      <c r="R5" s="13">
        <v>3000000</v>
      </c>
      <c r="S5" s="13"/>
      <c r="T5" s="13">
        <v>3000000</v>
      </c>
      <c r="U5" s="11"/>
      <c r="V5" s="11"/>
      <c r="W5" s="11"/>
      <c r="X5" s="17"/>
    </row>
    <row r="6" spans="1:24" s="14" customFormat="1">
      <c r="B6" s="8"/>
      <c r="C6" s="17" t="s">
        <v>94</v>
      </c>
      <c r="D6" s="8"/>
      <c r="E6" s="17" t="s">
        <v>154</v>
      </c>
      <c r="F6" s="9"/>
      <c r="G6" s="50">
        <v>45888</v>
      </c>
      <c r="H6" s="50">
        <v>45900</v>
      </c>
      <c r="I6" s="9"/>
      <c r="J6" s="8"/>
      <c r="K6" s="10"/>
      <c r="L6" s="10"/>
      <c r="M6" s="17" t="s">
        <v>155</v>
      </c>
      <c r="N6" s="9"/>
      <c r="O6" s="11"/>
      <c r="P6" s="11"/>
      <c r="Q6" s="36"/>
      <c r="R6" s="13">
        <v>72080000</v>
      </c>
      <c r="S6" s="13"/>
      <c r="T6" s="13">
        <v>72080000</v>
      </c>
      <c r="U6" s="11"/>
      <c r="V6" s="11"/>
      <c r="W6" s="11"/>
      <c r="X6" s="48" t="s">
        <v>164</v>
      </c>
    </row>
    <row r="7" spans="1:24" s="14" customFormat="1">
      <c r="B7" s="54">
        <v>2</v>
      </c>
      <c r="C7" s="48" t="s">
        <v>89</v>
      </c>
      <c r="D7" s="54" t="s">
        <v>13</v>
      </c>
      <c r="E7" s="48">
        <v>202501071</v>
      </c>
      <c r="F7" s="48"/>
      <c r="G7" s="57">
        <v>45664</v>
      </c>
      <c r="H7" s="58">
        <f>G7+15</f>
        <v>45679</v>
      </c>
      <c r="I7" s="48"/>
      <c r="J7" s="57">
        <f>G7</f>
        <v>45664</v>
      </c>
      <c r="K7" s="58">
        <f>G7</f>
        <v>45664</v>
      </c>
      <c r="L7" s="59"/>
      <c r="M7" s="48" t="s">
        <v>90</v>
      </c>
      <c r="N7" s="48">
        <v>2</v>
      </c>
      <c r="O7" s="53">
        <v>1200000</v>
      </c>
      <c r="P7" s="53">
        <v>1200000</v>
      </c>
      <c r="Q7" s="53">
        <v>0</v>
      </c>
      <c r="R7" s="53">
        <v>1300000</v>
      </c>
      <c r="S7" s="53"/>
      <c r="T7" s="53">
        <v>1300000</v>
      </c>
      <c r="U7" s="53"/>
      <c r="V7" s="53"/>
      <c r="W7" s="60"/>
      <c r="X7" s="56" t="s">
        <v>102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8" t="s">
        <v>169</v>
      </c>
      <c r="N8" s="17"/>
      <c r="O8" s="13"/>
      <c r="P8" s="11"/>
      <c r="Q8" s="26"/>
      <c r="R8" s="13">
        <v>2807000</v>
      </c>
      <c r="S8" s="13">
        <v>2807000</v>
      </c>
      <c r="T8" s="13"/>
      <c r="U8" s="13"/>
      <c r="V8" s="13"/>
      <c r="W8" s="19"/>
      <c r="X8" s="78" t="s">
        <v>170</v>
      </c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261187000</v>
      </c>
      <c r="S34" s="13">
        <f t="shared" si="0"/>
        <v>2807000</v>
      </c>
      <c r="T34" s="13">
        <f t="shared" si="0"/>
        <v>258380000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4">
      <c r="B4" s="16">
        <v>1</v>
      </c>
      <c r="C4" s="17" t="s">
        <v>122</v>
      </c>
      <c r="D4" s="16" t="s">
        <v>13</v>
      </c>
      <c r="E4" s="17" t="s">
        <v>125</v>
      </c>
      <c r="F4" s="17"/>
      <c r="G4" s="50">
        <v>45798</v>
      </c>
      <c r="H4" s="50">
        <v>45747</v>
      </c>
      <c r="I4" s="17"/>
      <c r="J4" s="50"/>
      <c r="K4" s="50"/>
      <c r="L4" s="18"/>
      <c r="M4" s="18" t="s">
        <v>123</v>
      </c>
      <c r="N4" s="17"/>
      <c r="O4" s="13"/>
      <c r="P4" s="13"/>
      <c r="Q4" s="13"/>
      <c r="R4" s="13">
        <v>328059000</v>
      </c>
      <c r="S4" s="13"/>
      <c r="T4" s="13">
        <v>328059000</v>
      </c>
      <c r="U4" s="13"/>
      <c r="V4" s="13"/>
      <c r="W4" s="19"/>
      <c r="X4" s="48" t="s">
        <v>124</v>
      </c>
    </row>
    <row r="5" spans="1:24" s="14" customFormat="1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59"/>
      <c r="N5" s="9"/>
      <c r="O5" s="11"/>
      <c r="P5" s="11"/>
      <c r="Q5" s="26"/>
      <c r="R5" s="11"/>
      <c r="S5" s="11"/>
      <c r="T5" s="11"/>
      <c r="U5" s="11"/>
      <c r="V5" s="11"/>
      <c r="W5" s="11"/>
      <c r="X5" s="17"/>
    </row>
    <row r="6" spans="1:24" s="14" customFormat="1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48"/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 ht="15.75" customHeight="1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328059000</v>
      </c>
      <c r="S34" s="13">
        <f t="shared" si="0"/>
        <v>0</v>
      </c>
      <c r="T34" s="13">
        <f t="shared" si="0"/>
        <v>328059000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9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6.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86</v>
      </c>
      <c r="D4" s="16" t="s">
        <v>114</v>
      </c>
      <c r="E4" s="17" t="s">
        <v>173</v>
      </c>
      <c r="F4" s="17"/>
      <c r="G4" s="50">
        <v>45912</v>
      </c>
      <c r="H4" s="50">
        <v>45930</v>
      </c>
      <c r="I4" s="17" t="s">
        <v>174</v>
      </c>
      <c r="J4" s="50">
        <v>45925</v>
      </c>
      <c r="K4" s="50">
        <v>46053</v>
      </c>
      <c r="L4" s="18"/>
      <c r="M4" s="17" t="s">
        <v>91</v>
      </c>
      <c r="N4" s="17"/>
      <c r="O4" s="11">
        <v>30791000</v>
      </c>
      <c r="P4" s="11">
        <v>30791000</v>
      </c>
      <c r="Q4" s="15"/>
      <c r="R4" s="13">
        <v>575270000</v>
      </c>
      <c r="S4" s="13">
        <v>30791000</v>
      </c>
      <c r="T4" s="53"/>
      <c r="U4" s="13"/>
      <c r="V4" s="13"/>
      <c r="W4" s="11">
        <v>0</v>
      </c>
      <c r="X4" s="9" t="s">
        <v>175</v>
      </c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0">SUM(O4:O33)</f>
        <v>30791000</v>
      </c>
      <c r="P34" s="13">
        <f t="shared" si="0"/>
        <v>30791000</v>
      </c>
      <c r="Q34" s="13">
        <f t="shared" si="0"/>
        <v>0</v>
      </c>
      <c r="R34" s="13">
        <f t="shared" si="0"/>
        <v>575270000</v>
      </c>
      <c r="S34" s="13">
        <f t="shared" si="0"/>
        <v>30791000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4">
      <c r="B4" s="16">
        <v>1</v>
      </c>
      <c r="C4" s="17" t="s">
        <v>120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 t="s">
        <v>126</v>
      </c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98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99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100</v>
      </c>
    </row>
    <row r="6" spans="1:24" s="14" customFormat="1">
      <c r="A6" s="1"/>
      <c r="B6" s="8">
        <v>3</v>
      </c>
      <c r="C6" s="9" t="s">
        <v>58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60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67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69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71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>
      <c r="B11" s="16">
        <v>8</v>
      </c>
      <c r="C11" s="17" t="s">
        <v>118</v>
      </c>
      <c r="D11" s="16" t="s">
        <v>13</v>
      </c>
      <c r="E11" s="17"/>
      <c r="F11" s="17"/>
      <c r="G11" s="66">
        <v>45786</v>
      </c>
      <c r="H11" s="18"/>
      <c r="I11" s="17"/>
      <c r="J11" s="16"/>
      <c r="K11" s="18"/>
      <c r="L11" s="18"/>
      <c r="M11" s="65" t="s">
        <v>119</v>
      </c>
      <c r="N11" s="17"/>
      <c r="O11" s="13"/>
      <c r="P11" s="11"/>
      <c r="Q11" s="15"/>
      <c r="R11" s="15">
        <v>120000000</v>
      </c>
      <c r="S11" s="15"/>
      <c r="T11" s="15">
        <v>120000000</v>
      </c>
      <c r="U11" s="13"/>
      <c r="V11" s="13"/>
      <c r="W11" s="19"/>
      <c r="X11" s="69" t="s">
        <v>138</v>
      </c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0</v>
      </c>
      <c r="T34" s="13">
        <f t="shared" si="0"/>
        <v>128000000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2.현대로템</vt:lpstr>
      <vt:lpstr>3.인터모빌리티</vt:lpstr>
      <vt:lpstr>4.다원시스</vt:lpstr>
      <vt:lpstr>5.서울교통공사</vt:lpstr>
      <vt:lpstr>6.고구려엔지니어링</vt:lpstr>
      <vt:lpstr>7.GMTECH</vt:lpstr>
      <vt:lpstr>8.기타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홍성준/SW교육원</cp:lastModifiedBy>
  <dcterms:created xsi:type="dcterms:W3CDTF">2024-12-31T06:54:11Z</dcterms:created>
  <dcterms:modified xsi:type="dcterms:W3CDTF">2025-09-25T07:15:19Z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
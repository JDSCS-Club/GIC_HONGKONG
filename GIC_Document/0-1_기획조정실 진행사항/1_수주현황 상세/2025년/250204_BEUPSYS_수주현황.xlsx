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_Top Management\1_영업회의\2_수주현황\2025년\"/>
    </mc:Choice>
  </mc:AlternateContent>
  <xr:revisionPtr revIDLastSave="0" documentId="13_ncr:1_{93A195C0-2396-4472-98EF-B00026E1D2C8}" xr6:coauthVersionLast="47" xr6:coauthVersionMax="47" xr10:uidLastSave="{00000000-0000-0000-0000-000000000000}"/>
  <bookViews>
    <workbookView xWindow="-120" yWindow="-120" windowWidth="29040" windowHeight="17640" xr2:uid="{94AEEC11-5145-4BB5-83E0-0258373AD203}"/>
  </bookViews>
  <sheets>
    <sheet name="Total" sheetId="1" r:id="rId1"/>
    <sheet name="1.지아이씨" sheetId="2" r:id="rId2"/>
    <sheet name="2.김포골드라인" sheetId="3" r:id="rId3"/>
    <sheet name="3.인천교통공사" sheetId="4" r:id="rId4"/>
    <sheet name="4.현대로템" sheetId="5" r:id="rId5"/>
    <sheet name="5.실리콘큐브" sheetId="6" r:id="rId6"/>
    <sheet name="6.무한테크" sheetId="7" r:id="rId7"/>
    <sheet name="7.다원시스" sheetId="8" r:id="rId8"/>
    <sheet name="8.티랩" sheetId="9" r:id="rId9"/>
    <sheet name="9.마루소프트" sheetId="10" r:id="rId10"/>
    <sheet name="10.신진금고" sheetId="11" r:id="rId11"/>
    <sheet name="11.인터모빌리티" sheetId="12" r:id="rId12"/>
    <sheet name="12.GMTECH" sheetId="13" r:id="rId13"/>
    <sheet name="13.아이디넷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" i="1" l="1"/>
  <c r="F16" i="1"/>
  <c r="W34" i="14" l="1"/>
  <c r="V34" i="14"/>
  <c r="U34" i="14"/>
  <c r="T34" i="14"/>
  <c r="S34" i="14"/>
  <c r="E16" i="1" s="1"/>
  <c r="R34" i="14"/>
  <c r="D16" i="1" s="1"/>
  <c r="Q34" i="14"/>
  <c r="I16" i="1" s="1"/>
  <c r="I17" i="1" s="1"/>
  <c r="P34" i="14"/>
  <c r="H16" i="1" s="1"/>
  <c r="O34" i="14"/>
  <c r="G16" i="1" s="1"/>
  <c r="J16" i="1" s="1"/>
  <c r="W34" i="13"/>
  <c r="V34" i="13"/>
  <c r="U34" i="13"/>
  <c r="T34" i="13"/>
  <c r="F15" i="1" s="1"/>
  <c r="S34" i="13"/>
  <c r="E15" i="1" s="1"/>
  <c r="R34" i="13"/>
  <c r="D15" i="1" s="1"/>
  <c r="Q34" i="13"/>
  <c r="I15" i="1" s="1"/>
  <c r="P34" i="13"/>
  <c r="H15" i="1" s="1"/>
  <c r="O34" i="13"/>
  <c r="G15" i="1" s="1"/>
  <c r="O34" i="2"/>
  <c r="G4" i="1" s="1"/>
  <c r="P34" i="2"/>
  <c r="H4" i="1" s="1"/>
  <c r="Q34" i="2"/>
  <c r="I4" i="1" s="1"/>
  <c r="H17" i="1" l="1"/>
  <c r="G17" i="1"/>
  <c r="J15" i="1"/>
  <c r="W34" i="12"/>
  <c r="V34" i="12"/>
  <c r="U34" i="12"/>
  <c r="T34" i="12"/>
  <c r="F14" i="1" s="1"/>
  <c r="S34" i="12"/>
  <c r="E14" i="1" s="1"/>
  <c r="R34" i="12"/>
  <c r="D14" i="1" s="1"/>
  <c r="Q34" i="12"/>
  <c r="I14" i="1" s="1"/>
  <c r="P34" i="12"/>
  <c r="H14" i="1" s="1"/>
  <c r="O34" i="12"/>
  <c r="G14" i="1" s="1"/>
  <c r="W34" i="11"/>
  <c r="V34" i="11"/>
  <c r="U34" i="11"/>
  <c r="T34" i="11"/>
  <c r="F13" i="1" s="1"/>
  <c r="S34" i="11"/>
  <c r="E13" i="1" s="1"/>
  <c r="R34" i="11"/>
  <c r="D13" i="1" s="1"/>
  <c r="Q34" i="11"/>
  <c r="I13" i="1" s="1"/>
  <c r="P34" i="11"/>
  <c r="H13" i="1" s="1"/>
  <c r="O34" i="11"/>
  <c r="G13" i="1" s="1"/>
  <c r="W34" i="10"/>
  <c r="V34" i="10"/>
  <c r="U34" i="10"/>
  <c r="T34" i="10"/>
  <c r="F12" i="1" s="1"/>
  <c r="S34" i="10"/>
  <c r="E12" i="1" s="1"/>
  <c r="R34" i="10"/>
  <c r="D12" i="1" s="1"/>
  <c r="Q34" i="10"/>
  <c r="I12" i="1" s="1"/>
  <c r="P34" i="10"/>
  <c r="H12" i="1" s="1"/>
  <c r="O34" i="10"/>
  <c r="G12" i="1" s="1"/>
  <c r="J12" i="1" s="1"/>
  <c r="J13" i="1" l="1"/>
  <c r="J14" i="1"/>
  <c r="W34" i="9"/>
  <c r="V34" i="9"/>
  <c r="U34" i="9"/>
  <c r="T34" i="9"/>
  <c r="F11" i="1" s="1"/>
  <c r="S34" i="9"/>
  <c r="E11" i="1" s="1"/>
  <c r="R34" i="9"/>
  <c r="D11" i="1" s="1"/>
  <c r="Q34" i="9"/>
  <c r="I11" i="1" s="1"/>
  <c r="P34" i="9"/>
  <c r="H11" i="1" s="1"/>
  <c r="O34" i="9"/>
  <c r="G11" i="1" s="1"/>
  <c r="W34" i="8"/>
  <c r="V34" i="8"/>
  <c r="U34" i="8"/>
  <c r="T34" i="8"/>
  <c r="F10" i="1" s="1"/>
  <c r="S34" i="8"/>
  <c r="E10" i="1" s="1"/>
  <c r="R34" i="8"/>
  <c r="D10" i="1" s="1"/>
  <c r="Q34" i="8"/>
  <c r="I10" i="1" s="1"/>
  <c r="P34" i="8"/>
  <c r="H10" i="1" s="1"/>
  <c r="O34" i="8"/>
  <c r="G10" i="1" s="1"/>
  <c r="W34" i="7"/>
  <c r="V34" i="7"/>
  <c r="U34" i="7"/>
  <c r="T34" i="7"/>
  <c r="F9" i="1" s="1"/>
  <c r="S34" i="7"/>
  <c r="E9" i="1" s="1"/>
  <c r="R34" i="7"/>
  <c r="D9" i="1" s="1"/>
  <c r="Q34" i="7"/>
  <c r="I9" i="1" s="1"/>
  <c r="P34" i="7"/>
  <c r="H9" i="1" s="1"/>
  <c r="O34" i="7"/>
  <c r="G9" i="1" s="1"/>
  <c r="W34" i="6"/>
  <c r="V34" i="6"/>
  <c r="U34" i="6"/>
  <c r="T34" i="6"/>
  <c r="F8" i="1" s="1"/>
  <c r="S34" i="6"/>
  <c r="E8" i="1" s="1"/>
  <c r="R34" i="6"/>
  <c r="D8" i="1" s="1"/>
  <c r="Q34" i="6"/>
  <c r="I8" i="1" s="1"/>
  <c r="P34" i="6"/>
  <c r="H8" i="1" s="1"/>
  <c r="O34" i="6"/>
  <c r="G8" i="1" s="1"/>
  <c r="W34" i="5"/>
  <c r="V34" i="5"/>
  <c r="U34" i="5"/>
  <c r="T34" i="5"/>
  <c r="F7" i="1" s="1"/>
  <c r="S34" i="5"/>
  <c r="E7" i="1" s="1"/>
  <c r="R34" i="5"/>
  <c r="D7" i="1" s="1"/>
  <c r="Q34" i="5"/>
  <c r="I7" i="1" s="1"/>
  <c r="P34" i="5"/>
  <c r="H7" i="1" s="1"/>
  <c r="O34" i="5"/>
  <c r="G7" i="1" s="1"/>
  <c r="W34" i="4"/>
  <c r="V34" i="4"/>
  <c r="U34" i="4"/>
  <c r="T34" i="4"/>
  <c r="F6" i="1" s="1"/>
  <c r="S34" i="4"/>
  <c r="E6" i="1" s="1"/>
  <c r="R34" i="4"/>
  <c r="D6" i="1" s="1"/>
  <c r="Q34" i="4"/>
  <c r="I6" i="1" s="1"/>
  <c r="P34" i="4"/>
  <c r="H6" i="1" s="1"/>
  <c r="O34" i="4"/>
  <c r="G6" i="1" s="1"/>
  <c r="W34" i="3"/>
  <c r="V34" i="3"/>
  <c r="U34" i="3"/>
  <c r="T34" i="3"/>
  <c r="F5" i="1" s="1"/>
  <c r="S34" i="3"/>
  <c r="E5" i="1" s="1"/>
  <c r="R34" i="3"/>
  <c r="D5" i="1" s="1"/>
  <c r="Q34" i="3"/>
  <c r="I5" i="1" s="1"/>
  <c r="P34" i="3"/>
  <c r="H5" i="1" s="1"/>
  <c r="W34" i="2"/>
  <c r="T34" i="2"/>
  <c r="F4" i="1" s="1"/>
  <c r="S34" i="2"/>
  <c r="E4" i="1" s="1"/>
  <c r="E17" i="1" s="1"/>
  <c r="O34" i="3"/>
  <c r="G5" i="1" s="1"/>
  <c r="U34" i="2"/>
  <c r="V34" i="2"/>
  <c r="J9" i="1" l="1"/>
  <c r="J8" i="1"/>
  <c r="J11" i="1"/>
  <c r="J10" i="1"/>
  <c r="J7" i="1"/>
  <c r="J6" i="1"/>
  <c r="J5" i="1"/>
  <c r="R34" i="2"/>
  <c r="D4" i="1" s="1"/>
  <c r="D17" i="1" s="1"/>
  <c r="J4" i="1" l="1"/>
  <c r="J17" i="1"/>
</calcChain>
</file>

<file path=xl/sharedStrings.xml><?xml version="1.0" encoding="utf-8"?>
<sst xmlns="http://schemas.openxmlformats.org/spreadsheetml/2006/main" count="439" uniqueCount="110">
  <si>
    <t>순</t>
    <phoneticPr fontId="4" type="noConversion"/>
  </si>
  <si>
    <t>국가</t>
    <phoneticPr fontId="3" type="noConversion"/>
  </si>
  <si>
    <t>고객</t>
  </si>
  <si>
    <t>RFQ no.</t>
    <phoneticPr fontId="3" type="noConversion"/>
  </si>
  <si>
    <t>수주일</t>
    <phoneticPr fontId="3" type="noConversion"/>
  </si>
  <si>
    <t>납기</t>
    <phoneticPr fontId="3" type="noConversion"/>
  </si>
  <si>
    <t>Item</t>
    <phoneticPr fontId="3" type="noConversion"/>
  </si>
  <si>
    <t>구분</t>
    <phoneticPr fontId="3" type="noConversion"/>
  </si>
  <si>
    <t>수량</t>
    <phoneticPr fontId="3" type="noConversion"/>
  </si>
  <si>
    <t>수주금액 (전체)</t>
    <phoneticPr fontId="3" type="noConversion"/>
  </si>
  <si>
    <t>수주금액 (2025년)</t>
    <phoneticPr fontId="3" type="noConversion"/>
  </si>
  <si>
    <t>입금 총액</t>
    <phoneticPr fontId="3" type="noConversion"/>
  </si>
  <si>
    <t>비고</t>
    <phoneticPr fontId="3" type="noConversion"/>
  </si>
  <si>
    <t>한국</t>
    <phoneticPr fontId="3" type="noConversion"/>
  </si>
  <si>
    <t>지아이씨</t>
    <phoneticPr fontId="3" type="noConversion"/>
  </si>
  <si>
    <t>1</t>
    <phoneticPr fontId="3" type="noConversion"/>
  </si>
  <si>
    <t>2</t>
    <phoneticPr fontId="3" type="noConversion"/>
  </si>
  <si>
    <t>3</t>
    <phoneticPr fontId="3" type="noConversion"/>
  </si>
  <si>
    <t>4</t>
    <phoneticPr fontId="3" type="noConversion"/>
  </si>
  <si>
    <t>CSP24-0524-1</t>
    <phoneticPr fontId="3" type="noConversion"/>
  </si>
  <si>
    <t>250227</t>
    <phoneticPr fontId="3" type="noConversion"/>
  </si>
  <si>
    <t>MOP, MSR, CTM 생산</t>
    <phoneticPr fontId="3" type="noConversion"/>
  </si>
  <si>
    <t>5</t>
    <phoneticPr fontId="3" type="noConversion"/>
  </si>
  <si>
    <t>6</t>
    <phoneticPr fontId="3" type="noConversion"/>
  </si>
  <si>
    <t>7</t>
    <phoneticPr fontId="3" type="noConversion"/>
  </si>
  <si>
    <t>8</t>
    <phoneticPr fontId="3" type="noConversion"/>
  </si>
  <si>
    <t>9</t>
    <phoneticPr fontId="3" type="noConversion"/>
  </si>
  <si>
    <t>10</t>
    <phoneticPr fontId="3" type="noConversion"/>
  </si>
  <si>
    <t>CSP24-0913-1</t>
    <phoneticPr fontId="3" type="noConversion"/>
  </si>
  <si>
    <t>250131</t>
    <phoneticPr fontId="3" type="noConversion"/>
  </si>
  <si>
    <t>MSR NVR</t>
    <phoneticPr fontId="3" type="noConversion"/>
  </si>
  <si>
    <t>MSR HUB</t>
    <phoneticPr fontId="3" type="noConversion"/>
  </si>
  <si>
    <t>MSR MTX</t>
    <phoneticPr fontId="3" type="noConversion"/>
  </si>
  <si>
    <t>MSR TCIU HUB</t>
    <phoneticPr fontId="3" type="noConversion"/>
  </si>
  <si>
    <t>MSR TCIU CTL</t>
    <phoneticPr fontId="3" type="noConversion"/>
  </si>
  <si>
    <t>MSR PBX</t>
    <phoneticPr fontId="3" type="noConversion"/>
  </si>
  <si>
    <t>MSR SSD</t>
    <phoneticPr fontId="3" type="noConversion"/>
  </si>
  <si>
    <t>MSR ETX</t>
    <phoneticPr fontId="3" type="noConversion"/>
  </si>
  <si>
    <t>MSR Back Plane</t>
    <phoneticPr fontId="3" type="noConversion"/>
  </si>
  <si>
    <t>MOP CTL</t>
    <phoneticPr fontId="3" type="noConversion"/>
  </si>
  <si>
    <t>11</t>
    <phoneticPr fontId="3" type="noConversion"/>
  </si>
  <si>
    <t>MOP LCD</t>
    <phoneticPr fontId="3" type="noConversion"/>
  </si>
  <si>
    <t>12</t>
    <phoneticPr fontId="3" type="noConversion"/>
  </si>
  <si>
    <t>CTM CTL</t>
    <phoneticPr fontId="3" type="noConversion"/>
  </si>
  <si>
    <t>CSP24-0923-1</t>
    <phoneticPr fontId="3" type="noConversion"/>
  </si>
  <si>
    <t>241231</t>
    <phoneticPr fontId="3" type="noConversion"/>
  </si>
  <si>
    <t>LCD CONTROL BOARD. FOR MOP.</t>
    <phoneticPr fontId="3" type="noConversion"/>
  </si>
  <si>
    <t>250430</t>
    <phoneticPr fontId="3" type="noConversion"/>
  </si>
  <si>
    <t>MSR NVR BOARD. FOR MSR.</t>
    <phoneticPr fontId="3" type="noConversion"/>
  </si>
  <si>
    <t>CONTROL BOARD. FOR CTM.</t>
    <phoneticPr fontId="3" type="noConversion"/>
  </si>
  <si>
    <t>Sub-Amount</t>
    <phoneticPr fontId="3" type="noConversion"/>
  </si>
  <si>
    <t>견적번호</t>
    <phoneticPr fontId="3" type="noConversion"/>
  </si>
  <si>
    <t>PO no.</t>
    <phoneticPr fontId="3" type="noConversion"/>
  </si>
  <si>
    <t>견적일</t>
    <phoneticPr fontId="3" type="noConversion"/>
  </si>
  <si>
    <t>유효일</t>
    <phoneticPr fontId="3" type="noConversion"/>
  </si>
  <si>
    <t>견적가(AB)</t>
    <phoneticPr fontId="3" type="noConversion"/>
  </si>
  <si>
    <t>목표가</t>
    <phoneticPr fontId="3" type="noConversion"/>
  </si>
  <si>
    <t>견적가(CD)</t>
    <phoneticPr fontId="3" type="noConversion"/>
  </si>
  <si>
    <t>제조원가</t>
    <phoneticPr fontId="3" type="noConversion"/>
  </si>
  <si>
    <t>손익(%)</t>
    <phoneticPr fontId="3" type="noConversion"/>
  </si>
  <si>
    <t>김포골드라인</t>
  </si>
  <si>
    <t>김포골드라인</t>
    <phoneticPr fontId="3" type="noConversion"/>
  </si>
  <si>
    <t>현대로템</t>
  </si>
  <si>
    <t>현대로템</t>
    <phoneticPr fontId="3" type="noConversion"/>
  </si>
  <si>
    <t>EIDS 수리비 및 보수품</t>
  </si>
  <si>
    <t>250108</t>
    <phoneticPr fontId="3" type="noConversion"/>
  </si>
  <si>
    <t>실리콘큐브</t>
  </si>
  <si>
    <t>실리콘큐브</t>
    <phoneticPr fontId="3" type="noConversion"/>
  </si>
  <si>
    <t>무한테크</t>
  </si>
  <si>
    <t>무한테크</t>
    <phoneticPr fontId="3" type="noConversion"/>
  </si>
  <si>
    <t>다원시스</t>
  </si>
  <si>
    <t>다원시스</t>
    <phoneticPr fontId="3" type="noConversion"/>
  </si>
  <si>
    <t>DWE-2024-JUN-11-001</t>
  </si>
  <si>
    <t>DWE-2024-AUG-29-001</t>
  </si>
  <si>
    <t>250331</t>
  </si>
  <si>
    <t>250630</t>
  </si>
  <si>
    <t>서울7호선 3차분 TCMS 개조</t>
  </si>
  <si>
    <t>4호선 방송편집기 소프트웨어개발</t>
  </si>
  <si>
    <t>250103</t>
    <phoneticPr fontId="3" type="noConversion"/>
  </si>
  <si>
    <t>4호선210량 소프트웨어 1년 개선비 + 기존 업데이트 빙용</t>
    <phoneticPr fontId="3" type="noConversion"/>
  </si>
  <si>
    <t>티랩</t>
  </si>
  <si>
    <t>티랩</t>
    <phoneticPr fontId="3" type="noConversion"/>
  </si>
  <si>
    <t>마루소프트</t>
  </si>
  <si>
    <t>마루소프트</t>
    <phoneticPr fontId="3" type="noConversion"/>
  </si>
  <si>
    <t>신진금고</t>
  </si>
  <si>
    <t>신진금고</t>
    <phoneticPr fontId="3" type="noConversion"/>
  </si>
  <si>
    <t>인터모빌리티</t>
    <phoneticPr fontId="3" type="noConversion"/>
  </si>
  <si>
    <t>순</t>
    <phoneticPr fontId="3" type="noConversion"/>
  </si>
  <si>
    <t>고객명</t>
    <phoneticPr fontId="3" type="noConversion"/>
  </si>
  <si>
    <t>견적가</t>
    <phoneticPr fontId="3" type="noConversion"/>
  </si>
  <si>
    <t>AB등급</t>
    <phoneticPr fontId="3" type="noConversion"/>
  </si>
  <si>
    <t>CD등급</t>
    <phoneticPr fontId="3" type="noConversion"/>
  </si>
  <si>
    <t>전체</t>
    <phoneticPr fontId="3" type="noConversion"/>
  </si>
  <si>
    <t>수주가</t>
    <phoneticPr fontId="3" type="noConversion"/>
  </si>
  <si>
    <t>지아이씨</t>
  </si>
  <si>
    <t>수주율(%)</t>
    <phoneticPr fontId="3" type="noConversion"/>
  </si>
  <si>
    <t>합계</t>
    <phoneticPr fontId="3" type="noConversion"/>
  </si>
  <si>
    <t>수주금액 (2026년)</t>
    <phoneticPr fontId="3" type="noConversion"/>
  </si>
  <si>
    <t>2025년</t>
    <phoneticPr fontId="3" type="noConversion"/>
  </si>
  <si>
    <t>2026년 이월</t>
    <phoneticPr fontId="3" type="noConversion"/>
  </si>
  <si>
    <t>인천교통공사</t>
    <phoneticPr fontId="3" type="noConversion"/>
  </si>
  <si>
    <t>GMTECH</t>
    <phoneticPr fontId="3" type="noConversion"/>
  </si>
  <si>
    <t>20250123-1</t>
    <phoneticPr fontId="3" type="noConversion"/>
  </si>
  <si>
    <t>250207</t>
    <phoneticPr fontId="3" type="noConversion"/>
  </si>
  <si>
    <t>코레일 EMU-150 TCMS 기반 통합편집기</t>
  </si>
  <si>
    <t>7호선 3차분 PIS-CSC 장치 개조</t>
  </si>
  <si>
    <t>2025년 1월 31일 수정계약 (사급 금액 제외)</t>
    <phoneticPr fontId="3" type="noConversion"/>
  </si>
  <si>
    <t>아이디넷</t>
    <phoneticPr fontId="3" type="noConversion"/>
  </si>
  <si>
    <t>7호선 표시기(객실서버) 수리</t>
  </si>
  <si>
    <t>250122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</si>
</sst>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₩&quot;* #,##0_-;\-&quot;₩&quot;* #,##0_-;_-&quot;₩&quot;* &quot;-&quot;_-;_-@_-"/>
    <numFmt numFmtId="176" formatCode="#,##0_ "/>
  </numFmts>
  <fonts count="1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color rgb="FF00B05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name val="바탕"/>
      <family val="1"/>
      <charset val="129"/>
    </font>
    <font>
      <sz val="11"/>
      <color rgb="FF00B050"/>
      <name val="맑은 고딕"/>
      <family val="2"/>
      <charset val="129"/>
      <scheme val="minor"/>
    </font>
    <font>
      <sz val="11"/>
      <color rgb="FF0070C0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2" fontId="0" fillId="0" borderId="0" xfId="0" applyNumberFormat="1" applyAlignment="1">
      <alignment horizontal="center" vertical="center"/>
    </xf>
    <xf numFmtId="42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2" fontId="5" fillId="0" borderId="1" xfId="0" applyNumberFormat="1" applyFont="1" applyBorder="1" applyAlignment="1">
      <alignment horizontal="center" vertical="center"/>
    </xf>
    <xf numFmtId="42" fontId="5" fillId="0" borderId="1" xfId="0" applyNumberFormat="1" applyFont="1" applyBorder="1" applyAlignment="1">
      <alignment horizontal="center" vertical="center" wrapText="1"/>
    </xf>
    <xf numFmtId="42" fontId="6" fillId="0" borderId="1" xfId="0" applyNumberFormat="1" applyFont="1" applyBorder="1" applyAlignment="1">
      <alignment horizontal="center" vertical="center"/>
    </xf>
    <xf numFmtId="0" fontId="6" fillId="0" borderId="0" xfId="0" applyFont="1">
      <alignment vertical="center"/>
    </xf>
    <xf numFmtId="42" fontId="7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2" fontId="6" fillId="0" borderId="1" xfId="0" applyNumberFormat="1" applyFont="1" applyBorder="1" applyAlignment="1">
      <alignment horizontal="center" vertical="center" wrapText="1"/>
    </xf>
    <xf numFmtId="42" fontId="9" fillId="0" borderId="0" xfId="0" applyNumberFormat="1" applyFont="1" applyAlignment="1">
      <alignment horizontal="center" vertical="center"/>
    </xf>
    <xf numFmtId="3" fontId="6" fillId="0" borderId="1" xfId="0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42" fontId="7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2" fontId="2" fillId="0" borderId="1" xfId="0" applyNumberFormat="1" applyFont="1" applyBorder="1" applyAlignment="1">
      <alignment horizontal="center" vertical="center" wrapText="1"/>
    </xf>
    <xf numFmtId="42" fontId="7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42" fontId="5" fillId="0" borderId="0" xfId="0" applyNumberFormat="1" applyFont="1">
      <alignment vertical="center"/>
    </xf>
    <xf numFmtId="42" fontId="5" fillId="0" borderId="2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2" fontId="0" fillId="0" borderId="1" xfId="0" applyNumberFormat="1" applyBorder="1">
      <alignment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42" fontId="0" fillId="0" borderId="6" xfId="0" applyNumberFormat="1" applyBorder="1">
      <alignment vertical="center"/>
    </xf>
    <xf numFmtId="10" fontId="0" fillId="0" borderId="1" xfId="1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42" fontId="12" fillId="0" borderId="5" xfId="0" applyNumberFormat="1" applyFont="1" applyBorder="1">
      <alignment vertical="center"/>
    </xf>
    <xf numFmtId="42" fontId="12" fillId="0" borderId="1" xfId="0" applyNumberFormat="1" applyFont="1" applyBorder="1">
      <alignment vertical="center"/>
    </xf>
    <xf numFmtId="42" fontId="13" fillId="0" borderId="1" xfId="0" applyNumberFormat="1" applyFont="1" applyBorder="1">
      <alignment vertical="center"/>
    </xf>
    <xf numFmtId="0" fontId="14" fillId="0" borderId="1" xfId="0" applyFont="1" applyBorder="1" applyAlignment="1">
      <alignment horizontal="center" vertical="center" wrapText="1"/>
    </xf>
    <xf numFmtId="42" fontId="14" fillId="0" borderId="1" xfId="0" applyNumberFormat="1" applyFont="1" applyBorder="1" applyAlignment="1">
      <alignment horizontal="center" vertical="center"/>
    </xf>
    <xf numFmtId="42" fontId="14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42" fontId="15" fillId="0" borderId="5" xfId="0" applyNumberFormat="1" applyFont="1" applyBorder="1">
      <alignment vertical="center"/>
    </xf>
    <xf numFmtId="42" fontId="15" fillId="0" borderId="1" xfId="0" applyNumberFormat="1" applyFont="1" applyBorder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EF8D2-3B23-49B2-BD89-E34880020EA2}">
  <dimension ref="B2:M17"/>
  <sheetViews>
    <sheetView tabSelected="1" workbookViewId="0"/>
  </sheetViews>
  <sheetFormatPr defaultRowHeight="16.5" x14ac:dyDescent="0.3"/>
  <cols>
    <col min="1" max="1" width="3.5" customWidth="1"/>
    <col min="2" max="2" width="3.5" bestFit="1" customWidth="1"/>
    <col min="3" max="3" width="13" bestFit="1" customWidth="1"/>
    <col min="4" max="5" width="16.125" bestFit="1" customWidth="1"/>
    <col min="6" max="6" width="14.625" bestFit="1" customWidth="1"/>
    <col min="7" max="8" width="16.125" bestFit="1" customWidth="1"/>
    <col min="9" max="9" width="14.625" bestFit="1" customWidth="1"/>
    <col min="10" max="10" width="10.25" bestFit="1" customWidth="1"/>
    <col min="11" max="12" width="16.125" customWidth="1"/>
    <col min="13" max="13" width="42.125" bestFit="1" customWidth="1"/>
  </cols>
  <sheetData>
    <row r="2" spans="2:13" x14ac:dyDescent="0.3">
      <c r="C2" s="1"/>
      <c r="D2" s="51" t="s">
        <v>89</v>
      </c>
      <c r="E2" s="52"/>
      <c r="F2" s="53"/>
      <c r="G2" s="52" t="s">
        <v>93</v>
      </c>
      <c r="H2" s="52"/>
      <c r="I2" s="52"/>
      <c r="J2" s="52"/>
      <c r="K2" s="52"/>
      <c r="L2" s="54"/>
    </row>
    <row r="3" spans="2:13" x14ac:dyDescent="0.3">
      <c r="B3" s="44" t="s">
        <v>87</v>
      </c>
      <c r="C3" s="37" t="s">
        <v>88</v>
      </c>
      <c r="D3" s="37" t="s">
        <v>92</v>
      </c>
      <c r="E3" s="37" t="s">
        <v>90</v>
      </c>
      <c r="F3" s="40" t="s">
        <v>91</v>
      </c>
      <c r="G3" s="39" t="s">
        <v>92</v>
      </c>
      <c r="H3" s="37" t="s">
        <v>98</v>
      </c>
      <c r="I3" s="37" t="s">
        <v>99</v>
      </c>
      <c r="J3" s="37" t="s">
        <v>95</v>
      </c>
      <c r="K3" s="37" t="s">
        <v>58</v>
      </c>
      <c r="L3" s="37" t="s">
        <v>59</v>
      </c>
      <c r="M3" s="37" t="s">
        <v>12</v>
      </c>
    </row>
    <row r="4" spans="2:13" x14ac:dyDescent="0.3">
      <c r="B4" s="44">
        <v>1</v>
      </c>
      <c r="C4" s="44" t="s">
        <v>94</v>
      </c>
      <c r="D4" s="58">
        <f>'1.지아이씨'!R34</f>
        <v>395235675.69999993</v>
      </c>
      <c r="E4" s="58">
        <f>'1.지아이씨'!S34</f>
        <v>395235675.69999993</v>
      </c>
      <c r="F4" s="41">
        <f>'1.지아이씨'!T34</f>
        <v>0</v>
      </c>
      <c r="G4" s="57">
        <f>'1.지아이씨'!O34</f>
        <v>395235675.69999999</v>
      </c>
      <c r="H4" s="58">
        <f>'1.지아이씨'!P34</f>
        <v>395235675.69999999</v>
      </c>
      <c r="I4" s="47">
        <f>'1.지아이씨'!Q34</f>
        <v>0</v>
      </c>
      <c r="J4" s="42">
        <f>G4/D4</f>
        <v>1.0000000000000002</v>
      </c>
      <c r="K4" s="43"/>
      <c r="L4" s="43"/>
      <c r="M4" s="48" t="s">
        <v>106</v>
      </c>
    </row>
    <row r="5" spans="2:13" x14ac:dyDescent="0.3">
      <c r="B5" s="44">
        <v>2</v>
      </c>
      <c r="C5" s="44" t="s">
        <v>60</v>
      </c>
      <c r="D5" s="38">
        <f>'2.김포골드라인'!R34</f>
        <v>0</v>
      </c>
      <c r="E5" s="38">
        <f>'2.김포골드라인'!S34</f>
        <v>0</v>
      </c>
      <c r="F5" s="41">
        <f>'2.김포골드라인'!T34</f>
        <v>0</v>
      </c>
      <c r="G5" s="45">
        <f>'2.김포골드라인'!O34</f>
        <v>0</v>
      </c>
      <c r="H5" s="46">
        <f>'2.김포골드라인'!P34</f>
        <v>0</v>
      </c>
      <c r="I5" s="47">
        <f>'2.김포골드라인'!Q34</f>
        <v>0</v>
      </c>
      <c r="J5" s="42" t="e">
        <f t="shared" ref="J5:J17" si="0">G5/D5</f>
        <v>#DIV/0!</v>
      </c>
      <c r="K5" s="43"/>
      <c r="L5" s="43"/>
      <c r="M5" s="43"/>
    </row>
    <row r="6" spans="2:13" x14ac:dyDescent="0.3">
      <c r="B6" s="44">
        <v>3</v>
      </c>
      <c r="C6" s="44" t="s">
        <v>100</v>
      </c>
      <c r="D6" s="38">
        <f>'3.인천교통공사'!R34</f>
        <v>182000000</v>
      </c>
      <c r="E6" s="38">
        <f>'3.인천교통공사'!S34</f>
        <v>182000000</v>
      </c>
      <c r="F6" s="41">
        <f>'3.인천교통공사'!T34</f>
        <v>0</v>
      </c>
      <c r="G6" s="45">
        <f>'3.인천교통공사'!O34</f>
        <v>0</v>
      </c>
      <c r="H6" s="46">
        <f>'3.인천교통공사'!P34</f>
        <v>0</v>
      </c>
      <c r="I6" s="47">
        <f>'3.인천교통공사'!Q34</f>
        <v>0</v>
      </c>
      <c r="J6" s="42">
        <f t="shared" si="0"/>
        <v>0</v>
      </c>
      <c r="K6" s="43"/>
      <c r="L6" s="43"/>
      <c r="M6" s="43"/>
    </row>
    <row r="7" spans="2:13" x14ac:dyDescent="0.3">
      <c r="B7" s="44">
        <v>4</v>
      </c>
      <c r="C7" s="44" t="s">
        <v>62</v>
      </c>
      <c r="D7" s="38">
        <f>'4.현대로템'!R34</f>
        <v>9983340</v>
      </c>
      <c r="E7" s="38">
        <f>'4.현대로템'!S34</f>
        <v>9983340</v>
      </c>
      <c r="F7" s="41">
        <f>'4.현대로템'!T34</f>
        <v>0</v>
      </c>
      <c r="G7" s="45">
        <f>'4.현대로템'!O34</f>
        <v>0</v>
      </c>
      <c r="H7" s="46">
        <f>'4.현대로템'!P34</f>
        <v>0</v>
      </c>
      <c r="I7" s="47">
        <f>'4.현대로템'!Q34</f>
        <v>0</v>
      </c>
      <c r="J7" s="42">
        <f t="shared" si="0"/>
        <v>0</v>
      </c>
      <c r="K7" s="43"/>
      <c r="L7" s="43"/>
      <c r="M7" s="43"/>
    </row>
    <row r="8" spans="2:13" x14ac:dyDescent="0.3">
      <c r="B8" s="44">
        <v>5</v>
      </c>
      <c r="C8" s="44" t="s">
        <v>66</v>
      </c>
      <c r="D8" s="38">
        <f>'5.실리콘큐브'!R34</f>
        <v>0</v>
      </c>
      <c r="E8" s="38">
        <f>'5.실리콘큐브'!S34</f>
        <v>0</v>
      </c>
      <c r="F8" s="41">
        <f>'5.실리콘큐브'!T34</f>
        <v>0</v>
      </c>
      <c r="G8" s="45">
        <f>'5.실리콘큐브'!O34</f>
        <v>0</v>
      </c>
      <c r="H8" s="46">
        <f>'5.실리콘큐브'!P34</f>
        <v>0</v>
      </c>
      <c r="I8" s="47">
        <f>'5.실리콘큐브'!Q34</f>
        <v>0</v>
      </c>
      <c r="J8" s="42" t="e">
        <f t="shared" si="0"/>
        <v>#DIV/0!</v>
      </c>
      <c r="K8" s="43"/>
      <c r="L8" s="43"/>
      <c r="M8" s="43"/>
    </row>
    <row r="9" spans="2:13" x14ac:dyDescent="0.3">
      <c r="B9" s="44">
        <v>6</v>
      </c>
      <c r="C9" s="44" t="s">
        <v>68</v>
      </c>
      <c r="D9" s="38">
        <f>'6.무한테크'!R34</f>
        <v>0</v>
      </c>
      <c r="E9" s="38">
        <f>'6.무한테크'!S34</f>
        <v>0</v>
      </c>
      <c r="F9" s="41">
        <f>'6.무한테크'!T34</f>
        <v>0</v>
      </c>
      <c r="G9" s="45">
        <f>'6.무한테크'!O34</f>
        <v>0</v>
      </c>
      <c r="H9" s="46">
        <f>'6.무한테크'!P34</f>
        <v>0</v>
      </c>
      <c r="I9" s="47">
        <f>'6.무한테크'!Q34</f>
        <v>0</v>
      </c>
      <c r="J9" s="42" t="e">
        <f t="shared" si="0"/>
        <v>#DIV/0!</v>
      </c>
      <c r="K9" s="43"/>
      <c r="L9" s="43"/>
      <c r="M9" s="43"/>
    </row>
    <row r="10" spans="2:13" x14ac:dyDescent="0.3">
      <c r="B10" s="44">
        <v>7</v>
      </c>
      <c r="C10" s="44" t="s">
        <v>70</v>
      </c>
      <c r="D10" s="38">
        <f>'7.다원시스'!R34</f>
        <v>567731048</v>
      </c>
      <c r="E10" s="38">
        <f>'7.다원시스'!S34</f>
        <v>567731048</v>
      </c>
      <c r="F10" s="41">
        <f>'7.다원시스'!T34</f>
        <v>0</v>
      </c>
      <c r="G10" s="45">
        <f>'7.다원시스'!O34</f>
        <v>287000000</v>
      </c>
      <c r="H10" s="46">
        <f>'7.다원시스'!P34</f>
        <v>287000000</v>
      </c>
      <c r="I10" s="47">
        <f>'7.다원시스'!Q34</f>
        <v>0</v>
      </c>
      <c r="J10" s="42">
        <f t="shared" si="0"/>
        <v>0.50552105792177848</v>
      </c>
      <c r="K10" s="43"/>
      <c r="L10" s="43"/>
      <c r="M10" s="43"/>
    </row>
    <row r="11" spans="2:13" x14ac:dyDescent="0.3">
      <c r="B11" s="44">
        <v>8</v>
      </c>
      <c r="C11" s="44" t="s">
        <v>80</v>
      </c>
      <c r="D11" s="38">
        <f>'8.티랩'!R34</f>
        <v>0</v>
      </c>
      <c r="E11" s="38">
        <f>'8.티랩'!S34</f>
        <v>0</v>
      </c>
      <c r="F11" s="41">
        <f>'8.티랩'!T34</f>
        <v>0</v>
      </c>
      <c r="G11" s="45">
        <f>'8.티랩'!O34</f>
        <v>0</v>
      </c>
      <c r="H11" s="46">
        <f>'8.티랩'!P34</f>
        <v>0</v>
      </c>
      <c r="I11" s="47">
        <f>'8.티랩'!Q34</f>
        <v>0</v>
      </c>
      <c r="J11" s="42" t="e">
        <f t="shared" si="0"/>
        <v>#DIV/0!</v>
      </c>
      <c r="K11" s="43"/>
      <c r="L11" s="43"/>
      <c r="M11" s="43"/>
    </row>
    <row r="12" spans="2:13" x14ac:dyDescent="0.3">
      <c r="B12" s="44">
        <v>9</v>
      </c>
      <c r="C12" s="44" t="s">
        <v>82</v>
      </c>
      <c r="D12" s="38">
        <f>'9.마루소프트'!R34</f>
        <v>0</v>
      </c>
      <c r="E12" s="38">
        <f>'9.마루소프트'!S34</f>
        <v>0</v>
      </c>
      <c r="F12" s="41">
        <f>'9.마루소프트'!T34</f>
        <v>0</v>
      </c>
      <c r="G12" s="45">
        <f>'9.마루소프트'!O34</f>
        <v>0</v>
      </c>
      <c r="H12" s="46">
        <f>'9.마루소프트'!P34</f>
        <v>0</v>
      </c>
      <c r="I12" s="47">
        <f>'9.마루소프트'!Q34</f>
        <v>0</v>
      </c>
      <c r="J12" s="42" t="e">
        <f t="shared" si="0"/>
        <v>#DIV/0!</v>
      </c>
      <c r="K12" s="43"/>
      <c r="L12" s="43"/>
      <c r="M12" s="43"/>
    </row>
    <row r="13" spans="2:13" x14ac:dyDescent="0.3">
      <c r="B13" s="44">
        <v>10</v>
      </c>
      <c r="C13" s="44" t="s">
        <v>84</v>
      </c>
      <c r="D13" s="38">
        <f>'10.신진금고'!R34</f>
        <v>0</v>
      </c>
      <c r="E13" s="38">
        <f>'10.신진금고'!S34</f>
        <v>0</v>
      </c>
      <c r="F13" s="41">
        <f>'10.신진금고'!T34</f>
        <v>0</v>
      </c>
      <c r="G13" s="45">
        <f>'10.신진금고'!O34</f>
        <v>0</v>
      </c>
      <c r="H13" s="46">
        <f>'10.신진금고'!P34</f>
        <v>0</v>
      </c>
      <c r="I13" s="47">
        <f>'10.신진금고'!Q34</f>
        <v>0</v>
      </c>
      <c r="J13" s="42" t="e">
        <f t="shared" si="0"/>
        <v>#DIV/0!</v>
      </c>
      <c r="K13" s="43"/>
      <c r="L13" s="43"/>
      <c r="M13" s="43"/>
    </row>
    <row r="14" spans="2:13" x14ac:dyDescent="0.3">
      <c r="B14" s="44">
        <v>11</v>
      </c>
      <c r="C14" s="44" t="s">
        <v>86</v>
      </c>
      <c r="D14" s="38">
        <f>'11.인터모빌리티'!R34</f>
        <v>0</v>
      </c>
      <c r="E14" s="38">
        <f>'11.인터모빌리티'!S34</f>
        <v>0</v>
      </c>
      <c r="F14" s="41">
        <f>'11.인터모빌리티'!T34</f>
        <v>0</v>
      </c>
      <c r="G14" s="45">
        <f>'11.인터모빌리티'!O34</f>
        <v>0</v>
      </c>
      <c r="H14" s="46">
        <f>'11.인터모빌리티'!P34</f>
        <v>0</v>
      </c>
      <c r="I14" s="47">
        <f>'11.인터모빌리티'!Q34</f>
        <v>0</v>
      </c>
      <c r="J14" s="42" t="e">
        <f t="shared" si="0"/>
        <v>#DIV/0!</v>
      </c>
      <c r="K14" s="43"/>
      <c r="L14" s="43"/>
      <c r="M14" s="43"/>
    </row>
    <row r="15" spans="2:13" x14ac:dyDescent="0.3">
      <c r="B15" s="44">
        <v>12</v>
      </c>
      <c r="C15" s="44" t="s">
        <v>101</v>
      </c>
      <c r="D15" s="38">
        <f>'12.GMTECH'!R34</f>
        <v>0</v>
      </c>
      <c r="E15" s="38">
        <f>'12.GMTECH'!S34</f>
        <v>0</v>
      </c>
      <c r="F15" s="41">
        <f>'12.GMTECH'!T34</f>
        <v>0</v>
      </c>
      <c r="G15" s="45">
        <f>'12.GMTECH'!O34</f>
        <v>0</v>
      </c>
      <c r="H15" s="45">
        <f>'12.GMTECH'!P34</f>
        <v>0</v>
      </c>
      <c r="I15" s="47">
        <f>'12.GMTECH'!Q34</f>
        <v>0</v>
      </c>
      <c r="J15" s="42" t="e">
        <f t="shared" ref="J15:J16" si="1">G15/D15</f>
        <v>#DIV/0!</v>
      </c>
      <c r="K15" s="43"/>
      <c r="L15" s="43"/>
      <c r="M15" s="43"/>
    </row>
    <row r="16" spans="2:13" x14ac:dyDescent="0.3">
      <c r="B16" s="44">
        <v>13</v>
      </c>
      <c r="C16" s="44" t="s">
        <v>107</v>
      </c>
      <c r="D16" s="38">
        <f>'13.아이디넷'!R34</f>
        <v>1300000</v>
      </c>
      <c r="E16" s="38">
        <f>'13.아이디넷'!S34</f>
        <v>1300000</v>
      </c>
      <c r="F16" s="41">
        <f>'13.아이디넷'!T34</f>
        <v>0</v>
      </c>
      <c r="G16" s="45">
        <f>'13.아이디넷'!O34</f>
        <v>1200000</v>
      </c>
      <c r="H16" s="45">
        <f>'13.아이디넷'!P34</f>
        <v>1200000</v>
      </c>
      <c r="I16" s="47">
        <f>'13.아이디넷'!Q34</f>
        <v>0</v>
      </c>
      <c r="J16" s="42">
        <f t="shared" si="1"/>
        <v>0.92307692307692313</v>
      </c>
      <c r="K16" s="43"/>
      <c r="L16" s="43"/>
      <c r="M16" s="43"/>
    </row>
    <row r="17" spans="2:13" x14ac:dyDescent="0.3">
      <c r="B17" s="44"/>
      <c r="C17" s="44" t="s">
        <v>96</v>
      </c>
      <c r="D17" s="38">
        <f>SUM(D4:D16)</f>
        <v>1156250063.6999998</v>
      </c>
      <c r="E17" s="38">
        <f t="shared" ref="E17:I17" si="2">SUM(E4:E16)</f>
        <v>1156250063.6999998</v>
      </c>
      <c r="F17" s="41">
        <f t="shared" si="2"/>
        <v>0</v>
      </c>
      <c r="G17" s="45">
        <f t="shared" si="2"/>
        <v>683435675.70000005</v>
      </c>
      <c r="H17" s="46">
        <f t="shared" si="2"/>
        <v>683435675.70000005</v>
      </c>
      <c r="I17" s="47">
        <f t="shared" si="2"/>
        <v>0</v>
      </c>
      <c r="J17" s="42">
        <f t="shared" si="0"/>
        <v>0.59107947074442191</v>
      </c>
      <c r="K17" s="43"/>
      <c r="L17" s="43"/>
      <c r="M17" s="43"/>
    </row>
  </sheetData>
  <mergeCells count="2">
    <mergeCell ref="D2:F2"/>
    <mergeCell ref="G2:L2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7C031-0198-4FE5-BB10-7AD71E3D4A47}">
  <dimension ref="B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2:24" x14ac:dyDescent="0.3">
      <c r="B2" s="7"/>
      <c r="C2" s="7"/>
    </row>
    <row r="3" spans="2:24" s="27" customFormat="1" x14ac:dyDescent="0.3">
      <c r="B3" s="28" t="s">
        <v>0</v>
      </c>
      <c r="C3" s="28" t="s">
        <v>1</v>
      </c>
      <c r="D3" s="29" t="s">
        <v>2</v>
      </c>
      <c r="E3" s="29" t="s">
        <v>51</v>
      </c>
      <c r="F3" s="29" t="s">
        <v>3</v>
      </c>
      <c r="G3" s="29" t="s">
        <v>53</v>
      </c>
      <c r="H3" s="30" t="s">
        <v>54</v>
      </c>
      <c r="I3" s="29" t="s">
        <v>52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97</v>
      </c>
      <c r="R3" s="32" t="s">
        <v>56</v>
      </c>
      <c r="S3" s="32" t="s">
        <v>55</v>
      </c>
      <c r="T3" s="32" t="s">
        <v>57</v>
      </c>
      <c r="U3" s="32" t="s">
        <v>58</v>
      </c>
      <c r="V3" s="32" t="s">
        <v>59</v>
      </c>
      <c r="W3" s="32" t="s">
        <v>11</v>
      </c>
      <c r="X3" s="34" t="s">
        <v>12</v>
      </c>
    </row>
    <row r="4" spans="2:24" s="14" customFormat="1" ht="33" x14ac:dyDescent="0.3">
      <c r="B4" s="8">
        <v>1</v>
      </c>
      <c r="C4" s="8" t="s">
        <v>13</v>
      </c>
      <c r="D4" s="9" t="s">
        <v>14</v>
      </c>
      <c r="E4" s="9"/>
      <c r="F4" s="9"/>
      <c r="G4" s="8">
        <v>240524</v>
      </c>
      <c r="H4" s="10" t="s">
        <v>20</v>
      </c>
      <c r="I4" s="9" t="s">
        <v>19</v>
      </c>
      <c r="J4" s="8">
        <v>240524</v>
      </c>
      <c r="K4" s="10" t="s">
        <v>20</v>
      </c>
      <c r="L4" s="10"/>
      <c r="M4" s="9" t="s">
        <v>21</v>
      </c>
      <c r="N4" s="9"/>
      <c r="O4" s="11">
        <v>245497525</v>
      </c>
      <c r="P4" s="11">
        <v>245497525</v>
      </c>
      <c r="Q4" s="26">
        <v>0</v>
      </c>
      <c r="R4" s="11">
        <v>245497524.99999997</v>
      </c>
      <c r="S4" s="11">
        <v>245497524.99999997</v>
      </c>
      <c r="T4" s="11"/>
      <c r="U4" s="11"/>
      <c r="V4" s="11"/>
      <c r="W4" s="12">
        <v>0</v>
      </c>
      <c r="X4" s="25"/>
    </row>
    <row r="5" spans="2:24" s="14" customFormat="1" ht="33" x14ac:dyDescent="0.3">
      <c r="B5" s="8">
        <v>2</v>
      </c>
      <c r="C5" s="8" t="s">
        <v>13</v>
      </c>
      <c r="D5" s="9" t="s">
        <v>14</v>
      </c>
      <c r="E5" s="9"/>
      <c r="F5" s="9"/>
      <c r="G5" s="8">
        <v>240913</v>
      </c>
      <c r="H5" s="10" t="s">
        <v>29</v>
      </c>
      <c r="I5" s="9" t="s">
        <v>28</v>
      </c>
      <c r="J5" s="8">
        <v>240913</v>
      </c>
      <c r="K5" s="10" t="s">
        <v>29</v>
      </c>
      <c r="L5" s="10" t="s">
        <v>15</v>
      </c>
      <c r="M5" s="9" t="s">
        <v>30</v>
      </c>
      <c r="N5" s="9">
        <v>51</v>
      </c>
      <c r="O5" s="11">
        <v>13983023.1</v>
      </c>
      <c r="P5" s="11">
        <v>13983023.1</v>
      </c>
      <c r="Q5" s="26">
        <v>0</v>
      </c>
      <c r="R5" s="11">
        <v>13983023.1</v>
      </c>
      <c r="S5" s="11">
        <v>13983023.1</v>
      </c>
      <c r="T5" s="11"/>
      <c r="U5" s="11"/>
      <c r="V5" s="11"/>
      <c r="W5" s="12">
        <v>0</v>
      </c>
      <c r="X5" s="17"/>
    </row>
    <row r="6" spans="2:24" s="14" customFormat="1" x14ac:dyDescent="0.3">
      <c r="B6" s="8"/>
      <c r="C6" s="8"/>
      <c r="D6" s="9"/>
      <c r="E6" s="9"/>
      <c r="F6" s="9"/>
      <c r="G6" s="8"/>
      <c r="H6" s="10"/>
      <c r="I6" s="9"/>
      <c r="J6" s="8"/>
      <c r="K6" s="10"/>
      <c r="L6" s="10" t="s">
        <v>16</v>
      </c>
      <c r="M6" s="9" t="s">
        <v>31</v>
      </c>
      <c r="N6" s="9">
        <v>51</v>
      </c>
      <c r="O6" s="11">
        <v>10164755.4</v>
      </c>
      <c r="P6" s="11">
        <v>10164755.4</v>
      </c>
      <c r="Q6" s="26">
        <v>0</v>
      </c>
      <c r="R6" s="11">
        <v>10164755.4</v>
      </c>
      <c r="S6" s="11">
        <v>10164755.4</v>
      </c>
      <c r="T6" s="11"/>
      <c r="U6" s="11"/>
      <c r="V6" s="11"/>
      <c r="W6" s="12">
        <v>0</v>
      </c>
      <c r="X6" s="17"/>
    </row>
    <row r="7" spans="2:24" s="14" customFormat="1" x14ac:dyDescent="0.3">
      <c r="B7" s="8"/>
      <c r="C7" s="8"/>
      <c r="D7" s="9"/>
      <c r="E7" s="9"/>
      <c r="F7" s="9"/>
      <c r="G7" s="8"/>
      <c r="H7" s="10"/>
      <c r="I7" s="9"/>
      <c r="J7" s="8"/>
      <c r="K7" s="10"/>
      <c r="L7" s="10" t="s">
        <v>17</v>
      </c>
      <c r="M7" s="9" t="s">
        <v>32</v>
      </c>
      <c r="N7" s="9">
        <v>51</v>
      </c>
      <c r="O7" s="11">
        <v>9341652.2999999989</v>
      </c>
      <c r="P7" s="11">
        <v>9341652.2999999989</v>
      </c>
      <c r="Q7" s="26">
        <v>0</v>
      </c>
      <c r="R7" s="11">
        <v>9341652.2999999989</v>
      </c>
      <c r="S7" s="11">
        <v>9341652.2999999989</v>
      </c>
      <c r="T7" s="11"/>
      <c r="U7" s="11"/>
      <c r="V7" s="11"/>
      <c r="W7" s="12">
        <v>0</v>
      </c>
      <c r="X7" s="17"/>
    </row>
    <row r="8" spans="2:24" s="14" customFormat="1" x14ac:dyDescent="0.3">
      <c r="B8" s="8"/>
      <c r="C8" s="8"/>
      <c r="D8" s="9"/>
      <c r="E8" s="9"/>
      <c r="F8" s="9"/>
      <c r="G8" s="8"/>
      <c r="H8" s="10"/>
      <c r="I8" s="9"/>
      <c r="J8" s="8"/>
      <c r="K8" s="10"/>
      <c r="L8" s="10" t="s">
        <v>18</v>
      </c>
      <c r="M8" s="9" t="s">
        <v>33</v>
      </c>
      <c r="N8" s="9">
        <v>51</v>
      </c>
      <c r="O8" s="11">
        <v>7854455.3999999994</v>
      </c>
      <c r="P8" s="11">
        <v>7854455.3999999994</v>
      </c>
      <c r="Q8" s="26">
        <v>0</v>
      </c>
      <c r="R8" s="11">
        <v>7854455.3999999994</v>
      </c>
      <c r="S8" s="11">
        <v>7854455.3999999994</v>
      </c>
      <c r="T8" s="11"/>
      <c r="U8" s="11"/>
      <c r="V8" s="11"/>
      <c r="W8" s="12">
        <v>0</v>
      </c>
      <c r="X8" s="17"/>
    </row>
    <row r="9" spans="2:24" s="14" customFormat="1" x14ac:dyDescent="0.3">
      <c r="B9" s="8"/>
      <c r="C9" s="8"/>
      <c r="D9" s="9"/>
      <c r="E9" s="9"/>
      <c r="F9" s="9"/>
      <c r="G9" s="8"/>
      <c r="H9" s="10"/>
      <c r="I9" s="9"/>
      <c r="J9" s="8"/>
      <c r="K9" s="10"/>
      <c r="L9" s="10" t="s">
        <v>22</v>
      </c>
      <c r="M9" s="9" t="s">
        <v>34</v>
      </c>
      <c r="N9" s="9">
        <v>51</v>
      </c>
      <c r="O9" s="11">
        <v>9422642.6999999993</v>
      </c>
      <c r="P9" s="11">
        <v>9422642.6999999993</v>
      </c>
      <c r="Q9" s="26">
        <v>0</v>
      </c>
      <c r="R9" s="11">
        <v>9422642.6999999993</v>
      </c>
      <c r="S9" s="11">
        <v>9422642.6999999993</v>
      </c>
      <c r="T9" s="11"/>
      <c r="U9" s="11"/>
      <c r="V9" s="11"/>
      <c r="W9" s="12">
        <v>0</v>
      </c>
      <c r="X9" s="17"/>
    </row>
    <row r="10" spans="2:24" s="14" customFormat="1" x14ac:dyDescent="0.3">
      <c r="B10" s="8"/>
      <c r="C10" s="8"/>
      <c r="D10" s="9"/>
      <c r="E10" s="9"/>
      <c r="F10" s="9"/>
      <c r="G10" s="8"/>
      <c r="H10" s="10"/>
      <c r="I10" s="9"/>
      <c r="J10" s="8"/>
      <c r="K10" s="10"/>
      <c r="L10" s="10" t="s">
        <v>23</v>
      </c>
      <c r="M10" s="9" t="s">
        <v>35</v>
      </c>
      <c r="N10" s="9">
        <v>51</v>
      </c>
      <c r="O10" s="11">
        <v>4421700</v>
      </c>
      <c r="P10" s="11">
        <v>4421700</v>
      </c>
      <c r="Q10" s="26">
        <v>0</v>
      </c>
      <c r="R10" s="11">
        <v>4421700</v>
      </c>
      <c r="S10" s="11">
        <v>4421700</v>
      </c>
      <c r="T10" s="11"/>
      <c r="U10" s="11"/>
      <c r="V10" s="11"/>
      <c r="W10" s="12">
        <v>0</v>
      </c>
      <c r="X10" s="17"/>
    </row>
    <row r="11" spans="2:24" s="14" customFormat="1" x14ac:dyDescent="0.3">
      <c r="B11" s="8"/>
      <c r="C11" s="8"/>
      <c r="D11" s="9"/>
      <c r="E11" s="9"/>
      <c r="F11" s="9"/>
      <c r="G11" s="8"/>
      <c r="H11" s="10"/>
      <c r="I11" s="9"/>
      <c r="J11" s="8"/>
      <c r="K11" s="10"/>
      <c r="L11" s="10" t="s">
        <v>24</v>
      </c>
      <c r="M11" s="9" t="s">
        <v>36</v>
      </c>
      <c r="N11" s="9">
        <v>102</v>
      </c>
      <c r="O11" s="11">
        <v>10373400</v>
      </c>
      <c r="P11" s="11">
        <v>10373400</v>
      </c>
      <c r="Q11" s="26">
        <v>0</v>
      </c>
      <c r="R11" s="11">
        <v>10373400</v>
      </c>
      <c r="S11" s="11">
        <v>10373400</v>
      </c>
      <c r="T11" s="11"/>
      <c r="U11" s="11"/>
      <c r="V11" s="11"/>
      <c r="W11" s="12">
        <v>0</v>
      </c>
      <c r="X11" s="17"/>
    </row>
    <row r="12" spans="2:24" s="14" customFormat="1" x14ac:dyDescent="0.3">
      <c r="B12" s="8"/>
      <c r="C12" s="8"/>
      <c r="D12" s="9"/>
      <c r="E12" s="9"/>
      <c r="F12" s="9"/>
      <c r="G12" s="8"/>
      <c r="H12" s="10"/>
      <c r="I12" s="9"/>
      <c r="J12" s="8"/>
      <c r="K12" s="10"/>
      <c r="L12" s="10" t="s">
        <v>25</v>
      </c>
      <c r="M12" s="9" t="s">
        <v>37</v>
      </c>
      <c r="N12" s="9">
        <v>51</v>
      </c>
      <c r="O12" s="11">
        <v>7264302.2999999998</v>
      </c>
      <c r="P12" s="11">
        <v>7264302.2999999998</v>
      </c>
      <c r="Q12" s="26">
        <v>0</v>
      </c>
      <c r="R12" s="11">
        <v>7264302.2999999998</v>
      </c>
      <c r="S12" s="11">
        <v>7264302.2999999998</v>
      </c>
      <c r="T12" s="11"/>
      <c r="U12" s="11"/>
      <c r="V12" s="11"/>
      <c r="W12" s="12">
        <v>0</v>
      </c>
      <c r="X12" s="17"/>
    </row>
    <row r="13" spans="2:24" s="14" customFormat="1" x14ac:dyDescent="0.3">
      <c r="B13" s="8"/>
      <c r="C13" s="8"/>
      <c r="D13" s="9"/>
      <c r="E13" s="9"/>
      <c r="F13" s="9"/>
      <c r="G13" s="8"/>
      <c r="H13" s="10"/>
      <c r="I13" s="9"/>
      <c r="J13" s="8"/>
      <c r="K13" s="10"/>
      <c r="L13" s="10" t="s">
        <v>26</v>
      </c>
      <c r="M13" s="9" t="s">
        <v>38</v>
      </c>
      <c r="N13" s="9">
        <v>51</v>
      </c>
      <c r="O13" s="11">
        <v>4590000</v>
      </c>
      <c r="P13" s="11">
        <v>4590000</v>
      </c>
      <c r="Q13" s="26">
        <v>0</v>
      </c>
      <c r="R13" s="11">
        <v>4590000</v>
      </c>
      <c r="S13" s="11">
        <v>4590000</v>
      </c>
      <c r="T13" s="11"/>
      <c r="U13" s="11"/>
      <c r="V13" s="11"/>
      <c r="W13" s="12">
        <v>0</v>
      </c>
      <c r="X13" s="17"/>
    </row>
    <row r="14" spans="2:24" s="14" customFormat="1" x14ac:dyDescent="0.3">
      <c r="B14" s="8"/>
      <c r="C14" s="8"/>
      <c r="D14" s="9"/>
      <c r="E14" s="9"/>
      <c r="F14" s="9"/>
      <c r="G14" s="8"/>
      <c r="H14" s="10"/>
      <c r="I14" s="9"/>
      <c r="J14" s="8"/>
      <c r="K14" s="10"/>
      <c r="L14" s="10" t="s">
        <v>27</v>
      </c>
      <c r="M14" s="9" t="s">
        <v>39</v>
      </c>
      <c r="N14" s="9">
        <v>51</v>
      </c>
      <c r="O14" s="11">
        <v>7246837.5</v>
      </c>
      <c r="P14" s="11">
        <v>7246837.5</v>
      </c>
      <c r="Q14" s="26">
        <v>0</v>
      </c>
      <c r="R14" s="11">
        <v>7246837.5</v>
      </c>
      <c r="S14" s="11">
        <v>7246837.5</v>
      </c>
      <c r="T14" s="11"/>
      <c r="U14" s="11"/>
      <c r="V14" s="11"/>
      <c r="W14" s="12">
        <v>0</v>
      </c>
      <c r="X14" s="17"/>
    </row>
    <row r="15" spans="2:24" s="14" customFormat="1" x14ac:dyDescent="0.3">
      <c r="B15" s="8"/>
      <c r="C15" s="8"/>
      <c r="D15" s="9"/>
      <c r="E15" s="9"/>
      <c r="F15" s="9"/>
      <c r="G15" s="8"/>
      <c r="H15" s="10"/>
      <c r="I15" s="9"/>
      <c r="J15" s="8"/>
      <c r="K15" s="10"/>
      <c r="L15" s="10" t="s">
        <v>40</v>
      </c>
      <c r="M15" s="9" t="s">
        <v>41</v>
      </c>
      <c r="N15" s="9">
        <v>51</v>
      </c>
      <c r="O15" s="11">
        <v>6505758.8999999994</v>
      </c>
      <c r="P15" s="11">
        <v>6505758.8999999994</v>
      </c>
      <c r="Q15" s="26">
        <v>0</v>
      </c>
      <c r="R15" s="11">
        <v>6505758.8999999994</v>
      </c>
      <c r="S15" s="11">
        <v>6505758.8999999994</v>
      </c>
      <c r="T15" s="11"/>
      <c r="U15" s="11"/>
      <c r="V15" s="11"/>
      <c r="W15" s="12">
        <v>0</v>
      </c>
      <c r="X15" s="17"/>
    </row>
    <row r="16" spans="2:24" s="14" customFormat="1" x14ac:dyDescent="0.3">
      <c r="B16" s="8"/>
      <c r="C16" s="8"/>
      <c r="D16" s="9"/>
      <c r="E16" s="9"/>
      <c r="F16" s="9"/>
      <c r="G16" s="8"/>
      <c r="H16" s="10"/>
      <c r="I16" s="9"/>
      <c r="J16" s="8"/>
      <c r="K16" s="10"/>
      <c r="L16" s="10" t="s">
        <v>42</v>
      </c>
      <c r="M16" s="9" t="s">
        <v>43</v>
      </c>
      <c r="N16" s="9">
        <v>51</v>
      </c>
      <c r="O16" s="11">
        <v>14136023.1</v>
      </c>
      <c r="P16" s="11">
        <v>14136023.1</v>
      </c>
      <c r="Q16" s="26">
        <v>0</v>
      </c>
      <c r="R16" s="11">
        <v>14136023.1</v>
      </c>
      <c r="S16" s="11">
        <v>14136023.1</v>
      </c>
      <c r="T16" s="11"/>
      <c r="U16" s="11"/>
      <c r="V16" s="11"/>
      <c r="W16" s="12">
        <v>0</v>
      </c>
      <c r="X16" s="17"/>
    </row>
    <row r="17" spans="2:24" s="14" customFormat="1" ht="33" x14ac:dyDescent="0.3">
      <c r="B17" s="8">
        <v>3</v>
      </c>
      <c r="C17" s="8" t="s">
        <v>13</v>
      </c>
      <c r="D17" s="9" t="s">
        <v>14</v>
      </c>
      <c r="E17" s="9"/>
      <c r="F17" s="9"/>
      <c r="G17" s="8">
        <v>240923</v>
      </c>
      <c r="H17" s="10" t="s">
        <v>45</v>
      </c>
      <c r="I17" s="9" t="s">
        <v>44</v>
      </c>
      <c r="J17" s="8">
        <v>240923</v>
      </c>
      <c r="K17" s="10" t="s">
        <v>45</v>
      </c>
      <c r="L17" s="10" t="s">
        <v>16</v>
      </c>
      <c r="M17" s="9" t="s">
        <v>46</v>
      </c>
      <c r="N17" s="9">
        <v>10</v>
      </c>
      <c r="O17" s="11">
        <v>8188800</v>
      </c>
      <c r="P17" s="11">
        <v>8188800</v>
      </c>
      <c r="Q17" s="26">
        <v>0</v>
      </c>
      <c r="R17" s="11">
        <v>8188800</v>
      </c>
      <c r="S17" s="11">
        <v>8188800</v>
      </c>
      <c r="T17" s="11"/>
      <c r="U17" s="11"/>
      <c r="V17" s="11"/>
      <c r="W17" s="12">
        <v>0</v>
      </c>
      <c r="X17" s="17"/>
    </row>
    <row r="18" spans="2:24" s="14" customFormat="1" x14ac:dyDescent="0.3">
      <c r="B18" s="8"/>
      <c r="C18" s="8"/>
      <c r="D18" s="9"/>
      <c r="E18" s="9"/>
      <c r="F18" s="9"/>
      <c r="G18" s="8"/>
      <c r="H18" s="10" t="s">
        <v>47</v>
      </c>
      <c r="I18" s="9"/>
      <c r="J18" s="8"/>
      <c r="K18" s="10" t="s">
        <v>47</v>
      </c>
      <c r="L18" s="10" t="s">
        <v>25</v>
      </c>
      <c r="M18" s="9" t="s">
        <v>48</v>
      </c>
      <c r="N18" s="9">
        <v>10</v>
      </c>
      <c r="O18" s="49">
        <v>12435200</v>
      </c>
      <c r="P18" s="49">
        <v>12435200</v>
      </c>
      <c r="Q18" s="50">
        <v>0</v>
      </c>
      <c r="R18" s="49">
        <v>12435200</v>
      </c>
      <c r="S18" s="49">
        <v>12435200</v>
      </c>
      <c r="T18" s="11"/>
      <c r="U18" s="11"/>
      <c r="V18" s="11"/>
      <c r="W18" s="12">
        <v>0</v>
      </c>
      <c r="X18" s="48" t="s">
        <v>106</v>
      </c>
    </row>
    <row r="19" spans="2:24" s="14" customFormat="1" x14ac:dyDescent="0.3">
      <c r="B19" s="8"/>
      <c r="C19" s="8"/>
      <c r="D19" s="9"/>
      <c r="E19" s="9"/>
      <c r="F19" s="9"/>
      <c r="G19" s="8"/>
      <c r="H19" s="10" t="s">
        <v>45</v>
      </c>
      <c r="I19" s="9"/>
      <c r="J19" s="8"/>
      <c r="K19" s="10" t="s">
        <v>45</v>
      </c>
      <c r="L19" s="10" t="s">
        <v>40</v>
      </c>
      <c r="M19" s="9" t="s">
        <v>49</v>
      </c>
      <c r="N19" s="9">
        <v>20</v>
      </c>
      <c r="O19" s="49">
        <v>23809600</v>
      </c>
      <c r="P19" s="49">
        <v>23809600</v>
      </c>
      <c r="Q19" s="50">
        <v>0</v>
      </c>
      <c r="R19" s="49">
        <v>23809600</v>
      </c>
      <c r="S19" s="49">
        <v>23809600</v>
      </c>
      <c r="T19" s="11"/>
      <c r="U19" s="11"/>
      <c r="V19" s="35"/>
      <c r="W19" s="12">
        <v>0</v>
      </c>
      <c r="X19" s="48" t="s">
        <v>106</v>
      </c>
    </row>
    <row r="20" spans="2:24" s="14" customFormat="1" x14ac:dyDescent="0.3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3"/>
      <c r="Q20" s="13"/>
      <c r="R20" s="13"/>
      <c r="S20" s="13"/>
      <c r="T20" s="13"/>
      <c r="U20" s="13"/>
      <c r="V20" s="13"/>
      <c r="W20" s="19"/>
      <c r="X20" s="17"/>
    </row>
    <row r="21" spans="2:24" s="14" customFormat="1" x14ac:dyDescent="0.3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3"/>
      <c r="Q21" s="13"/>
      <c r="R21" s="13"/>
      <c r="S21" s="13"/>
      <c r="T21" s="13"/>
      <c r="U21" s="13"/>
      <c r="V21" s="13"/>
      <c r="W21" s="19"/>
      <c r="X21" s="17"/>
    </row>
    <row r="22" spans="2:24" s="14" customFormat="1" x14ac:dyDescent="0.3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3"/>
      <c r="Q22" s="13"/>
      <c r="R22" s="13"/>
      <c r="S22" s="13"/>
      <c r="T22" s="13"/>
      <c r="U22" s="13"/>
      <c r="V22" s="13"/>
      <c r="W22" s="19"/>
      <c r="X22" s="17"/>
    </row>
    <row r="23" spans="2:24" s="14" customFormat="1" x14ac:dyDescent="0.3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3"/>
      <c r="Q23" s="13"/>
      <c r="R23" s="13"/>
      <c r="S23" s="13"/>
      <c r="T23" s="13"/>
      <c r="U23" s="13"/>
      <c r="V23" s="13"/>
      <c r="W23" s="19"/>
      <c r="X23" s="17"/>
    </row>
    <row r="24" spans="2:24" s="14" customFormat="1" x14ac:dyDescent="0.3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3"/>
      <c r="Q24" s="13"/>
      <c r="R24" s="13"/>
      <c r="S24" s="13"/>
      <c r="T24" s="13"/>
      <c r="U24" s="13"/>
      <c r="V24" s="13"/>
      <c r="W24" s="19"/>
      <c r="X24" s="17"/>
    </row>
    <row r="25" spans="2:24" s="14" customFormat="1" x14ac:dyDescent="0.3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3"/>
      <c r="Q25" s="13"/>
      <c r="R25" s="13"/>
      <c r="S25" s="13"/>
      <c r="T25" s="13"/>
      <c r="U25" s="13"/>
      <c r="V25" s="13"/>
      <c r="W25" s="19"/>
      <c r="X25" s="17"/>
    </row>
    <row r="26" spans="2:24" s="14" customFormat="1" x14ac:dyDescent="0.3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3"/>
      <c r="Q26" s="13"/>
      <c r="R26" s="13"/>
      <c r="S26" s="13"/>
      <c r="T26" s="13"/>
      <c r="U26" s="13"/>
      <c r="V26" s="13"/>
      <c r="W26" s="19"/>
      <c r="X26" s="17"/>
    </row>
    <row r="27" spans="2:24" s="14" customFormat="1" x14ac:dyDescent="0.3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3"/>
      <c r="Q27" s="13"/>
      <c r="R27" s="13"/>
      <c r="S27" s="13"/>
      <c r="T27" s="13"/>
      <c r="U27" s="13"/>
      <c r="V27" s="13"/>
      <c r="W27" s="19"/>
      <c r="X27" s="17"/>
    </row>
    <row r="28" spans="2:24" s="14" customFormat="1" x14ac:dyDescent="0.3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3"/>
      <c r="Q28" s="13"/>
      <c r="R28" s="13"/>
      <c r="S28" s="13"/>
      <c r="T28" s="13"/>
      <c r="U28" s="13"/>
      <c r="V28" s="13"/>
      <c r="W28" s="19"/>
      <c r="X28" s="17"/>
    </row>
    <row r="29" spans="2:24" s="14" customFormat="1" x14ac:dyDescent="0.3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3"/>
      <c r="Q29" s="13"/>
      <c r="R29" s="13"/>
      <c r="S29" s="13"/>
      <c r="T29" s="13"/>
      <c r="U29" s="13"/>
      <c r="V29" s="13"/>
      <c r="W29" s="19"/>
      <c r="X29" s="17"/>
    </row>
    <row r="30" spans="2:24" s="14" customFormat="1" x14ac:dyDescent="0.3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3"/>
      <c r="Q30" s="13"/>
      <c r="R30" s="13"/>
      <c r="S30" s="13"/>
      <c r="T30" s="13"/>
      <c r="U30" s="13"/>
      <c r="V30" s="13"/>
      <c r="W30" s="19"/>
      <c r="X30" s="17"/>
    </row>
    <row r="31" spans="2:24" s="14" customFormat="1" x14ac:dyDescent="0.3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3"/>
      <c r="Q31" s="13"/>
      <c r="R31" s="13"/>
      <c r="S31" s="13"/>
      <c r="T31" s="13"/>
      <c r="U31" s="13"/>
      <c r="V31" s="13"/>
      <c r="W31" s="19"/>
      <c r="X31" s="17"/>
    </row>
    <row r="32" spans="2:24" s="14" customFormat="1" x14ac:dyDescent="0.3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3"/>
      <c r="Q32" s="13"/>
      <c r="R32" s="13"/>
      <c r="S32" s="13"/>
      <c r="T32" s="13"/>
      <c r="U32" s="13"/>
      <c r="V32" s="13"/>
      <c r="W32" s="19"/>
      <c r="X32" s="17"/>
    </row>
    <row r="33" spans="2:24" s="14" customFormat="1" x14ac:dyDescent="0.3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3"/>
      <c r="Q33" s="13"/>
      <c r="R33" s="13"/>
      <c r="S33" s="13"/>
      <c r="T33" s="13"/>
      <c r="U33" s="13"/>
      <c r="V33" s="13"/>
      <c r="W33" s="19"/>
      <c r="X33" s="17"/>
    </row>
    <row r="34" spans="2:24" x14ac:dyDescent="0.3">
      <c r="B34" s="22"/>
      <c r="C34" s="55" t="s">
        <v>50</v>
      </c>
      <c r="D34" s="56"/>
      <c r="E34" s="56"/>
      <c r="F34" s="56"/>
      <c r="G34" s="56"/>
      <c r="H34" s="56"/>
      <c r="I34" s="56"/>
      <c r="J34" s="56"/>
      <c r="K34" s="56"/>
      <c r="L34" s="56"/>
      <c r="M34" s="23"/>
      <c r="N34" s="23"/>
      <c r="O34" s="13">
        <f t="shared" ref="O34:W34" si="0">SUM(O4:O33)</f>
        <v>395235675.69999999</v>
      </c>
      <c r="P34" s="13">
        <f t="shared" si="0"/>
        <v>395235675.69999999</v>
      </c>
      <c r="Q34" s="13">
        <f t="shared" si="0"/>
        <v>0</v>
      </c>
      <c r="R34" s="13">
        <f t="shared" si="0"/>
        <v>395235675.69999993</v>
      </c>
      <c r="S34" s="13">
        <f t="shared" si="0"/>
        <v>395235675.69999993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 x14ac:dyDescent="0.3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9448A-21BA-4AEE-B6BF-0586CDC01375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 x14ac:dyDescent="0.3">
      <c r="B2" s="7"/>
      <c r="C2" s="7"/>
    </row>
    <row r="3" spans="1:24" s="27" customFormat="1" x14ac:dyDescent="0.3">
      <c r="B3" s="28" t="s">
        <v>0</v>
      </c>
      <c r="C3" s="28" t="s">
        <v>1</v>
      </c>
      <c r="D3" s="29" t="s">
        <v>2</v>
      </c>
      <c r="E3" s="29" t="s">
        <v>51</v>
      </c>
      <c r="F3" s="29" t="s">
        <v>3</v>
      </c>
      <c r="G3" s="29" t="s">
        <v>53</v>
      </c>
      <c r="H3" s="30" t="s">
        <v>54</v>
      </c>
      <c r="I3" s="29" t="s">
        <v>52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97</v>
      </c>
      <c r="R3" s="32" t="s">
        <v>56</v>
      </c>
      <c r="S3" s="32" t="s">
        <v>55</v>
      </c>
      <c r="T3" s="32" t="s">
        <v>57</v>
      </c>
      <c r="U3" s="32" t="s">
        <v>58</v>
      </c>
      <c r="V3" s="32" t="s">
        <v>59</v>
      </c>
      <c r="W3" s="32" t="s">
        <v>11</v>
      </c>
      <c r="X3" s="34" t="s">
        <v>12</v>
      </c>
    </row>
    <row r="4" spans="1:24" s="1" customFormat="1" x14ac:dyDescent="0.3">
      <c r="B4" s="16">
        <v>1</v>
      </c>
      <c r="C4" s="16" t="s">
        <v>13</v>
      </c>
      <c r="D4" s="17" t="s">
        <v>61</v>
      </c>
      <c r="E4" s="17"/>
      <c r="F4" s="17"/>
      <c r="G4" s="16"/>
      <c r="H4" s="18"/>
      <c r="I4" s="17"/>
      <c r="J4" s="16"/>
      <c r="K4" s="18"/>
      <c r="L4" s="18"/>
      <c r="M4" s="18"/>
      <c r="N4" s="17"/>
      <c r="O4" s="13"/>
      <c r="P4" s="11"/>
      <c r="Q4" s="15"/>
      <c r="R4" s="13"/>
      <c r="S4" s="13"/>
      <c r="T4" s="13"/>
      <c r="U4" s="13"/>
      <c r="V4" s="13"/>
      <c r="W4" s="19"/>
      <c r="X4" s="21"/>
    </row>
    <row r="5" spans="1:24" s="14" customFormat="1" x14ac:dyDescent="0.3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 x14ac:dyDescent="0.3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 x14ac:dyDescent="0.3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 x14ac:dyDescent="0.3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 x14ac:dyDescent="0.3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 x14ac:dyDescent="0.3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 x14ac:dyDescent="0.3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 x14ac:dyDescent="0.3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x14ac:dyDescent="0.3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 x14ac:dyDescent="0.3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 x14ac:dyDescent="0.3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 x14ac:dyDescent="0.3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 x14ac:dyDescent="0.3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 x14ac:dyDescent="0.3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 x14ac:dyDescent="0.3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 x14ac:dyDescent="0.3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 x14ac:dyDescent="0.3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 x14ac:dyDescent="0.3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 x14ac:dyDescent="0.3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 x14ac:dyDescent="0.3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 x14ac:dyDescent="0.3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 x14ac:dyDescent="0.3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 x14ac:dyDescent="0.3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 x14ac:dyDescent="0.3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 x14ac:dyDescent="0.3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 x14ac:dyDescent="0.3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 x14ac:dyDescent="0.3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 x14ac:dyDescent="0.3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 x14ac:dyDescent="0.3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 x14ac:dyDescent="0.3">
      <c r="B34" s="22"/>
      <c r="C34" s="55" t="s">
        <v>50</v>
      </c>
      <c r="D34" s="56"/>
      <c r="E34" s="56"/>
      <c r="F34" s="56"/>
      <c r="G34" s="56"/>
      <c r="H34" s="56"/>
      <c r="I34" s="56"/>
      <c r="J34" s="56"/>
      <c r="K34" s="56"/>
      <c r="L34" s="56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0</v>
      </c>
      <c r="S34" s="13">
        <f t="shared" si="0"/>
        <v>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 x14ac:dyDescent="0.3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0D90A-F32B-46E4-964B-4A28B5D6ADA0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 x14ac:dyDescent="0.3">
      <c r="B2" s="7"/>
      <c r="C2" s="7"/>
    </row>
    <row r="3" spans="1:24" s="27" customFormat="1" x14ac:dyDescent="0.3">
      <c r="B3" s="28" t="s">
        <v>0</v>
      </c>
      <c r="C3" s="28" t="s">
        <v>1</v>
      </c>
      <c r="D3" s="29" t="s">
        <v>2</v>
      </c>
      <c r="E3" s="29" t="s">
        <v>51</v>
      </c>
      <c r="F3" s="29" t="s">
        <v>3</v>
      </c>
      <c r="G3" s="29" t="s">
        <v>53</v>
      </c>
      <c r="H3" s="30" t="s">
        <v>54</v>
      </c>
      <c r="I3" s="29" t="s">
        <v>52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97</v>
      </c>
      <c r="R3" s="32" t="s">
        <v>56</v>
      </c>
      <c r="S3" s="32" t="s">
        <v>55</v>
      </c>
      <c r="T3" s="32" t="s">
        <v>57</v>
      </c>
      <c r="U3" s="32" t="s">
        <v>58</v>
      </c>
      <c r="V3" s="32" t="s">
        <v>59</v>
      </c>
      <c r="W3" s="32" t="s">
        <v>11</v>
      </c>
      <c r="X3" s="34" t="s">
        <v>12</v>
      </c>
    </row>
    <row r="4" spans="1:24" s="1" customFormat="1" x14ac:dyDescent="0.3">
      <c r="B4" s="16">
        <v>1</v>
      </c>
      <c r="C4" s="16" t="s">
        <v>13</v>
      </c>
      <c r="D4" s="17" t="s">
        <v>100</v>
      </c>
      <c r="E4" s="17"/>
      <c r="F4" s="17"/>
      <c r="G4" s="16"/>
      <c r="H4" s="18"/>
      <c r="I4" s="17"/>
      <c r="J4" s="16"/>
      <c r="K4" s="18"/>
      <c r="L4" s="18"/>
      <c r="M4" s="18" t="s">
        <v>105</v>
      </c>
      <c r="N4" s="17"/>
      <c r="O4" s="13"/>
      <c r="P4" s="11"/>
      <c r="Q4" s="15"/>
      <c r="R4" s="13">
        <v>182000000</v>
      </c>
      <c r="S4" s="13">
        <v>182000000</v>
      </c>
      <c r="T4" s="13"/>
      <c r="U4" s="13"/>
      <c r="V4" s="13"/>
      <c r="W4" s="19"/>
      <c r="X4" s="21"/>
    </row>
    <row r="5" spans="1:24" s="14" customFormat="1" x14ac:dyDescent="0.3">
      <c r="A5" s="1"/>
      <c r="B5" s="8"/>
      <c r="C5" s="8"/>
      <c r="D5" s="9"/>
      <c r="E5" s="9"/>
      <c r="F5" s="9"/>
      <c r="G5" s="8"/>
      <c r="H5" s="10"/>
      <c r="I5" s="9"/>
      <c r="J5" s="8"/>
      <c r="K5" s="10"/>
      <c r="L5" s="10"/>
      <c r="M5" s="9"/>
      <c r="N5" s="9"/>
      <c r="O5" s="11"/>
      <c r="P5" s="11"/>
      <c r="Q5" s="36"/>
      <c r="R5" s="11"/>
      <c r="S5" s="11"/>
      <c r="T5" s="11"/>
      <c r="U5" s="11"/>
      <c r="V5" s="11"/>
      <c r="W5" s="11"/>
      <c r="X5" s="17"/>
    </row>
    <row r="6" spans="1:24" s="14" customFormat="1" x14ac:dyDescent="0.3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 x14ac:dyDescent="0.3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 x14ac:dyDescent="0.3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 x14ac:dyDescent="0.3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 x14ac:dyDescent="0.3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 x14ac:dyDescent="0.3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 x14ac:dyDescent="0.3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x14ac:dyDescent="0.3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 x14ac:dyDescent="0.3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 x14ac:dyDescent="0.3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 x14ac:dyDescent="0.3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 x14ac:dyDescent="0.3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 x14ac:dyDescent="0.3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 x14ac:dyDescent="0.3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 x14ac:dyDescent="0.3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 x14ac:dyDescent="0.3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 x14ac:dyDescent="0.3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 x14ac:dyDescent="0.3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 x14ac:dyDescent="0.3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 x14ac:dyDescent="0.3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 x14ac:dyDescent="0.3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 x14ac:dyDescent="0.3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 x14ac:dyDescent="0.3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 x14ac:dyDescent="0.3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 x14ac:dyDescent="0.3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 x14ac:dyDescent="0.3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 x14ac:dyDescent="0.3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 x14ac:dyDescent="0.3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 x14ac:dyDescent="0.3">
      <c r="B34" s="22"/>
      <c r="C34" s="55" t="s">
        <v>50</v>
      </c>
      <c r="D34" s="56"/>
      <c r="E34" s="56"/>
      <c r="F34" s="56"/>
      <c r="G34" s="56"/>
      <c r="H34" s="56"/>
      <c r="I34" s="56"/>
      <c r="J34" s="56"/>
      <c r="K34" s="56"/>
      <c r="L34" s="56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182000000</v>
      </c>
      <c r="S34" s="13">
        <f t="shared" si="0"/>
        <v>182000000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 x14ac:dyDescent="0.3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76282-D0AA-4C93-8A73-8178D8B4F152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 x14ac:dyDescent="0.3">
      <c r="B2" s="7"/>
      <c r="C2" s="7"/>
    </row>
    <row r="3" spans="1:24" s="27" customFormat="1" x14ac:dyDescent="0.3">
      <c r="B3" s="28" t="s">
        <v>0</v>
      </c>
      <c r="C3" s="28" t="s">
        <v>1</v>
      </c>
      <c r="D3" s="29" t="s">
        <v>2</v>
      </c>
      <c r="E3" s="29" t="s">
        <v>51</v>
      </c>
      <c r="F3" s="29" t="s">
        <v>3</v>
      </c>
      <c r="G3" s="29" t="s">
        <v>53</v>
      </c>
      <c r="H3" s="30" t="s">
        <v>54</v>
      </c>
      <c r="I3" s="29" t="s">
        <v>52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97</v>
      </c>
      <c r="R3" s="32" t="s">
        <v>56</v>
      </c>
      <c r="S3" s="32" t="s">
        <v>55</v>
      </c>
      <c r="T3" s="32" t="s">
        <v>57</v>
      </c>
      <c r="U3" s="32" t="s">
        <v>58</v>
      </c>
      <c r="V3" s="32" t="s">
        <v>59</v>
      </c>
      <c r="W3" s="32" t="s">
        <v>11</v>
      </c>
      <c r="X3" s="34" t="s">
        <v>12</v>
      </c>
    </row>
    <row r="4" spans="1:24" s="1" customFormat="1" x14ac:dyDescent="0.3">
      <c r="B4" s="16">
        <v>1</v>
      </c>
      <c r="C4" s="16" t="s">
        <v>13</v>
      </c>
      <c r="D4" s="17" t="s">
        <v>63</v>
      </c>
      <c r="E4" s="17">
        <v>2024122401</v>
      </c>
      <c r="F4" s="17"/>
      <c r="G4" s="16">
        <v>241224</v>
      </c>
      <c r="H4" s="18" t="s">
        <v>65</v>
      </c>
      <c r="I4" s="17"/>
      <c r="J4" s="16"/>
      <c r="K4" s="18"/>
      <c r="L4" s="18"/>
      <c r="M4" s="18" t="s">
        <v>64</v>
      </c>
      <c r="N4" s="17"/>
      <c r="O4" s="13"/>
      <c r="P4" s="11"/>
      <c r="Q4" s="15"/>
      <c r="R4" s="13">
        <v>9983340</v>
      </c>
      <c r="S4" s="13">
        <v>9983340</v>
      </c>
      <c r="T4" s="13"/>
      <c r="U4" s="13"/>
      <c r="V4" s="13"/>
      <c r="W4" s="19"/>
      <c r="X4" s="21"/>
    </row>
    <row r="5" spans="1:24" s="14" customFormat="1" x14ac:dyDescent="0.3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 x14ac:dyDescent="0.3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 x14ac:dyDescent="0.3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 x14ac:dyDescent="0.3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 x14ac:dyDescent="0.3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 x14ac:dyDescent="0.3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 x14ac:dyDescent="0.3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 x14ac:dyDescent="0.3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x14ac:dyDescent="0.3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 x14ac:dyDescent="0.3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 x14ac:dyDescent="0.3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 x14ac:dyDescent="0.3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 x14ac:dyDescent="0.3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 x14ac:dyDescent="0.3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 x14ac:dyDescent="0.3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 x14ac:dyDescent="0.3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 x14ac:dyDescent="0.3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 x14ac:dyDescent="0.3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 x14ac:dyDescent="0.3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 x14ac:dyDescent="0.3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 x14ac:dyDescent="0.3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 x14ac:dyDescent="0.3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 x14ac:dyDescent="0.3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 x14ac:dyDescent="0.3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 x14ac:dyDescent="0.3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 x14ac:dyDescent="0.3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 x14ac:dyDescent="0.3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 x14ac:dyDescent="0.3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 x14ac:dyDescent="0.3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 x14ac:dyDescent="0.3">
      <c r="B34" s="22"/>
      <c r="C34" s="55" t="s">
        <v>50</v>
      </c>
      <c r="D34" s="56"/>
      <c r="E34" s="56"/>
      <c r="F34" s="56"/>
      <c r="G34" s="56"/>
      <c r="H34" s="56"/>
      <c r="I34" s="56"/>
      <c r="J34" s="56"/>
      <c r="K34" s="56"/>
      <c r="L34" s="56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9983340</v>
      </c>
      <c r="S34" s="13">
        <f t="shared" si="0"/>
        <v>9983340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 x14ac:dyDescent="0.3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0B246-1BCC-4F83-B5A7-2D8504CA381B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 x14ac:dyDescent="0.3">
      <c r="B2" s="7"/>
      <c r="C2" s="7"/>
    </row>
    <row r="3" spans="1:24" s="27" customFormat="1" x14ac:dyDescent="0.3">
      <c r="B3" s="28" t="s">
        <v>0</v>
      </c>
      <c r="C3" s="28" t="s">
        <v>1</v>
      </c>
      <c r="D3" s="29" t="s">
        <v>2</v>
      </c>
      <c r="E3" s="29" t="s">
        <v>51</v>
      </c>
      <c r="F3" s="29" t="s">
        <v>3</v>
      </c>
      <c r="G3" s="29" t="s">
        <v>53</v>
      </c>
      <c r="H3" s="30" t="s">
        <v>54</v>
      </c>
      <c r="I3" s="29" t="s">
        <v>52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97</v>
      </c>
      <c r="R3" s="32" t="s">
        <v>56</v>
      </c>
      <c r="S3" s="32" t="s">
        <v>55</v>
      </c>
      <c r="T3" s="32" t="s">
        <v>57</v>
      </c>
      <c r="U3" s="32" t="s">
        <v>58</v>
      </c>
      <c r="V3" s="32" t="s">
        <v>59</v>
      </c>
      <c r="W3" s="32" t="s">
        <v>11</v>
      </c>
      <c r="X3" s="34" t="s">
        <v>12</v>
      </c>
    </row>
    <row r="4" spans="1:24" s="1" customFormat="1" x14ac:dyDescent="0.3">
      <c r="B4" s="8">
        <v>1</v>
      </c>
      <c r="C4" s="8" t="s">
        <v>13</v>
      </c>
      <c r="D4" s="9" t="s">
        <v>67</v>
      </c>
      <c r="E4" s="9"/>
      <c r="F4" s="9"/>
      <c r="G4" s="8"/>
      <c r="H4" s="10"/>
      <c r="I4" s="9"/>
      <c r="J4" s="8"/>
      <c r="K4" s="10"/>
      <c r="L4" s="10"/>
      <c r="M4" s="10"/>
      <c r="N4" s="9"/>
      <c r="O4" s="11"/>
      <c r="P4" s="11"/>
      <c r="Q4" s="11"/>
      <c r="R4" s="11"/>
      <c r="S4" s="11"/>
      <c r="T4" s="11"/>
      <c r="U4" s="11"/>
      <c r="V4" s="11"/>
      <c r="W4" s="11"/>
      <c r="X4" s="21"/>
    </row>
    <row r="5" spans="1:24" s="14" customFormat="1" x14ac:dyDescent="0.3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 x14ac:dyDescent="0.3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 x14ac:dyDescent="0.3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 x14ac:dyDescent="0.3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 x14ac:dyDescent="0.3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 x14ac:dyDescent="0.3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 x14ac:dyDescent="0.3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 x14ac:dyDescent="0.3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x14ac:dyDescent="0.3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 x14ac:dyDescent="0.3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 x14ac:dyDescent="0.3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 x14ac:dyDescent="0.3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 x14ac:dyDescent="0.3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 x14ac:dyDescent="0.3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 x14ac:dyDescent="0.3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 x14ac:dyDescent="0.3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 x14ac:dyDescent="0.3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 x14ac:dyDescent="0.3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 x14ac:dyDescent="0.3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 x14ac:dyDescent="0.3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 x14ac:dyDescent="0.3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 x14ac:dyDescent="0.3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 x14ac:dyDescent="0.3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 x14ac:dyDescent="0.3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 x14ac:dyDescent="0.3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 x14ac:dyDescent="0.3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 x14ac:dyDescent="0.3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 x14ac:dyDescent="0.3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 x14ac:dyDescent="0.3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 x14ac:dyDescent="0.3">
      <c r="B34" s="22"/>
      <c r="C34" s="55" t="s">
        <v>50</v>
      </c>
      <c r="D34" s="56"/>
      <c r="E34" s="56"/>
      <c r="F34" s="56"/>
      <c r="G34" s="56"/>
      <c r="H34" s="56"/>
      <c r="I34" s="56"/>
      <c r="J34" s="56"/>
      <c r="K34" s="56"/>
      <c r="L34" s="56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0</v>
      </c>
      <c r="S34" s="13">
        <f t="shared" si="0"/>
        <v>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 x14ac:dyDescent="0.3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25FAD-5511-4E93-B2E2-12B511038C15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 x14ac:dyDescent="0.3">
      <c r="B2" s="7"/>
      <c r="C2" s="7"/>
    </row>
    <row r="3" spans="1:24" s="27" customFormat="1" x14ac:dyDescent="0.3">
      <c r="B3" s="28" t="s">
        <v>0</v>
      </c>
      <c r="C3" s="28" t="s">
        <v>1</v>
      </c>
      <c r="D3" s="29" t="s">
        <v>2</v>
      </c>
      <c r="E3" s="29" t="s">
        <v>51</v>
      </c>
      <c r="F3" s="29" t="s">
        <v>3</v>
      </c>
      <c r="G3" s="29" t="s">
        <v>53</v>
      </c>
      <c r="H3" s="30" t="s">
        <v>54</v>
      </c>
      <c r="I3" s="29" t="s">
        <v>52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97</v>
      </c>
      <c r="R3" s="32" t="s">
        <v>56</v>
      </c>
      <c r="S3" s="32" t="s">
        <v>55</v>
      </c>
      <c r="T3" s="32" t="s">
        <v>57</v>
      </c>
      <c r="U3" s="32" t="s">
        <v>58</v>
      </c>
      <c r="V3" s="32" t="s">
        <v>59</v>
      </c>
      <c r="W3" s="32" t="s">
        <v>11</v>
      </c>
      <c r="X3" s="34" t="s">
        <v>12</v>
      </c>
    </row>
    <row r="4" spans="1:24" s="1" customFormat="1" x14ac:dyDescent="0.3">
      <c r="B4" s="8">
        <v>1</v>
      </c>
      <c r="C4" s="8" t="s">
        <v>13</v>
      </c>
      <c r="D4" s="9" t="s">
        <v>69</v>
      </c>
      <c r="E4" s="9"/>
      <c r="F4" s="9"/>
      <c r="G4" s="8"/>
      <c r="H4" s="10"/>
      <c r="I4" s="9"/>
      <c r="J4" s="8"/>
      <c r="K4" s="10"/>
      <c r="L4" s="10"/>
      <c r="M4" s="10"/>
      <c r="N4" s="9"/>
      <c r="O4" s="11"/>
      <c r="P4" s="11"/>
      <c r="Q4" s="11"/>
      <c r="R4" s="11"/>
      <c r="S4" s="11"/>
      <c r="T4" s="11"/>
      <c r="U4" s="11"/>
      <c r="V4" s="11"/>
      <c r="W4" s="11"/>
      <c r="X4" s="21"/>
    </row>
    <row r="5" spans="1:24" s="14" customFormat="1" x14ac:dyDescent="0.3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 x14ac:dyDescent="0.3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 x14ac:dyDescent="0.3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 x14ac:dyDescent="0.3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 x14ac:dyDescent="0.3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 x14ac:dyDescent="0.3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 x14ac:dyDescent="0.3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 x14ac:dyDescent="0.3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x14ac:dyDescent="0.3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 x14ac:dyDescent="0.3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 x14ac:dyDescent="0.3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 x14ac:dyDescent="0.3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 x14ac:dyDescent="0.3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 x14ac:dyDescent="0.3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 x14ac:dyDescent="0.3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 x14ac:dyDescent="0.3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 x14ac:dyDescent="0.3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 x14ac:dyDescent="0.3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 x14ac:dyDescent="0.3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 x14ac:dyDescent="0.3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 x14ac:dyDescent="0.3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 x14ac:dyDescent="0.3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 x14ac:dyDescent="0.3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 x14ac:dyDescent="0.3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 x14ac:dyDescent="0.3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 x14ac:dyDescent="0.3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 x14ac:dyDescent="0.3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 x14ac:dyDescent="0.3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 x14ac:dyDescent="0.3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 x14ac:dyDescent="0.3">
      <c r="B34" s="22"/>
      <c r="C34" s="55" t="s">
        <v>50</v>
      </c>
      <c r="D34" s="56"/>
      <c r="E34" s="56"/>
      <c r="F34" s="56"/>
      <c r="G34" s="56"/>
      <c r="H34" s="56"/>
      <c r="I34" s="56"/>
      <c r="J34" s="56"/>
      <c r="K34" s="56"/>
      <c r="L34" s="56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0</v>
      </c>
      <c r="S34" s="13">
        <f t="shared" si="0"/>
        <v>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 x14ac:dyDescent="0.3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DD1CD-7280-4CBB-BB2E-DD6406D78B56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 x14ac:dyDescent="0.3">
      <c r="B2" s="7"/>
      <c r="C2" s="7"/>
    </row>
    <row r="3" spans="1:24" s="27" customFormat="1" x14ac:dyDescent="0.3">
      <c r="B3" s="28" t="s">
        <v>0</v>
      </c>
      <c r="C3" s="28" t="s">
        <v>1</v>
      </c>
      <c r="D3" s="29" t="s">
        <v>2</v>
      </c>
      <c r="E3" s="29" t="s">
        <v>51</v>
      </c>
      <c r="F3" s="29" t="s">
        <v>3</v>
      </c>
      <c r="G3" s="29" t="s">
        <v>53</v>
      </c>
      <c r="H3" s="30" t="s">
        <v>54</v>
      </c>
      <c r="I3" s="29" t="s">
        <v>52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97</v>
      </c>
      <c r="R3" s="32" t="s">
        <v>56</v>
      </c>
      <c r="S3" s="32" t="s">
        <v>55</v>
      </c>
      <c r="T3" s="32" t="s">
        <v>57</v>
      </c>
      <c r="U3" s="32" t="s">
        <v>58</v>
      </c>
      <c r="V3" s="32" t="s">
        <v>59</v>
      </c>
      <c r="W3" s="32" t="s">
        <v>11</v>
      </c>
      <c r="X3" s="34" t="s">
        <v>12</v>
      </c>
    </row>
    <row r="4" spans="1:24" s="1" customFormat="1" ht="33" x14ac:dyDescent="0.3">
      <c r="B4" s="8">
        <v>1</v>
      </c>
      <c r="C4" s="8" t="s">
        <v>13</v>
      </c>
      <c r="D4" s="9" t="s">
        <v>71</v>
      </c>
      <c r="E4" s="9"/>
      <c r="F4" s="9"/>
      <c r="G4" s="8">
        <v>240611</v>
      </c>
      <c r="H4" s="10" t="s">
        <v>74</v>
      </c>
      <c r="I4" s="9" t="s">
        <v>72</v>
      </c>
      <c r="J4" s="8"/>
      <c r="K4" s="10"/>
      <c r="L4" s="10"/>
      <c r="M4" s="10" t="s">
        <v>76</v>
      </c>
      <c r="N4" s="9"/>
      <c r="O4" s="11">
        <v>189000000</v>
      </c>
      <c r="P4" s="11">
        <v>189000000</v>
      </c>
      <c r="Q4" s="15">
        <v>0</v>
      </c>
      <c r="R4" s="11">
        <v>189000000</v>
      </c>
      <c r="S4" s="11">
        <v>189000000</v>
      </c>
      <c r="T4" s="13"/>
      <c r="U4" s="13"/>
      <c r="V4" s="13"/>
      <c r="W4" s="19"/>
      <c r="X4" s="21"/>
    </row>
    <row r="5" spans="1:24" s="14" customFormat="1" ht="33" x14ac:dyDescent="0.3">
      <c r="A5" s="1"/>
      <c r="B5" s="8">
        <v>2</v>
      </c>
      <c r="C5" s="8" t="s">
        <v>13</v>
      </c>
      <c r="D5" s="9" t="s">
        <v>70</v>
      </c>
      <c r="E5" s="9">
        <v>202406241</v>
      </c>
      <c r="F5" s="9"/>
      <c r="G5" s="8">
        <v>240829</v>
      </c>
      <c r="H5" s="10" t="s">
        <v>75</v>
      </c>
      <c r="I5" s="9" t="s">
        <v>73</v>
      </c>
      <c r="J5" s="8"/>
      <c r="K5" s="10"/>
      <c r="L5" s="10"/>
      <c r="M5" s="9" t="s">
        <v>77</v>
      </c>
      <c r="N5" s="9"/>
      <c r="O5" s="11">
        <v>98000000</v>
      </c>
      <c r="P5" s="11">
        <v>98000000</v>
      </c>
      <c r="Q5" s="26">
        <v>0</v>
      </c>
      <c r="R5" s="11">
        <v>98000000</v>
      </c>
      <c r="S5" s="11">
        <v>98000000</v>
      </c>
      <c r="T5" s="11"/>
      <c r="U5" s="11"/>
      <c r="V5" s="11"/>
      <c r="W5" s="11"/>
      <c r="X5" s="17"/>
    </row>
    <row r="6" spans="1:24" s="14" customFormat="1" ht="33" x14ac:dyDescent="0.3">
      <c r="B6" s="16">
        <v>3</v>
      </c>
      <c r="C6" s="16" t="s">
        <v>13</v>
      </c>
      <c r="D6" s="17" t="s">
        <v>71</v>
      </c>
      <c r="E6" s="17">
        <v>2024121901</v>
      </c>
      <c r="F6" s="17"/>
      <c r="G6" s="16">
        <v>241219</v>
      </c>
      <c r="H6" s="18" t="s">
        <v>78</v>
      </c>
      <c r="I6" s="17"/>
      <c r="J6" s="16"/>
      <c r="K6" s="18"/>
      <c r="L6" s="18"/>
      <c r="M6" s="17" t="s">
        <v>79</v>
      </c>
      <c r="N6" s="17"/>
      <c r="O6" s="13"/>
      <c r="P6" s="11"/>
      <c r="Q6" s="26"/>
      <c r="R6" s="13">
        <v>70000000</v>
      </c>
      <c r="S6" s="13">
        <v>70000000</v>
      </c>
      <c r="T6" s="13"/>
      <c r="U6" s="13"/>
      <c r="V6" s="13"/>
      <c r="W6" s="19"/>
      <c r="X6" s="17"/>
    </row>
    <row r="7" spans="1:24" s="14" customFormat="1" ht="33" x14ac:dyDescent="0.3">
      <c r="B7" s="16">
        <v>4</v>
      </c>
      <c r="C7" s="16" t="s">
        <v>13</v>
      </c>
      <c r="D7" s="17" t="s">
        <v>71</v>
      </c>
      <c r="E7" s="17" t="s">
        <v>102</v>
      </c>
      <c r="F7" s="17"/>
      <c r="G7" s="16">
        <v>250123</v>
      </c>
      <c r="H7" s="18" t="s">
        <v>103</v>
      </c>
      <c r="I7" s="17"/>
      <c r="J7" s="16"/>
      <c r="K7" s="18"/>
      <c r="L7" s="18"/>
      <c r="M7" s="17" t="s">
        <v>104</v>
      </c>
      <c r="N7" s="17"/>
      <c r="O7" s="13"/>
      <c r="P7" s="11"/>
      <c r="Q7" s="26"/>
      <c r="R7" s="13">
        <v>210731048</v>
      </c>
      <c r="S7" s="13">
        <v>210731048</v>
      </c>
      <c r="T7" s="13"/>
      <c r="U7" s="13"/>
      <c r="V7" s="13"/>
      <c r="W7" s="19"/>
      <c r="X7" s="17"/>
    </row>
    <row r="8" spans="1:24" s="14" customFormat="1" x14ac:dyDescent="0.3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 x14ac:dyDescent="0.3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 x14ac:dyDescent="0.3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 x14ac:dyDescent="0.3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 x14ac:dyDescent="0.3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x14ac:dyDescent="0.3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 x14ac:dyDescent="0.3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 x14ac:dyDescent="0.3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 x14ac:dyDescent="0.3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 x14ac:dyDescent="0.3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 x14ac:dyDescent="0.3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 x14ac:dyDescent="0.3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 x14ac:dyDescent="0.3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 x14ac:dyDescent="0.3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 x14ac:dyDescent="0.3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 x14ac:dyDescent="0.3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 x14ac:dyDescent="0.3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 x14ac:dyDescent="0.3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 x14ac:dyDescent="0.3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 x14ac:dyDescent="0.3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 x14ac:dyDescent="0.3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 x14ac:dyDescent="0.3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 x14ac:dyDescent="0.3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 x14ac:dyDescent="0.3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 x14ac:dyDescent="0.3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 x14ac:dyDescent="0.3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 x14ac:dyDescent="0.3">
      <c r="B34" s="22"/>
      <c r="C34" s="55" t="s">
        <v>50</v>
      </c>
      <c r="D34" s="56"/>
      <c r="E34" s="56"/>
      <c r="F34" s="56"/>
      <c r="G34" s="56"/>
      <c r="H34" s="56"/>
      <c r="I34" s="56"/>
      <c r="J34" s="56"/>
      <c r="K34" s="56"/>
      <c r="L34" s="56"/>
      <c r="M34" s="23"/>
      <c r="N34" s="23"/>
      <c r="O34" s="13">
        <f t="shared" ref="O34:W34" si="0">SUM(O4:O33)</f>
        <v>287000000</v>
      </c>
      <c r="P34" s="13">
        <f t="shared" si="0"/>
        <v>287000000</v>
      </c>
      <c r="Q34" s="13">
        <f t="shared" si="0"/>
        <v>0</v>
      </c>
      <c r="R34" s="13">
        <f t="shared" si="0"/>
        <v>567731048</v>
      </c>
      <c r="S34" s="13">
        <f t="shared" si="0"/>
        <v>567731048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 x14ac:dyDescent="0.3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2BAE6-8B57-4521-824C-B51F99C6926F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 x14ac:dyDescent="0.3">
      <c r="B2" s="7"/>
      <c r="C2" s="7"/>
    </row>
    <row r="3" spans="1:24" s="27" customFormat="1" x14ac:dyDescent="0.3">
      <c r="B3" s="28" t="s">
        <v>0</v>
      </c>
      <c r="C3" s="28" t="s">
        <v>1</v>
      </c>
      <c r="D3" s="29" t="s">
        <v>2</v>
      </c>
      <c r="E3" s="29" t="s">
        <v>51</v>
      </c>
      <c r="F3" s="29" t="s">
        <v>3</v>
      </c>
      <c r="G3" s="29" t="s">
        <v>53</v>
      </c>
      <c r="H3" s="30" t="s">
        <v>54</v>
      </c>
      <c r="I3" s="29" t="s">
        <v>52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97</v>
      </c>
      <c r="R3" s="32" t="s">
        <v>56</v>
      </c>
      <c r="S3" s="32" t="s">
        <v>55</v>
      </c>
      <c r="T3" s="32" t="s">
        <v>57</v>
      </c>
      <c r="U3" s="32" t="s">
        <v>58</v>
      </c>
      <c r="V3" s="32" t="s">
        <v>59</v>
      </c>
      <c r="W3" s="32" t="s">
        <v>11</v>
      </c>
      <c r="X3" s="34" t="s">
        <v>12</v>
      </c>
    </row>
    <row r="4" spans="1:24" s="1" customFormat="1" x14ac:dyDescent="0.3">
      <c r="B4" s="16">
        <v>1</v>
      </c>
      <c r="C4" s="16" t="s">
        <v>13</v>
      </c>
      <c r="D4" s="17" t="s">
        <v>81</v>
      </c>
      <c r="E4" s="17"/>
      <c r="F4" s="17"/>
      <c r="G4" s="16"/>
      <c r="H4" s="18"/>
      <c r="I4" s="17"/>
      <c r="J4" s="16"/>
      <c r="K4" s="18"/>
      <c r="L4" s="18"/>
      <c r="M4" s="18"/>
      <c r="N4" s="17"/>
      <c r="O4" s="13"/>
      <c r="P4" s="11"/>
      <c r="Q4" s="15"/>
      <c r="R4" s="13"/>
      <c r="S4" s="13"/>
      <c r="T4" s="13"/>
      <c r="U4" s="13"/>
      <c r="V4" s="13"/>
      <c r="W4" s="19"/>
      <c r="X4" s="21"/>
    </row>
    <row r="5" spans="1:24" s="14" customFormat="1" x14ac:dyDescent="0.3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 x14ac:dyDescent="0.3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 x14ac:dyDescent="0.3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 x14ac:dyDescent="0.3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 x14ac:dyDescent="0.3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 x14ac:dyDescent="0.3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 x14ac:dyDescent="0.3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 x14ac:dyDescent="0.3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x14ac:dyDescent="0.3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 x14ac:dyDescent="0.3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 x14ac:dyDescent="0.3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 x14ac:dyDescent="0.3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 x14ac:dyDescent="0.3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 x14ac:dyDescent="0.3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 x14ac:dyDescent="0.3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 x14ac:dyDescent="0.3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 x14ac:dyDescent="0.3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 x14ac:dyDescent="0.3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 x14ac:dyDescent="0.3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 x14ac:dyDescent="0.3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 x14ac:dyDescent="0.3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 x14ac:dyDescent="0.3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 x14ac:dyDescent="0.3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 x14ac:dyDescent="0.3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 x14ac:dyDescent="0.3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 x14ac:dyDescent="0.3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 x14ac:dyDescent="0.3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 x14ac:dyDescent="0.3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 x14ac:dyDescent="0.3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 x14ac:dyDescent="0.3">
      <c r="B34" s="22"/>
      <c r="C34" s="55" t="s">
        <v>50</v>
      </c>
      <c r="D34" s="56"/>
      <c r="E34" s="56"/>
      <c r="F34" s="56"/>
      <c r="G34" s="56"/>
      <c r="H34" s="56"/>
      <c r="I34" s="56"/>
      <c r="J34" s="56"/>
      <c r="K34" s="56"/>
      <c r="L34" s="56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0</v>
      </c>
      <c r="S34" s="13">
        <f t="shared" si="0"/>
        <v>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 x14ac:dyDescent="0.3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7219A-8875-43C0-B608-32C20B5D520E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 x14ac:dyDescent="0.3">
      <c r="B2" s="7"/>
      <c r="C2" s="7"/>
    </row>
    <row r="3" spans="1:24" s="27" customFormat="1" x14ac:dyDescent="0.3">
      <c r="B3" s="28" t="s">
        <v>0</v>
      </c>
      <c r="C3" s="28" t="s">
        <v>1</v>
      </c>
      <c r="D3" s="29" t="s">
        <v>2</v>
      </c>
      <c r="E3" s="29" t="s">
        <v>51</v>
      </c>
      <c r="F3" s="29" t="s">
        <v>3</v>
      </c>
      <c r="G3" s="29" t="s">
        <v>53</v>
      </c>
      <c r="H3" s="30" t="s">
        <v>54</v>
      </c>
      <c r="I3" s="29" t="s">
        <v>52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97</v>
      </c>
      <c r="R3" s="32" t="s">
        <v>56</v>
      </c>
      <c r="S3" s="32" t="s">
        <v>55</v>
      </c>
      <c r="T3" s="32" t="s">
        <v>57</v>
      </c>
      <c r="U3" s="32" t="s">
        <v>58</v>
      </c>
      <c r="V3" s="32" t="s">
        <v>59</v>
      </c>
      <c r="W3" s="32" t="s">
        <v>11</v>
      </c>
      <c r="X3" s="34" t="s">
        <v>12</v>
      </c>
    </row>
    <row r="4" spans="1:24" s="1" customFormat="1" x14ac:dyDescent="0.3">
      <c r="B4" s="16">
        <v>1</v>
      </c>
      <c r="C4" s="16" t="s">
        <v>13</v>
      </c>
      <c r="D4" s="17" t="s">
        <v>83</v>
      </c>
      <c r="E4" s="17"/>
      <c r="F4" s="17"/>
      <c r="G4" s="16"/>
      <c r="H4" s="18"/>
      <c r="I4" s="17"/>
      <c r="J4" s="16"/>
      <c r="K4" s="18"/>
      <c r="L4" s="18"/>
      <c r="M4" s="17"/>
      <c r="N4" s="17"/>
      <c r="O4" s="13"/>
      <c r="P4" s="11"/>
      <c r="Q4" s="15"/>
      <c r="R4" s="13"/>
      <c r="S4" s="13"/>
      <c r="T4" s="13"/>
      <c r="U4" s="13"/>
      <c r="V4" s="13"/>
      <c r="W4" s="19"/>
      <c r="X4" s="21"/>
    </row>
    <row r="5" spans="1:24" s="14" customFormat="1" x14ac:dyDescent="0.3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 x14ac:dyDescent="0.3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 x14ac:dyDescent="0.3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 x14ac:dyDescent="0.3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 x14ac:dyDescent="0.3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 x14ac:dyDescent="0.3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 x14ac:dyDescent="0.3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 x14ac:dyDescent="0.3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x14ac:dyDescent="0.3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 x14ac:dyDescent="0.3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 x14ac:dyDescent="0.3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 x14ac:dyDescent="0.3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 x14ac:dyDescent="0.3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 x14ac:dyDescent="0.3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 x14ac:dyDescent="0.3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 x14ac:dyDescent="0.3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 x14ac:dyDescent="0.3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 x14ac:dyDescent="0.3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 x14ac:dyDescent="0.3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 x14ac:dyDescent="0.3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 x14ac:dyDescent="0.3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 x14ac:dyDescent="0.3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 x14ac:dyDescent="0.3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 x14ac:dyDescent="0.3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 x14ac:dyDescent="0.3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 x14ac:dyDescent="0.3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 x14ac:dyDescent="0.3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 x14ac:dyDescent="0.3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 x14ac:dyDescent="0.3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 x14ac:dyDescent="0.3">
      <c r="B34" s="22"/>
      <c r="C34" s="55" t="s">
        <v>50</v>
      </c>
      <c r="D34" s="56"/>
      <c r="E34" s="56"/>
      <c r="F34" s="56"/>
      <c r="G34" s="56"/>
      <c r="H34" s="56"/>
      <c r="I34" s="56"/>
      <c r="J34" s="56"/>
      <c r="K34" s="56"/>
      <c r="L34" s="56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0</v>
      </c>
      <c r="S34" s="13">
        <f t="shared" si="0"/>
        <v>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 x14ac:dyDescent="0.3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F21B7-FC21-4560-A5FE-0B989373C56D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 x14ac:dyDescent="0.3">
      <c r="B2" s="7"/>
      <c r="C2" s="7"/>
    </row>
    <row r="3" spans="1:24" s="27" customFormat="1" x14ac:dyDescent="0.3">
      <c r="B3" s="28" t="s">
        <v>0</v>
      </c>
      <c r="C3" s="28" t="s">
        <v>1</v>
      </c>
      <c r="D3" s="29" t="s">
        <v>2</v>
      </c>
      <c r="E3" s="29" t="s">
        <v>51</v>
      </c>
      <c r="F3" s="29" t="s">
        <v>3</v>
      </c>
      <c r="G3" s="29" t="s">
        <v>53</v>
      </c>
      <c r="H3" s="30" t="s">
        <v>54</v>
      </c>
      <c r="I3" s="29" t="s">
        <v>52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97</v>
      </c>
      <c r="R3" s="32" t="s">
        <v>56</v>
      </c>
      <c r="S3" s="32" t="s">
        <v>55</v>
      </c>
      <c r="T3" s="32" t="s">
        <v>57</v>
      </c>
      <c r="U3" s="32" t="s">
        <v>58</v>
      </c>
      <c r="V3" s="32" t="s">
        <v>59</v>
      </c>
      <c r="W3" s="32" t="s">
        <v>11</v>
      </c>
      <c r="X3" s="34" t="s">
        <v>12</v>
      </c>
    </row>
    <row r="4" spans="1:24" s="1" customFormat="1" x14ac:dyDescent="0.3">
      <c r="B4" s="16">
        <v>1</v>
      </c>
      <c r="C4" s="16" t="s">
        <v>13</v>
      </c>
      <c r="D4" s="17" t="s">
        <v>85</v>
      </c>
      <c r="E4" s="17"/>
      <c r="F4" s="17"/>
      <c r="G4" s="16"/>
      <c r="H4" s="18"/>
      <c r="I4" s="17"/>
      <c r="J4" s="16"/>
      <c r="K4" s="18"/>
      <c r="L4" s="18"/>
      <c r="M4" s="17"/>
      <c r="N4" s="17"/>
      <c r="O4" s="13"/>
      <c r="P4" s="11"/>
      <c r="Q4" s="15"/>
      <c r="R4" s="13"/>
      <c r="S4" s="13"/>
      <c r="T4" s="13"/>
      <c r="U4" s="13"/>
      <c r="V4" s="13"/>
      <c r="W4" s="19"/>
      <c r="X4" s="21"/>
    </row>
    <row r="5" spans="1:24" s="14" customFormat="1" x14ac:dyDescent="0.3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 x14ac:dyDescent="0.3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 x14ac:dyDescent="0.3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 x14ac:dyDescent="0.3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 x14ac:dyDescent="0.3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 x14ac:dyDescent="0.3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 x14ac:dyDescent="0.3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 x14ac:dyDescent="0.3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x14ac:dyDescent="0.3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 x14ac:dyDescent="0.3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 x14ac:dyDescent="0.3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 x14ac:dyDescent="0.3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 x14ac:dyDescent="0.3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 x14ac:dyDescent="0.3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 x14ac:dyDescent="0.3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 x14ac:dyDescent="0.3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 x14ac:dyDescent="0.3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 x14ac:dyDescent="0.3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 x14ac:dyDescent="0.3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 x14ac:dyDescent="0.3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 x14ac:dyDescent="0.3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 x14ac:dyDescent="0.3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 x14ac:dyDescent="0.3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 x14ac:dyDescent="0.3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 x14ac:dyDescent="0.3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 x14ac:dyDescent="0.3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 x14ac:dyDescent="0.3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 x14ac:dyDescent="0.3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 x14ac:dyDescent="0.3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 x14ac:dyDescent="0.3">
      <c r="B34" s="22"/>
      <c r="C34" s="55" t="s">
        <v>50</v>
      </c>
      <c r="D34" s="56"/>
      <c r="E34" s="56"/>
      <c r="F34" s="56"/>
      <c r="G34" s="56"/>
      <c r="H34" s="56"/>
      <c r="I34" s="56"/>
      <c r="J34" s="56"/>
      <c r="K34" s="56"/>
      <c r="L34" s="56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0</v>
      </c>
      <c r="S34" s="13">
        <f t="shared" si="0"/>
        <v>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 x14ac:dyDescent="0.3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84EF-3AE4-4CE1-88BF-552FF5B3067E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 x14ac:dyDescent="0.3">
      <c r="B2" s="7"/>
      <c r="C2" s="7"/>
    </row>
    <row r="3" spans="1:24" s="27" customFormat="1" x14ac:dyDescent="0.3">
      <c r="B3" s="28" t="s">
        <v>0</v>
      </c>
      <c r="C3" s="28" t="s">
        <v>1</v>
      </c>
      <c r="D3" s="29" t="s">
        <v>2</v>
      </c>
      <c r="E3" s="29" t="s">
        <v>51</v>
      </c>
      <c r="F3" s="29" t="s">
        <v>3</v>
      </c>
      <c r="G3" s="29" t="s">
        <v>53</v>
      </c>
      <c r="H3" s="30" t="s">
        <v>54</v>
      </c>
      <c r="I3" s="29" t="s">
        <v>52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97</v>
      </c>
      <c r="R3" s="32" t="s">
        <v>56</v>
      </c>
      <c r="S3" s="32" t="s">
        <v>55</v>
      </c>
      <c r="T3" s="32" t="s">
        <v>57</v>
      </c>
      <c r="U3" s="32" t="s">
        <v>58</v>
      </c>
      <c r="V3" s="32" t="s">
        <v>59</v>
      </c>
      <c r="W3" s="32" t="s">
        <v>11</v>
      </c>
      <c r="X3" s="34" t="s">
        <v>12</v>
      </c>
    </row>
    <row r="4" spans="1:24" s="1" customFormat="1" x14ac:dyDescent="0.3">
      <c r="B4" s="16">
        <v>1</v>
      </c>
      <c r="C4" s="16" t="s">
        <v>13</v>
      </c>
      <c r="D4" s="17" t="s">
        <v>86</v>
      </c>
      <c r="E4" s="17"/>
      <c r="F4" s="17"/>
      <c r="G4" s="16"/>
      <c r="H4" s="18"/>
      <c r="I4" s="17"/>
      <c r="J4" s="16"/>
      <c r="K4" s="18"/>
      <c r="L4" s="18"/>
      <c r="M4" s="17"/>
      <c r="N4" s="17"/>
      <c r="O4" s="13"/>
      <c r="P4" s="11"/>
      <c r="Q4" s="15"/>
      <c r="R4" s="13"/>
      <c r="S4" s="13"/>
      <c r="T4" s="13"/>
      <c r="U4" s="13"/>
      <c r="V4" s="13"/>
      <c r="W4" s="19"/>
      <c r="X4" s="21"/>
    </row>
    <row r="5" spans="1:24" s="14" customFormat="1" x14ac:dyDescent="0.3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 x14ac:dyDescent="0.3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 x14ac:dyDescent="0.3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 x14ac:dyDescent="0.3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 x14ac:dyDescent="0.3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 x14ac:dyDescent="0.3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 x14ac:dyDescent="0.3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 x14ac:dyDescent="0.3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x14ac:dyDescent="0.3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 x14ac:dyDescent="0.3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 x14ac:dyDescent="0.3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 x14ac:dyDescent="0.3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 x14ac:dyDescent="0.3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 x14ac:dyDescent="0.3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 x14ac:dyDescent="0.3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 x14ac:dyDescent="0.3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 x14ac:dyDescent="0.3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 x14ac:dyDescent="0.3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 x14ac:dyDescent="0.3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 x14ac:dyDescent="0.3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 x14ac:dyDescent="0.3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 x14ac:dyDescent="0.3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 x14ac:dyDescent="0.3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 x14ac:dyDescent="0.3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 x14ac:dyDescent="0.3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 x14ac:dyDescent="0.3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 x14ac:dyDescent="0.3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 x14ac:dyDescent="0.3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 x14ac:dyDescent="0.3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 x14ac:dyDescent="0.3">
      <c r="B34" s="22"/>
      <c r="C34" s="55" t="s">
        <v>50</v>
      </c>
      <c r="D34" s="56"/>
      <c r="E34" s="56"/>
      <c r="F34" s="56"/>
      <c r="G34" s="56"/>
      <c r="H34" s="56"/>
      <c r="I34" s="56"/>
      <c r="J34" s="56"/>
      <c r="K34" s="56"/>
      <c r="L34" s="56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0</v>
      </c>
      <c r="S34" s="13">
        <f t="shared" si="0"/>
        <v>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 x14ac:dyDescent="0.3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716C6-C50C-44BF-A56E-6EFBDD0944A8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 x14ac:dyDescent="0.3">
      <c r="B2" s="7"/>
      <c r="C2" s="7"/>
    </row>
    <row r="3" spans="1:24" s="27" customFormat="1" x14ac:dyDescent="0.3">
      <c r="B3" s="28" t="s">
        <v>0</v>
      </c>
      <c r="C3" s="28" t="s">
        <v>1</v>
      </c>
      <c r="D3" s="29" t="s">
        <v>2</v>
      </c>
      <c r="E3" s="29" t="s">
        <v>51</v>
      </c>
      <c r="F3" s="29" t="s">
        <v>3</v>
      </c>
      <c r="G3" s="29" t="s">
        <v>53</v>
      </c>
      <c r="H3" s="30" t="s">
        <v>54</v>
      </c>
      <c r="I3" s="29" t="s">
        <v>52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97</v>
      </c>
      <c r="R3" s="32" t="s">
        <v>56</v>
      </c>
      <c r="S3" s="32" t="s">
        <v>55</v>
      </c>
      <c r="T3" s="32" t="s">
        <v>57</v>
      </c>
      <c r="U3" s="32" t="s">
        <v>58</v>
      </c>
      <c r="V3" s="32" t="s">
        <v>59</v>
      </c>
      <c r="W3" s="32" t="s">
        <v>11</v>
      </c>
      <c r="X3" s="34" t="s">
        <v>12</v>
      </c>
    </row>
    <row r="4" spans="1:24" s="1" customFormat="1" x14ac:dyDescent="0.3">
      <c r="B4" s="16">
        <v>1</v>
      </c>
      <c r="C4" s="16" t="s">
        <v>13</v>
      </c>
      <c r="D4" s="17" t="s">
        <v>101</v>
      </c>
      <c r="E4" s="17"/>
      <c r="F4" s="17"/>
      <c r="G4" s="16"/>
      <c r="H4" s="18"/>
      <c r="I4" s="17"/>
      <c r="J4" s="16"/>
      <c r="K4" s="18"/>
      <c r="L4" s="18"/>
      <c r="M4" s="17"/>
      <c r="N4" s="17"/>
      <c r="O4" s="13"/>
      <c r="P4" s="11"/>
      <c r="Q4" s="15"/>
      <c r="R4" s="13"/>
      <c r="S4" s="13"/>
      <c r="T4" s="13"/>
      <c r="U4" s="13"/>
      <c r="V4" s="13"/>
      <c r="W4" s="19"/>
      <c r="X4" s="21"/>
    </row>
    <row r="5" spans="1:24" s="14" customFormat="1" x14ac:dyDescent="0.3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 x14ac:dyDescent="0.3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 x14ac:dyDescent="0.3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 x14ac:dyDescent="0.3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 x14ac:dyDescent="0.3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 x14ac:dyDescent="0.3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 x14ac:dyDescent="0.3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 x14ac:dyDescent="0.3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x14ac:dyDescent="0.3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 x14ac:dyDescent="0.3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 x14ac:dyDescent="0.3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 x14ac:dyDescent="0.3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 x14ac:dyDescent="0.3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 x14ac:dyDescent="0.3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 x14ac:dyDescent="0.3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 x14ac:dyDescent="0.3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 x14ac:dyDescent="0.3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 x14ac:dyDescent="0.3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 x14ac:dyDescent="0.3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 x14ac:dyDescent="0.3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 x14ac:dyDescent="0.3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 x14ac:dyDescent="0.3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 x14ac:dyDescent="0.3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 x14ac:dyDescent="0.3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 x14ac:dyDescent="0.3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 x14ac:dyDescent="0.3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 x14ac:dyDescent="0.3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 x14ac:dyDescent="0.3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 x14ac:dyDescent="0.3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 x14ac:dyDescent="0.3">
      <c r="B34" s="22"/>
      <c r="C34" s="55" t="s">
        <v>50</v>
      </c>
      <c r="D34" s="56"/>
      <c r="E34" s="56"/>
      <c r="F34" s="56"/>
      <c r="G34" s="56"/>
      <c r="H34" s="56"/>
      <c r="I34" s="56"/>
      <c r="J34" s="56"/>
      <c r="K34" s="56"/>
      <c r="L34" s="56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0</v>
      </c>
      <c r="S34" s="13">
        <f t="shared" si="0"/>
        <v>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 x14ac:dyDescent="0.3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9413A-F53D-43BA-9051-A71B6AB24984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 x14ac:dyDescent="0.3">
      <c r="B2" s="7"/>
      <c r="C2" s="7"/>
    </row>
    <row r="3" spans="1:24" s="27" customFormat="1" x14ac:dyDescent="0.3">
      <c r="B3" s="28" t="s">
        <v>0</v>
      </c>
      <c r="C3" s="28" t="s">
        <v>1</v>
      </c>
      <c r="D3" s="29" t="s">
        <v>2</v>
      </c>
      <c r="E3" s="29" t="s">
        <v>51</v>
      </c>
      <c r="F3" s="29" t="s">
        <v>3</v>
      </c>
      <c r="G3" s="29" t="s">
        <v>53</v>
      </c>
      <c r="H3" s="30" t="s">
        <v>54</v>
      </c>
      <c r="I3" s="29" t="s">
        <v>52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97</v>
      </c>
      <c r="R3" s="32" t="s">
        <v>56</v>
      </c>
      <c r="S3" s="32" t="s">
        <v>55</v>
      </c>
      <c r="T3" s="32" t="s">
        <v>57</v>
      </c>
      <c r="U3" s="32" t="s">
        <v>58</v>
      </c>
      <c r="V3" s="32" t="s">
        <v>59</v>
      </c>
      <c r="W3" s="32" t="s">
        <v>11</v>
      </c>
      <c r="X3" s="34" t="s">
        <v>12</v>
      </c>
    </row>
    <row r="4" spans="1:24" s="1" customFormat="1" x14ac:dyDescent="0.3">
      <c r="B4" s="16">
        <v>1</v>
      </c>
      <c r="C4" s="16" t="s">
        <v>13</v>
      </c>
      <c r="D4" s="17" t="s">
        <v>107</v>
      </c>
      <c r="E4" s="17">
        <v>202501071</v>
      </c>
      <c r="F4" s="17"/>
      <c r="G4" s="16">
        <v>250107</v>
      </c>
      <c r="H4" s="18" t="s">
        <v>109</v>
      </c>
      <c r="I4" s="17"/>
      <c r="J4" s="16">
        <v>250107</v>
      </c>
      <c r="K4" s="18">
        <v>250107</v>
      </c>
      <c r="L4" s="18"/>
      <c r="M4" s="17" t="s">
        <v>108</v>
      </c>
      <c r="N4" s="17">
        <v>2</v>
      </c>
      <c r="O4" s="13">
        <v>1200000</v>
      </c>
      <c r="P4" s="11">
        <v>1200000</v>
      </c>
      <c r="Q4" s="15">
        <v>0</v>
      </c>
      <c r="R4" s="13">
        <v>1300000</v>
      </c>
      <c r="S4" s="13">
        <v>1300000</v>
      </c>
      <c r="T4" s="13"/>
      <c r="U4" s="13"/>
      <c r="V4" s="13"/>
      <c r="W4" s="19"/>
      <c r="X4" s="21"/>
    </row>
    <row r="5" spans="1:24" s="14" customFormat="1" x14ac:dyDescent="0.3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 x14ac:dyDescent="0.3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 x14ac:dyDescent="0.3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 x14ac:dyDescent="0.3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 x14ac:dyDescent="0.3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 x14ac:dyDescent="0.3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 x14ac:dyDescent="0.3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 x14ac:dyDescent="0.3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x14ac:dyDescent="0.3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 x14ac:dyDescent="0.3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 x14ac:dyDescent="0.3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 x14ac:dyDescent="0.3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 x14ac:dyDescent="0.3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 x14ac:dyDescent="0.3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 x14ac:dyDescent="0.3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 x14ac:dyDescent="0.3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 x14ac:dyDescent="0.3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 x14ac:dyDescent="0.3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 x14ac:dyDescent="0.3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 x14ac:dyDescent="0.3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 x14ac:dyDescent="0.3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 x14ac:dyDescent="0.3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 x14ac:dyDescent="0.3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 x14ac:dyDescent="0.3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 x14ac:dyDescent="0.3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 x14ac:dyDescent="0.3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 x14ac:dyDescent="0.3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 x14ac:dyDescent="0.3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 x14ac:dyDescent="0.3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 x14ac:dyDescent="0.3">
      <c r="B34" s="22"/>
      <c r="C34" s="55" t="s">
        <v>50</v>
      </c>
      <c r="D34" s="56"/>
      <c r="E34" s="56"/>
      <c r="F34" s="56"/>
      <c r="G34" s="56"/>
      <c r="H34" s="56"/>
      <c r="I34" s="56"/>
      <c r="J34" s="56"/>
      <c r="K34" s="56"/>
      <c r="L34" s="56"/>
      <c r="M34" s="23"/>
      <c r="N34" s="23"/>
      <c r="O34" s="13">
        <f t="shared" ref="O34:W34" si="0">SUM(O4:O33)</f>
        <v>1200000</v>
      </c>
      <c r="P34" s="13">
        <f t="shared" si="0"/>
        <v>1200000</v>
      </c>
      <c r="Q34" s="13">
        <f t="shared" si="0"/>
        <v>0</v>
      </c>
      <c r="R34" s="13">
        <f t="shared" si="0"/>
        <v>1300000</v>
      </c>
      <c r="S34" s="13">
        <f t="shared" si="0"/>
        <v>1300000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 x14ac:dyDescent="0.3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Total</vt:lpstr>
      <vt:lpstr>1.지아이씨</vt:lpstr>
      <vt:lpstr>2.김포골드라인</vt:lpstr>
      <vt:lpstr>3.인천교통공사</vt:lpstr>
      <vt:lpstr>4.현대로템</vt:lpstr>
      <vt:lpstr>5.실리콘큐브</vt:lpstr>
      <vt:lpstr>6.무한테크</vt:lpstr>
      <vt:lpstr>7.다원시스</vt:lpstr>
      <vt:lpstr>8.티랩</vt:lpstr>
      <vt:lpstr>9.마루소프트</vt:lpstr>
      <vt:lpstr>10.신진금고</vt:lpstr>
      <vt:lpstr>11.인터모빌리티</vt:lpstr>
      <vt:lpstr>12.GMTECH</vt:lpstr>
      <vt:lpstr>13.아이디넷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성필 최</dc:creator>
  <cp:lastModifiedBy>성필 최</cp:lastModifiedBy>
  <dcterms:created xsi:type="dcterms:W3CDTF">2024-12-31T06:54:11Z</dcterms:created>
  <dcterms:modified xsi:type="dcterms:W3CDTF">2025-02-04T03:28:42Z</dcterms:modified>
</cp:coreProperties>
</file>
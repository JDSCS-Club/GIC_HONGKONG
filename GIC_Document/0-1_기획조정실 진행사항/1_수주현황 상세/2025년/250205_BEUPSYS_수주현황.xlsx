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0942EB54-B6DD-4A58-8888-43058D3D33FA}" xr6:coauthVersionLast="47" xr6:coauthVersionMax="47" xr10:uidLastSave="{00000000-0000-0000-0000-000000000000}"/>
  <bookViews>
    <workbookView xWindow="57480" yWindow="-120" windowWidth="29040" windowHeight="15720" xr2:uid="{94AEEC11-5145-4BB5-83E0-0258373AD203}"/>
  </bookViews>
  <sheets>
    <sheet name="Total" sheetId="1" r:id="rId1"/>
    <sheet name="1.지아이씨" sheetId="2" r:id="rId2"/>
    <sheet name="2.김포골드라인" sheetId="3" r:id="rId3"/>
    <sheet name="3.인천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  <sheet name="12.GMTECH" sheetId="13" r:id="rId13"/>
    <sheet name="13.아이디넷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8" l="1"/>
  <c r="J5" i="8"/>
  <c r="K4" i="8"/>
  <c r="J4" i="8"/>
  <c r="H4" i="4"/>
  <c r="H4" i="5" l="1"/>
  <c r="H7" i="8"/>
  <c r="H6" i="8"/>
  <c r="K4" i="14"/>
  <c r="J4" i="14"/>
  <c r="H4" i="14"/>
  <c r="K19" i="2"/>
  <c r="K18" i="2"/>
  <c r="K17" i="2"/>
  <c r="K5" i="2"/>
  <c r="K4" i="2"/>
  <c r="J17" i="2"/>
  <c r="J5" i="2"/>
  <c r="J4" i="2"/>
  <c r="H4" i="12"/>
  <c r="F17" i="1" l="1"/>
  <c r="F16" i="1"/>
  <c r="W34" i="14" l="1"/>
  <c r="V34" i="14"/>
  <c r="U34" i="14"/>
  <c r="T34" i="14"/>
  <c r="S34" i="14"/>
  <c r="E16" i="1" s="1"/>
  <c r="R34" i="14"/>
  <c r="D16" i="1" s="1"/>
  <c r="Q34" i="14"/>
  <c r="I16" i="1" s="1"/>
  <c r="I17" i="1" s="1"/>
  <c r="P34" i="14"/>
  <c r="H16" i="1" s="1"/>
  <c r="O34" i="14"/>
  <c r="G16" i="1" s="1"/>
  <c r="J16" i="1" s="1"/>
  <c r="W34" i="13"/>
  <c r="V34" i="13"/>
  <c r="U34" i="13"/>
  <c r="T34" i="13"/>
  <c r="F15" i="1" s="1"/>
  <c r="S34" i="13"/>
  <c r="E15" i="1" s="1"/>
  <c r="R34" i="13"/>
  <c r="D15" i="1" s="1"/>
  <c r="Q34" i="13"/>
  <c r="I15" i="1" s="1"/>
  <c r="P34" i="13"/>
  <c r="H15" i="1" s="1"/>
  <c r="O34" i="13"/>
  <c r="G15" i="1" s="1"/>
  <c r="O34" i="2"/>
  <c r="G4" i="1" s="1"/>
  <c r="P34" i="2"/>
  <c r="H4" i="1" s="1"/>
  <c r="Q34" i="2"/>
  <c r="I4" i="1" s="1"/>
  <c r="H17" i="1" l="1"/>
  <c r="G17" i="1"/>
  <c r="J15" i="1"/>
  <c r="W34" i="12"/>
  <c r="V34" i="12"/>
  <c r="U34" i="12"/>
  <c r="T34" i="12"/>
  <c r="F14" i="1" s="1"/>
  <c r="S34" i="12"/>
  <c r="E14" i="1" s="1"/>
  <c r="R34" i="12"/>
  <c r="D14" i="1" s="1"/>
  <c r="Q34" i="12"/>
  <c r="I14" i="1" s="1"/>
  <c r="P34" i="12"/>
  <c r="H14" i="1" s="1"/>
  <c r="O34" i="12"/>
  <c r="G14" i="1" s="1"/>
  <c r="W34" i="11"/>
  <c r="V34" i="11"/>
  <c r="U34" i="11"/>
  <c r="T34" i="11"/>
  <c r="F13" i="1" s="1"/>
  <c r="S34" i="11"/>
  <c r="E13" i="1" s="1"/>
  <c r="R34" i="11"/>
  <c r="D13" i="1" s="1"/>
  <c r="Q34" i="11"/>
  <c r="I13" i="1" s="1"/>
  <c r="P34" i="11"/>
  <c r="H13" i="1" s="1"/>
  <c r="O34" i="11"/>
  <c r="G13" i="1" s="1"/>
  <c r="W34" i="10"/>
  <c r="V34" i="10"/>
  <c r="U34" i="10"/>
  <c r="T34" i="10"/>
  <c r="F12" i="1" s="1"/>
  <c r="S34" i="10"/>
  <c r="E12" i="1" s="1"/>
  <c r="R34" i="10"/>
  <c r="D12" i="1" s="1"/>
  <c r="Q34" i="10"/>
  <c r="I12" i="1" s="1"/>
  <c r="P34" i="10"/>
  <c r="H12" i="1" s="1"/>
  <c r="O34" i="10"/>
  <c r="G12" i="1" s="1"/>
  <c r="J12" i="1" s="1"/>
  <c r="J13" i="1" l="1"/>
  <c r="J14" i="1"/>
  <c r="W34" i="9"/>
  <c r="V34" i="9"/>
  <c r="U34" i="9"/>
  <c r="T34" i="9"/>
  <c r="F11" i="1" s="1"/>
  <c r="S34" i="9"/>
  <c r="E11" i="1" s="1"/>
  <c r="R34" i="9"/>
  <c r="D11" i="1" s="1"/>
  <c r="Q34" i="9"/>
  <c r="I11" i="1" s="1"/>
  <c r="P34" i="9"/>
  <c r="H11" i="1" s="1"/>
  <c r="O34" i="9"/>
  <c r="G11" i="1" s="1"/>
  <c r="W34" i="8"/>
  <c r="V34" i="8"/>
  <c r="U34" i="8"/>
  <c r="T34" i="8"/>
  <c r="F10" i="1" s="1"/>
  <c r="S34" i="8"/>
  <c r="E10" i="1" s="1"/>
  <c r="R34" i="8"/>
  <c r="D10" i="1" s="1"/>
  <c r="Q34" i="8"/>
  <c r="I10" i="1" s="1"/>
  <c r="P34" i="8"/>
  <c r="H10" i="1" s="1"/>
  <c r="O34" i="8"/>
  <c r="G10" i="1" s="1"/>
  <c r="W34" i="7"/>
  <c r="V34" i="7"/>
  <c r="U34" i="7"/>
  <c r="T34" i="7"/>
  <c r="F9" i="1" s="1"/>
  <c r="S34" i="7"/>
  <c r="E9" i="1" s="1"/>
  <c r="R34" i="7"/>
  <c r="D9" i="1" s="1"/>
  <c r="Q34" i="7"/>
  <c r="I9" i="1" s="1"/>
  <c r="P34" i="7"/>
  <c r="H9" i="1" s="1"/>
  <c r="O34" i="7"/>
  <c r="G9" i="1" s="1"/>
  <c r="W34" i="6"/>
  <c r="V34" i="6"/>
  <c r="U34" i="6"/>
  <c r="T34" i="6"/>
  <c r="F8" i="1" s="1"/>
  <c r="S34" i="6"/>
  <c r="E8" i="1" s="1"/>
  <c r="R34" i="6"/>
  <c r="D8" i="1" s="1"/>
  <c r="Q34" i="6"/>
  <c r="I8" i="1" s="1"/>
  <c r="P34" i="6"/>
  <c r="H8" i="1" s="1"/>
  <c r="O34" i="6"/>
  <c r="G8" i="1" s="1"/>
  <c r="W34" i="5"/>
  <c r="V34" i="5"/>
  <c r="U34" i="5"/>
  <c r="T34" i="5"/>
  <c r="F7" i="1" s="1"/>
  <c r="S34" i="5"/>
  <c r="E7" i="1" s="1"/>
  <c r="R34" i="5"/>
  <c r="D7" i="1" s="1"/>
  <c r="Q34" i="5"/>
  <c r="I7" i="1" s="1"/>
  <c r="P34" i="5"/>
  <c r="H7" i="1" s="1"/>
  <c r="O34" i="5"/>
  <c r="G7" i="1" s="1"/>
  <c r="W34" i="4"/>
  <c r="V34" i="4"/>
  <c r="U34" i="4"/>
  <c r="T34" i="4"/>
  <c r="F6" i="1" s="1"/>
  <c r="S34" i="4"/>
  <c r="E6" i="1" s="1"/>
  <c r="R34" i="4"/>
  <c r="D6" i="1" s="1"/>
  <c r="Q34" i="4"/>
  <c r="I6" i="1" s="1"/>
  <c r="P34" i="4"/>
  <c r="H6" i="1" s="1"/>
  <c r="O34" i="4"/>
  <c r="G6" i="1" s="1"/>
  <c r="W34" i="3"/>
  <c r="V34" i="3"/>
  <c r="U34" i="3"/>
  <c r="T34" i="3"/>
  <c r="F5" i="1" s="1"/>
  <c r="S34" i="3"/>
  <c r="E5" i="1" s="1"/>
  <c r="R34" i="3"/>
  <c r="D5" i="1" s="1"/>
  <c r="Q34" i="3"/>
  <c r="I5" i="1" s="1"/>
  <c r="P34" i="3"/>
  <c r="H5" i="1" s="1"/>
  <c r="W34" i="2"/>
  <c r="T34" i="2"/>
  <c r="F4" i="1" s="1"/>
  <c r="S34" i="2"/>
  <c r="E4" i="1" s="1"/>
  <c r="E17" i="1" s="1"/>
  <c r="O34" i="3"/>
  <c r="G5" i="1" s="1"/>
  <c r="U34" i="2"/>
  <c r="V34" i="2"/>
  <c r="J9" i="1" l="1"/>
  <c r="J8" i="1"/>
  <c r="J11" i="1"/>
  <c r="J10" i="1"/>
  <c r="J7" i="1"/>
  <c r="J6" i="1"/>
  <c r="J5" i="1"/>
  <c r="R34" i="2"/>
  <c r="D4" i="1" s="1"/>
  <c r="D17" i="1" s="1"/>
  <c r="J4" i="1" l="1"/>
  <c r="J17" i="1"/>
</calcChain>
</file>

<file path=xl/sharedStrings.xml><?xml version="1.0" encoding="utf-8"?>
<sst xmlns="http://schemas.openxmlformats.org/spreadsheetml/2006/main" count="421" uniqueCount="100">
  <si>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</si>
  <si>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</si>
  <si>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</si>
  <si>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</si>
  <si>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</si>
  <si>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</si>
  <si>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</si>
  <si>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</si>
  <si>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</si>
  <si>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</si>
  <si>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</si>
  <si>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</si>
  <si>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</si>
  <si>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</si>
  <si>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</si>
  <si>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</si>
  <si>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</si>
  <si>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</si>
  <si>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</si>
  <si>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</si>
  <si>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</si>
  <si>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</si>
  <si>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</si>
  <si>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</si>
  <si>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</si>
  <si>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</si>
  <si>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</si>
  <si>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</si>
  <si>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</si>
  <si>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</si>
  <si>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</si>
  <si>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</si>
  <si>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</si>
  <si>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</si>
  <si>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</si>
  <si>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</si>
  <si>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</si>
  <si>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</si>
  <si>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</si>
  <si>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</si>
  <si>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</si>
  <si>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</si>
  <si>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</si>
  <si>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</si>
  <si>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</si>
  <si>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</si>
  <si>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</si>
  <si>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</si>
  <si>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</si>
  <si>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</si>
  <si>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</si>
  <si>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</si>
  <si>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</si>
  <si>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</si>
  <si>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</si>
  <si>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</si>
  <si>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</si>
  <si>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</si>
  <si>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</si>
  <si>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</si>
  <si>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EIDS 수리비 및 보수품</t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</si>
  <si>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</si>
  <si>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</si>
  <si>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</si>
  <si>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</si>
  <si>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</si>
  <si>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</si>
  <si>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</si>
  <si>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DWE-2024-AUG-29-001</t>
  </si>
  <si>
    <t>서울7호선 3차분 TCMS 개조</t>
  </si>
  <si>
    <t>4호선 방송편집기 소프트웨어개발</t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</si>
  <si>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</si>
  <si>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</si>
  <si>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</si>
  <si>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</si>
  <si>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</si>
  <si>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</si>
  <si>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</si>
  <si>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</si>
  <si>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</si>
  <si>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</si>
  <si>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</si>
  <si>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</si>
  <si>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</si>
  <si>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</si>
  <si>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</si>
  <si>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</si>
  <si>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</si>
  <si>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</si>
  <si>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</si>
  <si>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</si>
  <si>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</si>
  <si>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인천교통공사</t>
    <phoneticPr fontId="3" type="noConversion"/>
  </si>
  <si>
    <t>GMTECH</t>
    <phoneticPr fontId="3" type="noConversion"/>
  </si>
  <si>
    <t>20250123-1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</si>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</sst>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yymmdd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7"/>
  <sheetViews>
    <sheetView tabSelected="1" workbookViewId="0"/>
  </sheetViews>
  <sheetFormatPr defaultRowHeight="16.899999999999999" x14ac:dyDescent="0.6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2" width="16.125" customWidth="1"/>
    <col min="13" max="13" width="42.125" bestFit="1" customWidth="1"/>
  </cols>
  <sheetData>
    <row r="2" spans="2:13" x14ac:dyDescent="0.6">
      <c r="C2" s="1"/>
      <c r="D2" s="54" t="s">
        <v>81</v>
      </c>
      <c r="E2" s="55"/>
      <c r="F2" s="56"/>
      <c r="G2" s="55" t="s">
        <v>85</v>
      </c>
      <c r="H2" s="55"/>
      <c r="I2" s="55"/>
      <c r="J2" s="55"/>
      <c r="K2" s="55"/>
      <c r="L2" s="57"/>
    </row>
    <row r="3" spans="2:13" x14ac:dyDescent="0.6">
      <c r="B3" s="44" t="s">
        <v>79</v>
      </c>
      <c r="C3" s="37" t="s">
        <v>80</v>
      </c>
      <c r="D3" s="37" t="s">
        <v>84</v>
      </c>
      <c r="E3" s="37" t="s">
        <v>82</v>
      </c>
      <c r="F3" s="40" t="s">
        <v>83</v>
      </c>
      <c r="G3" s="39" t="s">
        <v>84</v>
      </c>
      <c r="H3" s="37" t="s">
        <v>90</v>
      </c>
      <c r="I3" s="37" t="s">
        <v>91</v>
      </c>
      <c r="J3" s="37" t="s">
        <v>87</v>
      </c>
      <c r="K3" s="37" t="s">
        <v>54</v>
      </c>
      <c r="L3" s="37" t="s">
        <v>55</v>
      </c>
      <c r="M3" s="37" t="s">
        <v>12</v>
      </c>
    </row>
    <row r="4" spans="2:13" x14ac:dyDescent="0.6">
      <c r="B4" s="44">
        <v>1</v>
      </c>
      <c r="C4" s="44" t="s">
        <v>86</v>
      </c>
      <c r="D4" s="49">
        <f>'1.지아이씨'!R34</f>
        <v>395235675.69999993</v>
      </c>
      <c r="E4" s="49">
        <f>'1.지아이씨'!S34</f>
        <v>395235675.69999993</v>
      </c>
      <c r="F4" s="41">
        <f>'1.지아이씨'!T34</f>
        <v>0</v>
      </c>
      <c r="G4" s="45">
        <f>'1.지아이씨'!O34</f>
        <v>395235675.69999999</v>
      </c>
      <c r="H4" s="46">
        <f>'1.지아이씨'!P34</f>
        <v>395235675.69999999</v>
      </c>
      <c r="I4" s="47">
        <f>'1.지아이씨'!Q34</f>
        <v>0</v>
      </c>
      <c r="J4" s="42">
        <f>G4/D4</f>
        <v>1.0000000000000002</v>
      </c>
      <c r="K4" s="43"/>
      <c r="L4" s="43"/>
      <c r="M4" s="48"/>
    </row>
    <row r="5" spans="2:13" x14ac:dyDescent="0.6">
      <c r="B5" s="44">
        <v>2</v>
      </c>
      <c r="C5" s="44" t="s">
        <v>56</v>
      </c>
      <c r="D5" s="38">
        <f>'2.김포골드라인'!R34</f>
        <v>0</v>
      </c>
      <c r="E5" s="38">
        <f>'2.김포골드라인'!S34</f>
        <v>0</v>
      </c>
      <c r="F5" s="41">
        <f>'2.김포골드라인'!T34</f>
        <v>0</v>
      </c>
      <c r="G5" s="45">
        <f>'2.김포골드라인'!O34</f>
        <v>0</v>
      </c>
      <c r="H5" s="46">
        <f>'2.김포골드라인'!P34</f>
        <v>0</v>
      </c>
      <c r="I5" s="47">
        <f>'2.김포골드라인'!Q34</f>
        <v>0</v>
      </c>
      <c r="J5" s="42" t="e">
        <f t="shared" ref="J5:J17" si="0">G5/D5</f>
        <v>#DIV/0!</v>
      </c>
      <c r="K5" s="43"/>
      <c r="L5" s="43"/>
      <c r="M5" s="43"/>
    </row>
    <row r="6" spans="2:13" x14ac:dyDescent="0.6">
      <c r="B6" s="44">
        <v>3</v>
      </c>
      <c r="C6" s="44" t="s">
        <v>92</v>
      </c>
      <c r="D6" s="38">
        <f>'3.인천교통공사'!R34</f>
        <v>182000000</v>
      </c>
      <c r="E6" s="38">
        <f>'3.인천교통공사'!S34</f>
        <v>182000000</v>
      </c>
      <c r="F6" s="41">
        <f>'3.인천교통공사'!T34</f>
        <v>0</v>
      </c>
      <c r="G6" s="45">
        <f>'3.인천교통공사'!O34</f>
        <v>0</v>
      </c>
      <c r="H6" s="46">
        <f>'3.인천교통공사'!P34</f>
        <v>0</v>
      </c>
      <c r="I6" s="47">
        <f>'3.인천교통공사'!Q34</f>
        <v>0</v>
      </c>
      <c r="J6" s="42">
        <f t="shared" si="0"/>
        <v>0</v>
      </c>
      <c r="K6" s="43"/>
      <c r="L6" s="43"/>
      <c r="M6" s="43"/>
    </row>
    <row r="7" spans="2:13" x14ac:dyDescent="0.6">
      <c r="B7" s="44">
        <v>4</v>
      </c>
      <c r="C7" s="44" t="s">
        <v>58</v>
      </c>
      <c r="D7" s="38">
        <f>'4.현대로템'!R34</f>
        <v>9983340</v>
      </c>
      <c r="E7" s="38">
        <f>'4.현대로템'!S34</f>
        <v>9983340</v>
      </c>
      <c r="F7" s="41">
        <f>'4.현대로템'!T34</f>
        <v>0</v>
      </c>
      <c r="G7" s="45">
        <f>'4.현대로템'!O34</f>
        <v>0</v>
      </c>
      <c r="H7" s="46">
        <f>'4.현대로템'!P34</f>
        <v>0</v>
      </c>
      <c r="I7" s="47">
        <f>'4.현대로템'!Q34</f>
        <v>0</v>
      </c>
      <c r="J7" s="42">
        <f t="shared" si="0"/>
        <v>0</v>
      </c>
      <c r="K7" s="43"/>
      <c r="L7" s="43"/>
      <c r="M7" s="43"/>
    </row>
    <row r="8" spans="2:13" x14ac:dyDescent="0.6">
      <c r="B8" s="44">
        <v>5</v>
      </c>
      <c r="C8" s="44" t="s">
        <v>61</v>
      </c>
      <c r="D8" s="38">
        <f>'5.실리콘큐브'!R34</f>
        <v>0</v>
      </c>
      <c r="E8" s="38">
        <f>'5.실리콘큐브'!S34</f>
        <v>0</v>
      </c>
      <c r="F8" s="41">
        <f>'5.실리콘큐브'!T34</f>
        <v>0</v>
      </c>
      <c r="G8" s="45">
        <f>'5.실리콘큐브'!O34</f>
        <v>0</v>
      </c>
      <c r="H8" s="46">
        <f>'5.실리콘큐브'!P34</f>
        <v>0</v>
      </c>
      <c r="I8" s="47">
        <f>'5.실리콘큐브'!Q34</f>
        <v>0</v>
      </c>
      <c r="J8" s="42" t="e">
        <f t="shared" si="0"/>
        <v>#DIV/0!</v>
      </c>
      <c r="K8" s="43"/>
      <c r="L8" s="43"/>
      <c r="M8" s="43"/>
    </row>
    <row r="9" spans="2:13" x14ac:dyDescent="0.6">
      <c r="B9" s="44">
        <v>6</v>
      </c>
      <c r="C9" s="44" t="s">
        <v>63</v>
      </c>
      <c r="D9" s="38">
        <f>'6.무한테크'!R34</f>
        <v>0</v>
      </c>
      <c r="E9" s="38">
        <f>'6.무한테크'!S34</f>
        <v>0</v>
      </c>
      <c r="F9" s="41">
        <f>'6.무한테크'!T34</f>
        <v>0</v>
      </c>
      <c r="G9" s="45">
        <f>'6.무한테크'!O34</f>
        <v>0</v>
      </c>
      <c r="H9" s="46">
        <f>'6.무한테크'!P34</f>
        <v>0</v>
      </c>
      <c r="I9" s="47">
        <f>'6.무한테크'!Q34</f>
        <v>0</v>
      </c>
      <c r="J9" s="42" t="e">
        <f t="shared" si="0"/>
        <v>#DIV/0!</v>
      </c>
      <c r="K9" s="43"/>
      <c r="L9" s="43"/>
      <c r="M9" s="43"/>
    </row>
    <row r="10" spans="2:13" x14ac:dyDescent="0.6">
      <c r="B10" s="44">
        <v>7</v>
      </c>
      <c r="C10" s="44" t="s">
        <v>65</v>
      </c>
      <c r="D10" s="38">
        <f>'7.다원시스'!R34</f>
        <v>567731048</v>
      </c>
      <c r="E10" s="38">
        <f>'7.다원시스'!S34</f>
        <v>567731048</v>
      </c>
      <c r="F10" s="41">
        <f>'7.다원시스'!T34</f>
        <v>0</v>
      </c>
      <c r="G10" s="45">
        <f>'7.다원시스'!O34</f>
        <v>287000000</v>
      </c>
      <c r="H10" s="46">
        <f>'7.다원시스'!P34</f>
        <v>287000000</v>
      </c>
      <c r="I10" s="47">
        <f>'7.다원시스'!Q34</f>
        <v>0</v>
      </c>
      <c r="J10" s="42">
        <f t="shared" si="0"/>
        <v>0.50552105792177848</v>
      </c>
      <c r="K10" s="43"/>
      <c r="L10" s="43"/>
      <c r="M10" s="43"/>
    </row>
    <row r="11" spans="2:13" x14ac:dyDescent="0.6">
      <c r="B11" s="44">
        <v>8</v>
      </c>
      <c r="C11" s="44" t="s">
        <v>72</v>
      </c>
      <c r="D11" s="38">
        <f>'8.티랩'!R34</f>
        <v>0</v>
      </c>
      <c r="E11" s="38">
        <f>'8.티랩'!S34</f>
        <v>0</v>
      </c>
      <c r="F11" s="41">
        <f>'8.티랩'!T34</f>
        <v>0</v>
      </c>
      <c r="G11" s="45">
        <f>'8.티랩'!O34</f>
        <v>0</v>
      </c>
      <c r="H11" s="46">
        <f>'8.티랩'!P34</f>
        <v>0</v>
      </c>
      <c r="I11" s="47">
        <f>'8.티랩'!Q34</f>
        <v>0</v>
      </c>
      <c r="J11" s="42" t="e">
        <f t="shared" si="0"/>
        <v>#DIV/0!</v>
      </c>
      <c r="K11" s="43"/>
      <c r="L11" s="43"/>
      <c r="M11" s="43"/>
    </row>
    <row r="12" spans="2:13" x14ac:dyDescent="0.6">
      <c r="B12" s="44">
        <v>9</v>
      </c>
      <c r="C12" s="44" t="s">
        <v>74</v>
      </c>
      <c r="D12" s="38">
        <f>'9.마루소프트'!R34</f>
        <v>0</v>
      </c>
      <c r="E12" s="38">
        <f>'9.마루소프트'!S34</f>
        <v>0</v>
      </c>
      <c r="F12" s="41">
        <f>'9.마루소프트'!T34</f>
        <v>0</v>
      </c>
      <c r="G12" s="45">
        <f>'9.마루소프트'!O34</f>
        <v>0</v>
      </c>
      <c r="H12" s="46">
        <f>'9.마루소프트'!P34</f>
        <v>0</v>
      </c>
      <c r="I12" s="47">
        <f>'9.마루소프트'!Q34</f>
        <v>0</v>
      </c>
      <c r="J12" s="42" t="e">
        <f t="shared" si="0"/>
        <v>#DIV/0!</v>
      </c>
      <c r="K12" s="43"/>
      <c r="L12" s="43"/>
      <c r="M12" s="43"/>
    </row>
    <row r="13" spans="2:13" x14ac:dyDescent="0.6">
      <c r="B13" s="44">
        <v>10</v>
      </c>
      <c r="C13" s="44" t="s">
        <v>76</v>
      </c>
      <c r="D13" s="38">
        <f>'10.신진금고'!R34</f>
        <v>0</v>
      </c>
      <c r="E13" s="38">
        <f>'10.신진금고'!S34</f>
        <v>0</v>
      </c>
      <c r="F13" s="41">
        <f>'10.신진금고'!T34</f>
        <v>0</v>
      </c>
      <c r="G13" s="45">
        <f>'10.신진금고'!O34</f>
        <v>0</v>
      </c>
      <c r="H13" s="46">
        <f>'10.신진금고'!P34</f>
        <v>0</v>
      </c>
      <c r="I13" s="47">
        <f>'10.신진금고'!Q34</f>
        <v>0</v>
      </c>
      <c r="J13" s="42" t="e">
        <f t="shared" si="0"/>
        <v>#DIV/0!</v>
      </c>
      <c r="K13" s="43"/>
      <c r="L13" s="43"/>
      <c r="M13" s="43"/>
    </row>
    <row r="14" spans="2:13" x14ac:dyDescent="0.6">
      <c r="B14" s="44">
        <v>11</v>
      </c>
      <c r="C14" s="44" t="s">
        <v>78</v>
      </c>
      <c r="D14" s="38">
        <f>'11.인터모빌리티'!R34</f>
        <v>82990000</v>
      </c>
      <c r="E14" s="38">
        <f>'11.인터모빌리티'!S34</f>
        <v>82990000</v>
      </c>
      <c r="F14" s="41">
        <f>'11.인터모빌리티'!T34</f>
        <v>0</v>
      </c>
      <c r="G14" s="45">
        <f>'11.인터모빌리티'!O34</f>
        <v>0</v>
      </c>
      <c r="H14" s="46">
        <f>'11.인터모빌리티'!P34</f>
        <v>0</v>
      </c>
      <c r="I14" s="47">
        <f>'11.인터모빌리티'!Q34</f>
        <v>0</v>
      </c>
      <c r="J14" s="42">
        <f t="shared" si="0"/>
        <v>0</v>
      </c>
      <c r="K14" s="43"/>
      <c r="L14" s="43"/>
      <c r="M14" s="43"/>
    </row>
    <row r="15" spans="2:13" x14ac:dyDescent="0.6">
      <c r="B15" s="44">
        <v>12</v>
      </c>
      <c r="C15" s="44" t="s">
        <v>93</v>
      </c>
      <c r="D15" s="38">
        <f>'12.GMTECH'!R34</f>
        <v>0</v>
      </c>
      <c r="E15" s="38">
        <f>'12.GMTECH'!S34</f>
        <v>0</v>
      </c>
      <c r="F15" s="41">
        <f>'12.GMTECH'!T34</f>
        <v>0</v>
      </c>
      <c r="G15" s="45">
        <f>'12.GMTECH'!O34</f>
        <v>0</v>
      </c>
      <c r="H15" s="45">
        <f>'12.GMTECH'!P34</f>
        <v>0</v>
      </c>
      <c r="I15" s="47">
        <f>'12.GMTECH'!Q34</f>
        <v>0</v>
      </c>
      <c r="J15" s="42" t="e">
        <f t="shared" ref="J15:J16" si="1">G15/D15</f>
        <v>#DIV/0!</v>
      </c>
      <c r="K15" s="43"/>
      <c r="L15" s="43"/>
      <c r="M15" s="43"/>
    </row>
    <row r="16" spans="2:13" x14ac:dyDescent="0.6">
      <c r="B16" s="44">
        <v>13</v>
      </c>
      <c r="C16" s="44" t="s">
        <v>97</v>
      </c>
      <c r="D16" s="38">
        <f>'13.아이디넷'!R34</f>
        <v>1300000</v>
      </c>
      <c r="E16" s="38">
        <f>'13.아이디넷'!S34</f>
        <v>1300000</v>
      </c>
      <c r="F16" s="41">
        <f>'13.아이디넷'!T34</f>
        <v>0</v>
      </c>
      <c r="G16" s="45">
        <f>'13.아이디넷'!O34</f>
        <v>1200000</v>
      </c>
      <c r="H16" s="45">
        <f>'13.아이디넷'!P34</f>
        <v>1200000</v>
      </c>
      <c r="I16" s="47">
        <f>'13.아이디넷'!Q34</f>
        <v>0</v>
      </c>
      <c r="J16" s="42">
        <f t="shared" si="1"/>
        <v>0.92307692307692313</v>
      </c>
      <c r="K16" s="43"/>
      <c r="L16" s="43"/>
      <c r="M16" s="43"/>
    </row>
    <row r="17" spans="2:13" x14ac:dyDescent="0.6">
      <c r="B17" s="44"/>
      <c r="C17" s="44" t="s">
        <v>88</v>
      </c>
      <c r="D17" s="38">
        <f>SUM(D4:D16)</f>
        <v>1239240063.6999998</v>
      </c>
      <c r="E17" s="38">
        <f t="shared" ref="E17:I17" si="2">SUM(E4:E16)</f>
        <v>1239240063.6999998</v>
      </c>
      <c r="F17" s="41">
        <f t="shared" si="2"/>
        <v>0</v>
      </c>
      <c r="G17" s="45">
        <f t="shared" si="2"/>
        <v>683435675.70000005</v>
      </c>
      <c r="H17" s="46">
        <f t="shared" si="2"/>
        <v>683435675.70000005</v>
      </c>
      <c r="I17" s="47">
        <f t="shared" si="2"/>
        <v>0</v>
      </c>
      <c r="J17" s="42">
        <f t="shared" si="0"/>
        <v>0.55149578820060552</v>
      </c>
      <c r="K17" s="43"/>
      <c r="L17" s="43"/>
      <c r="M17" s="43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 x14ac:dyDescent="0.6">
      <c r="B2" s="7"/>
      <c r="C2" s="7"/>
    </row>
    <row r="3" spans="2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2:24" s="14" customFormat="1" x14ac:dyDescent="0.6">
      <c r="B4" s="8">
        <v>1</v>
      </c>
      <c r="C4" s="8" t="s">
        <v>13</v>
      </c>
      <c r="D4" s="9" t="s">
        <v>14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x14ac:dyDescent="0.6">
      <c r="B5" s="8">
        <v>2</v>
      </c>
      <c r="C5" s="8" t="s">
        <v>13</v>
      </c>
      <c r="D5" s="9" t="s">
        <v>14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 x14ac:dyDescent="0.6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 x14ac:dyDescent="0.6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 x14ac:dyDescent="0.6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 x14ac:dyDescent="0.6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 x14ac:dyDescent="0.6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 x14ac:dyDescent="0.6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 x14ac:dyDescent="0.6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 x14ac:dyDescent="0.6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 x14ac:dyDescent="0.6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 x14ac:dyDescent="0.6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 x14ac:dyDescent="0.6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x14ac:dyDescent="0.6">
      <c r="B17" s="8">
        <v>3</v>
      </c>
      <c r="C17" s="8" t="s">
        <v>13</v>
      </c>
      <c r="D17" s="9" t="s">
        <v>14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 x14ac:dyDescent="0.6">
      <c r="B18" s="8"/>
      <c r="C18" s="8"/>
      <c r="D18" s="9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0</v>
      </c>
      <c r="X18" s="48"/>
    </row>
    <row r="19" spans="2:24" s="14" customFormat="1" x14ac:dyDescent="0.6">
      <c r="B19" s="8"/>
      <c r="C19" s="8"/>
      <c r="D19" s="9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0</v>
      </c>
      <c r="X19" s="48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57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92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96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 x14ac:dyDescent="0.6">
      <c r="A5" s="1"/>
      <c r="B5" s="8"/>
      <c r="C5" s="8"/>
      <c r="D5" s="9"/>
      <c r="E5" s="9"/>
      <c r="F5" s="9"/>
      <c r="G5" s="8"/>
      <c r="H5" s="10"/>
      <c r="I5" s="9"/>
      <c r="J5" s="8"/>
      <c r="K5" s="10"/>
      <c r="L5" s="10"/>
      <c r="M5" s="9"/>
      <c r="N5" s="9"/>
      <c r="O5" s="11"/>
      <c r="P5" s="11"/>
      <c r="Q5" s="36"/>
      <c r="R5" s="11"/>
      <c r="S5" s="11"/>
      <c r="T5" s="11"/>
      <c r="U5" s="11"/>
      <c r="V5" s="11"/>
      <c r="W5" s="11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182000000</v>
      </c>
      <c r="S34" s="13">
        <f t="shared" si="0"/>
        <v>182000000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59</v>
      </c>
      <c r="E4" s="17">
        <v>2024122401</v>
      </c>
      <c r="F4" s="17"/>
      <c r="G4" s="50">
        <v>45650</v>
      </c>
      <c r="H4" s="53">
        <f>G4+15</f>
        <v>45665</v>
      </c>
      <c r="I4" s="17"/>
      <c r="J4" s="50"/>
      <c r="K4" s="50"/>
      <c r="L4" s="18"/>
      <c r="M4" s="18" t="s">
        <v>60</v>
      </c>
      <c r="N4" s="17"/>
      <c r="O4" s="13"/>
      <c r="P4" s="11"/>
      <c r="Q4" s="15"/>
      <c r="R4" s="13">
        <v>9983340</v>
      </c>
      <c r="S4" s="13">
        <v>9983340</v>
      </c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9983340</v>
      </c>
      <c r="S34" s="13">
        <f t="shared" si="0"/>
        <v>9983340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6">
      <c r="B4" s="8">
        <v>1</v>
      </c>
      <c r="C4" s="8" t="s">
        <v>13</v>
      </c>
      <c r="D4" s="9" t="s">
        <v>62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6">
      <c r="B4" s="8">
        <v>1</v>
      </c>
      <c r="C4" s="8" t="s">
        <v>13</v>
      </c>
      <c r="D4" s="9" t="s">
        <v>64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.75" x14ac:dyDescent="0.6">
      <c r="B4" s="8">
        <v>1</v>
      </c>
      <c r="C4" s="8" t="s">
        <v>13</v>
      </c>
      <c r="D4" s="9" t="s">
        <v>66</v>
      </c>
      <c r="E4" s="9"/>
      <c r="F4" s="9"/>
      <c r="G4" s="51">
        <v>45454</v>
      </c>
      <c r="H4" s="51">
        <v>45747</v>
      </c>
      <c r="I4" s="9" t="s">
        <v>67</v>
      </c>
      <c r="J4" s="51">
        <f>G4</f>
        <v>45454</v>
      </c>
      <c r="K4" s="51">
        <f t="shared" ref="K4:K5" si="0">H4</f>
        <v>45747</v>
      </c>
      <c r="L4" s="10"/>
      <c r="M4" s="10" t="s">
        <v>69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.75" x14ac:dyDescent="0.6">
      <c r="A5" s="1"/>
      <c r="B5" s="8">
        <v>2</v>
      </c>
      <c r="C5" s="8" t="s">
        <v>13</v>
      </c>
      <c r="D5" s="9" t="s">
        <v>65</v>
      </c>
      <c r="E5" s="9">
        <v>202406241</v>
      </c>
      <c r="F5" s="9"/>
      <c r="G5" s="51">
        <v>45533</v>
      </c>
      <c r="H5" s="51">
        <v>45838</v>
      </c>
      <c r="I5" s="9" t="s">
        <v>68</v>
      </c>
      <c r="J5" s="51">
        <f t="shared" ref="J5" si="1">G5</f>
        <v>45533</v>
      </c>
      <c r="K5" s="51">
        <f t="shared" si="0"/>
        <v>45838</v>
      </c>
      <c r="L5" s="10"/>
      <c r="M5" s="9" t="s">
        <v>70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.75" x14ac:dyDescent="0.6">
      <c r="B6" s="16">
        <v>3</v>
      </c>
      <c r="C6" s="16" t="s">
        <v>13</v>
      </c>
      <c r="D6" s="17" t="s">
        <v>66</v>
      </c>
      <c r="E6" s="17">
        <v>2024121901</v>
      </c>
      <c r="F6" s="17"/>
      <c r="G6" s="50">
        <v>45645</v>
      </c>
      <c r="H6" s="50">
        <f>G6+15</f>
        <v>45660</v>
      </c>
      <c r="I6" s="17"/>
      <c r="J6" s="50"/>
      <c r="K6" s="50"/>
      <c r="L6" s="18"/>
      <c r="M6" s="17" t="s">
        <v>71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ht="33.75" x14ac:dyDescent="0.6">
      <c r="B7" s="16">
        <v>4</v>
      </c>
      <c r="C7" s="16" t="s">
        <v>13</v>
      </c>
      <c r="D7" s="17" t="s">
        <v>66</v>
      </c>
      <c r="E7" s="17" t="s">
        <v>94</v>
      </c>
      <c r="F7" s="17"/>
      <c r="G7" s="50">
        <v>45680</v>
      </c>
      <c r="H7" s="50">
        <f>G7+15</f>
        <v>45695</v>
      </c>
      <c r="I7" s="17"/>
      <c r="J7" s="50"/>
      <c r="K7" s="50"/>
      <c r="L7" s="18"/>
      <c r="M7" s="17" t="s">
        <v>95</v>
      </c>
      <c r="N7" s="17"/>
      <c r="O7" s="13"/>
      <c r="P7" s="11"/>
      <c r="Q7" s="26"/>
      <c r="R7" s="13">
        <v>210731048</v>
      </c>
      <c r="S7" s="13">
        <v>210731048</v>
      </c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567731048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73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75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77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78</v>
      </c>
      <c r="E4" s="17" t="s">
        <v>99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/>
      <c r="N4" s="17"/>
      <c r="O4" s="13"/>
      <c r="P4" s="11"/>
      <c r="Q4" s="15"/>
      <c r="R4" s="13">
        <v>82990000</v>
      </c>
      <c r="S4" s="13">
        <v>82990000</v>
      </c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82990000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93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13A-F53D-43BA-9051-A71B6AB24984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97</v>
      </c>
      <c r="E4" s="17">
        <v>202501071</v>
      </c>
      <c r="F4" s="17"/>
      <c r="G4" s="50">
        <v>45664</v>
      </c>
      <c r="H4" s="53">
        <f>G4+15</f>
        <v>45679</v>
      </c>
      <c r="I4" s="17"/>
      <c r="J4" s="50">
        <f>G4</f>
        <v>45664</v>
      </c>
      <c r="K4" s="53">
        <f>G4</f>
        <v>45664</v>
      </c>
      <c r="L4" s="18"/>
      <c r="M4" s="17" t="s">
        <v>98</v>
      </c>
      <c r="N4" s="17">
        <v>2</v>
      </c>
      <c r="O4" s="13">
        <v>1200000</v>
      </c>
      <c r="P4" s="11">
        <v>1200000</v>
      </c>
      <c r="Q4" s="15">
        <v>0</v>
      </c>
      <c r="R4" s="13">
        <v>1300000</v>
      </c>
      <c r="S4" s="13">
        <v>1300000</v>
      </c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8" t="s">
        <v>46</v>
      </c>
      <c r="D34" s="59"/>
      <c r="E34" s="59"/>
      <c r="F34" s="59"/>
      <c r="G34" s="59"/>
      <c r="H34" s="59"/>
      <c r="I34" s="59"/>
      <c r="J34" s="59"/>
      <c r="K34" s="59"/>
      <c r="L34" s="59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1300000</v>
      </c>
      <c r="S34" s="13">
        <f t="shared" si="0"/>
        <v>1300000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3.인천교통공사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13.아이디넷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2025-02-05T14:31:15Z</dcterms:modified>
</cp:coreProperties>
</file>
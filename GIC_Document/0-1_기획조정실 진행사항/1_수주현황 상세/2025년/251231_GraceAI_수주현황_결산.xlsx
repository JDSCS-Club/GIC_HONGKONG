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1_기획조정실 진행사항\1_수주현황 상세\2025년\"/>
    </mc:Choice>
  </mc:AlternateContent>
  <xr:revisionPtr revIDLastSave="0" documentId="13_ncr:1_{91D16335-B525-48FB-96C4-EADE24C40871}" xr6:coauthVersionLast="47" xr6:coauthVersionMax="47" xr10:uidLastSave="{00000000-0000-0000-0000-000000000000}"/>
  <bookViews>
    <workbookView xWindow="-120" yWindow="-120" windowWidth="29040" windowHeight="15840" tabRatio="948" xr2:uid="{94AEEC11-5145-4BB5-83E0-0258373AD203}"/>
  </bookViews>
  <sheets>
    <sheet name="Total" sheetId="1" r:id="rId1"/>
    <sheet name="1.지아이씨" sheetId="2" r:id="rId2"/>
    <sheet name="2.현대로템" sheetId="5" r:id="rId3"/>
    <sheet name="3.인터모빌리티" sheetId="12" r:id="rId4"/>
    <sheet name="4.다원시스" sheetId="8" r:id="rId5"/>
    <sheet name="5.서울교통공사" sheetId="4" r:id="rId6"/>
    <sheet name="6.고구려엔지니어링" sheetId="14" r:id="rId7"/>
    <sheet name="7.GMTECH" sheetId="13" r:id="rId8"/>
    <sheet name="8.기타" sheetId="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" i="13" l="1"/>
  <c r="W4" i="14"/>
  <c r="W8" i="4"/>
  <c r="W6" i="4"/>
  <c r="W5" i="4"/>
  <c r="W4" i="4"/>
  <c r="W5" i="8"/>
  <c r="W4" i="8"/>
  <c r="W6" i="12"/>
  <c r="W5" i="12"/>
  <c r="W4" i="12"/>
  <c r="W7" i="5"/>
  <c r="W6" i="5"/>
  <c r="W4" i="5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W4" i="2"/>
  <c r="V6" i="12"/>
  <c r="P4" i="13"/>
  <c r="H7" i="4"/>
  <c r="J7" i="4"/>
  <c r="K7" i="4"/>
  <c r="H6" i="12"/>
  <c r="H4" i="12"/>
  <c r="V5" i="8"/>
  <c r="V6" i="5"/>
  <c r="V4" i="5"/>
  <c r="V34" i="14"/>
  <c r="U34" i="14"/>
  <c r="T34" i="14"/>
  <c r="S34" i="14"/>
  <c r="G9" i="1" s="1"/>
  <c r="R34" i="14"/>
  <c r="F9" i="1" s="1"/>
  <c r="Q34" i="14"/>
  <c r="P34" i="14"/>
  <c r="O34" i="14"/>
  <c r="H5" i="12"/>
  <c r="I18" i="1"/>
  <c r="H18" i="1"/>
  <c r="G18" i="1"/>
  <c r="F18" i="1"/>
  <c r="E18" i="1" l="1"/>
  <c r="J18" i="1" s="1"/>
  <c r="E9" i="1"/>
  <c r="H6" i="5" l="1"/>
  <c r="I17" i="1" l="1"/>
  <c r="H17" i="1"/>
  <c r="G17" i="1"/>
  <c r="F17" i="1"/>
  <c r="I16" i="1"/>
  <c r="H16" i="1"/>
  <c r="G16" i="1"/>
  <c r="F16" i="1"/>
  <c r="I15" i="1"/>
  <c r="H15" i="1"/>
  <c r="G15" i="1"/>
  <c r="F15" i="1"/>
  <c r="I14" i="1"/>
  <c r="H14" i="1"/>
  <c r="G14" i="1"/>
  <c r="F14" i="1"/>
  <c r="I13" i="1"/>
  <c r="H13" i="1"/>
  <c r="G13" i="1"/>
  <c r="F13" i="1"/>
  <c r="I12" i="1"/>
  <c r="H12" i="1"/>
  <c r="G12" i="1"/>
  <c r="F12" i="1"/>
  <c r="I11" i="1"/>
  <c r="H11" i="1"/>
  <c r="G11" i="1"/>
  <c r="F11" i="1"/>
  <c r="H5" i="5"/>
  <c r="E12" i="1" l="1"/>
  <c r="E16" i="1"/>
  <c r="E17" i="1"/>
  <c r="E15" i="1"/>
  <c r="E14" i="1"/>
  <c r="E13" i="1"/>
  <c r="J12" i="1" l="1"/>
  <c r="H5" i="4"/>
  <c r="K5" i="8" l="1"/>
  <c r="J5" i="8"/>
  <c r="K4" i="8"/>
  <c r="J4" i="8"/>
  <c r="H4" i="4"/>
  <c r="H4" i="5" l="1"/>
  <c r="H7" i="8"/>
  <c r="H6" i="8"/>
  <c r="K19" i="2"/>
  <c r="K18" i="2"/>
  <c r="K17" i="2"/>
  <c r="K5" i="2"/>
  <c r="K4" i="2"/>
  <c r="J17" i="2"/>
  <c r="J5" i="2"/>
  <c r="J4" i="2"/>
  <c r="V34" i="13" l="1"/>
  <c r="U34" i="13"/>
  <c r="T34" i="13"/>
  <c r="S34" i="13"/>
  <c r="G10" i="1" s="1"/>
  <c r="R34" i="13"/>
  <c r="F10" i="1" s="1"/>
  <c r="Q34" i="13"/>
  <c r="P34" i="13"/>
  <c r="I10" i="1" s="1"/>
  <c r="O34" i="13"/>
  <c r="H10" i="1" s="1"/>
  <c r="O34" i="2"/>
  <c r="H4" i="1" s="1"/>
  <c r="P34" i="2"/>
  <c r="I4" i="1" s="1"/>
  <c r="E10" i="1" l="1"/>
  <c r="J10" i="1" s="1"/>
  <c r="V34" i="12"/>
  <c r="U34" i="12"/>
  <c r="T34" i="12"/>
  <c r="S34" i="12"/>
  <c r="G6" i="1" s="1"/>
  <c r="R34" i="12"/>
  <c r="F6" i="1" s="1"/>
  <c r="Q34" i="12"/>
  <c r="P34" i="12"/>
  <c r="I6" i="1" s="1"/>
  <c r="O34" i="12"/>
  <c r="H6" i="1" s="1"/>
  <c r="E6" i="1" l="1"/>
  <c r="J6" i="1" s="1"/>
  <c r="J16" i="1"/>
  <c r="J17" i="1"/>
  <c r="V34" i="8"/>
  <c r="U34" i="8"/>
  <c r="T34" i="8"/>
  <c r="S34" i="8"/>
  <c r="G7" i="1" s="1"/>
  <c r="R34" i="8"/>
  <c r="F7" i="1" s="1"/>
  <c r="Q34" i="8"/>
  <c r="P34" i="8"/>
  <c r="I7" i="1" s="1"/>
  <c r="O34" i="8"/>
  <c r="H7" i="1" s="1"/>
  <c r="V30" i="5"/>
  <c r="U30" i="5"/>
  <c r="T30" i="5"/>
  <c r="S30" i="5"/>
  <c r="G5" i="1" s="1"/>
  <c r="R30" i="5"/>
  <c r="F5" i="1" s="1"/>
  <c r="Q30" i="5"/>
  <c r="P30" i="5"/>
  <c r="I5" i="1" s="1"/>
  <c r="O30" i="5"/>
  <c r="H5" i="1" s="1"/>
  <c r="V34" i="4"/>
  <c r="U34" i="4"/>
  <c r="T34" i="4"/>
  <c r="S34" i="4"/>
  <c r="G8" i="1" s="1"/>
  <c r="R34" i="4"/>
  <c r="F8" i="1" s="1"/>
  <c r="Q34" i="4"/>
  <c r="P34" i="4"/>
  <c r="I8" i="1" s="1"/>
  <c r="O34" i="4"/>
  <c r="H8" i="1" s="1"/>
  <c r="W34" i="3"/>
  <c r="V34" i="3"/>
  <c r="U34" i="3"/>
  <c r="T34" i="3"/>
  <c r="S34" i="3"/>
  <c r="R34" i="3"/>
  <c r="Q34" i="3"/>
  <c r="P34" i="3"/>
  <c r="V34" i="2"/>
  <c r="S34" i="2"/>
  <c r="G4" i="1" s="1"/>
  <c r="R34" i="2"/>
  <c r="F4" i="1" s="1"/>
  <c r="O34" i="3"/>
  <c r="T34" i="2"/>
  <c r="U34" i="2"/>
  <c r="E4" i="1" l="1"/>
  <c r="E8" i="1"/>
  <c r="J8" i="1" s="1"/>
  <c r="E7" i="1"/>
  <c r="J7" i="1" s="1"/>
  <c r="E11" i="1"/>
  <c r="J11" i="1" s="1"/>
  <c r="E5" i="1"/>
  <c r="J5" i="1" s="1"/>
  <c r="G20" i="1"/>
  <c r="H20" i="1"/>
  <c r="I20" i="1"/>
  <c r="J13" i="1"/>
  <c r="F20" i="1"/>
  <c r="J14" i="1"/>
  <c r="J15" i="1"/>
  <c r="Q34" i="2"/>
  <c r="E20" i="1" l="1"/>
  <c r="J20" i="1" s="1"/>
  <c r="J4" i="1"/>
</calcChain>
</file>

<file path=xl/sharedStrings.xml><?xml version="1.0" encoding="utf-8"?>
<sst xmlns="http://schemas.openxmlformats.org/spreadsheetml/2006/main" count="406" uniqueCount="176">
  <si>
    <t>순</t>
    <phoneticPr fontId="4" type="noConversion"/>
  </si>
  <si>
    <t>국가</t>
    <phoneticPr fontId="3" type="noConversion"/>
  </si>
  <si>
    <t>고객</t>
  </si>
  <si>
    <t>RFQ no.</t>
    <phoneticPr fontId="3" type="noConversion"/>
  </si>
  <si>
    <t>수주일</t>
    <phoneticPr fontId="3" type="noConversion"/>
  </si>
  <si>
    <t>납기</t>
    <phoneticPr fontId="3" type="noConversion"/>
  </si>
  <si>
    <t>Item</t>
    <phoneticPr fontId="3" type="noConversion"/>
  </si>
  <si>
    <t>구분</t>
    <phoneticPr fontId="3" type="noConversion"/>
  </si>
  <si>
    <t>수량</t>
    <phoneticPr fontId="3" type="noConversion"/>
  </si>
  <si>
    <t>수주금액 (전체)</t>
    <phoneticPr fontId="3" type="noConversion"/>
  </si>
  <si>
    <t>수주금액 (2025년)</t>
    <phoneticPr fontId="3" type="noConversion"/>
  </si>
  <si>
    <t>입금 총액</t>
    <phoneticPr fontId="3" type="noConversion"/>
  </si>
  <si>
    <t>비고</t>
    <phoneticPr fontId="3" type="noConversion"/>
  </si>
  <si>
    <t>한국</t>
    <phoneticPr fontId="3" type="noConversion"/>
  </si>
  <si>
    <t>지아이씨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</si>
  <si>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</si>
  <si>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</si>
  <si>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</si>
  <si>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</si>
  <si>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CSP24-0524-1</t>
    <phoneticPr fontId="3" type="noConversion"/>
  </si>
  <si>
    <t>MOP, MSR, CTM 생산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</si>
  <si>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</si>
  <si>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</si>
  <si>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</si>
  <si>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</si>
  <si>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</si>
  <si>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</si>
  <si>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CSP24-0913-1</t>
    <phoneticPr fontId="3" type="noConversion"/>
  </si>
  <si>
    <t>MSR NVR</t>
    <phoneticPr fontId="3" type="noConversion"/>
  </si>
  <si>
    <t>MSR HUB</t>
    <phoneticPr fontId="3" type="noConversion"/>
  </si>
  <si>
    <t>MSR MTX</t>
    <phoneticPr fontId="3" type="noConversion"/>
  </si>
  <si>
    <t>MSR TCIU HUB</t>
    <phoneticPr fontId="3" type="noConversion"/>
  </si>
  <si>
    <t>MSR TCIU CTL</t>
    <phoneticPr fontId="3" type="noConversion"/>
  </si>
  <si>
    <t>MSR PBX</t>
    <phoneticPr fontId="3" type="noConversion"/>
  </si>
  <si>
    <t>MSR SSD</t>
    <phoneticPr fontId="3" type="noConversion"/>
  </si>
  <si>
    <t>MSR ETX</t>
    <phoneticPr fontId="3" type="noConversion"/>
  </si>
  <si>
    <t>MSR Back Plane</t>
    <phoneticPr fontId="3" type="noConversion"/>
  </si>
  <si>
    <t>MOP CTL</t>
    <phoneticPr fontId="3" type="noConversion"/>
  </si>
  <si>
    <t>11</t>
    <phoneticPr fontId="3" type="noConversion"/>
  </si>
  <si>
    <t>MOP LCD</t>
    <phoneticPr fontId="3" type="noConversion"/>
  </si>
  <si>
    <t>12</t>
    <phoneticPr fontId="3" type="noConversion"/>
  </si>
  <si>
    <t>CTM CTL</t>
    <phoneticPr fontId="3" type="noConversion"/>
  </si>
  <si>
    <t>CSP24-0923-1</t>
    <phoneticPr fontId="3" type="noConversion"/>
  </si>
  <si>
    <t>LCD CONTROL BOARD. FOR MOP.</t>
    <phoneticPr fontId="3" type="noConversion"/>
  </si>
  <si>
    <t>MSR NVR BOARD. FOR MSR.</t>
    <phoneticPr fontId="3" type="noConversion"/>
  </si>
  <si>
    <t>CONTROL BOARD. FOR CTM.</t>
    <phoneticPr fontId="3" type="noConversion"/>
  </si>
  <si>
    <t>견적번호</t>
    <phoneticPr fontId="3" type="noConversion"/>
  </si>
  <si>
    <t>PO no.</t>
    <phoneticPr fontId="3" type="noConversion"/>
  </si>
  <si>
    <t>견적일</t>
    <phoneticPr fontId="3" type="noConversion"/>
  </si>
  <si>
    <t>유효일</t>
    <phoneticPr fontId="3" type="noConversion"/>
  </si>
  <si>
    <t>견적가(AB)</t>
    <phoneticPr fontId="3" type="noConversion"/>
  </si>
  <si>
    <t>목표가</t>
    <phoneticPr fontId="3" type="noConversion"/>
  </si>
  <si>
    <t>견적가(CD)</t>
    <phoneticPr fontId="3" type="noConversion"/>
  </si>
  <si>
    <t>제조원가</t>
    <phoneticPr fontId="3" type="noConversion"/>
  </si>
  <si>
    <t>손익(%)</t>
    <phoneticPr fontId="3" type="noConversion"/>
  </si>
  <si>
    <t>현대로템</t>
  </si>
  <si>
    <t>현대로템</t>
    <phoneticPr fontId="3" type="noConversion"/>
  </si>
  <si>
    <t>실리콘큐브</t>
  </si>
  <si>
    <t>실리콘큐브</t>
    <phoneticPr fontId="3" type="noConversion"/>
  </si>
  <si>
    <t>무한테크</t>
  </si>
  <si>
    <t>무한테크</t>
    <phoneticPr fontId="3" type="noConversion"/>
  </si>
  <si>
    <t>다원시스</t>
  </si>
  <si>
    <t>다원시스</t>
    <phoneticPr fontId="3" type="noConversion"/>
  </si>
  <si>
    <t>DWE-2024-JUN-11-001</t>
  </si>
  <si>
    <t>서울7호선 3차분 TCMS 개조</t>
  </si>
  <si>
    <t>4호선 방송편집기 소프트웨어개발</t>
  </si>
  <si>
    <t>티랩</t>
  </si>
  <si>
    <t>티랩</t>
    <phoneticPr fontId="3" type="noConversion"/>
  </si>
  <si>
    <t>마루소프트</t>
  </si>
  <si>
    <t>마루소프트</t>
    <phoneticPr fontId="3" type="noConversion"/>
  </si>
  <si>
    <t>신진금고</t>
  </si>
  <si>
    <t>신진금고</t>
    <phoneticPr fontId="3" type="noConversion"/>
  </si>
  <si>
    <t>인터모빌리티</t>
    <phoneticPr fontId="3" type="noConversion"/>
  </si>
  <si>
    <t>순</t>
    <phoneticPr fontId="3" type="noConversion"/>
  </si>
  <si>
    <t>고객명</t>
    <phoneticPr fontId="3" type="noConversion"/>
  </si>
  <si>
    <t>견적가</t>
    <phoneticPr fontId="3" type="noConversion"/>
  </si>
  <si>
    <t>AB등급</t>
    <phoneticPr fontId="3" type="noConversion"/>
  </si>
  <si>
    <t>CD등급</t>
    <phoneticPr fontId="3" type="noConversion"/>
  </si>
  <si>
    <t>전체</t>
    <phoneticPr fontId="3" type="noConversion"/>
  </si>
  <si>
    <t>수주가</t>
    <phoneticPr fontId="3" type="noConversion"/>
  </si>
  <si>
    <t>지아이씨</t>
  </si>
  <si>
    <t>수주율(%)</t>
    <phoneticPr fontId="3" type="noConversion"/>
  </si>
  <si>
    <t>합계</t>
    <phoneticPr fontId="3" type="noConversion"/>
  </si>
  <si>
    <t>수주금액 (2026년)</t>
    <phoneticPr fontId="3" type="noConversion"/>
  </si>
  <si>
    <t>2025년</t>
    <phoneticPr fontId="3" type="noConversion"/>
  </si>
  <si>
    <t>GMTECH</t>
    <phoneticPr fontId="3" type="noConversion"/>
  </si>
  <si>
    <t>코레일 EMU-150 TCMS 기반 통합편집기</t>
  </si>
  <si>
    <t>7호선 3차분 PIS-CSC 장치 개조</t>
  </si>
  <si>
    <t>아이디넷</t>
    <phoneticPr fontId="3" type="noConversion"/>
  </si>
  <si>
    <t>7호선 표시기(객실서버) 수리</t>
  </si>
  <si>
    <t>인도네시아 경전철 차량유지보수 부품</t>
    <phoneticPr fontId="3" type="noConversion"/>
  </si>
  <si>
    <t>20250123-1 (\210,731,048)에 대한 수정견적</t>
    <phoneticPr fontId="3" type="noConversion"/>
  </si>
  <si>
    <t>20250210-1</t>
    <phoneticPr fontId="3" type="noConversion"/>
  </si>
  <si>
    <t>서울교통공사</t>
    <phoneticPr fontId="3" type="noConversion"/>
  </si>
  <si>
    <t>20250207-1</t>
    <phoneticPr fontId="3" type="noConversion"/>
  </si>
  <si>
    <t>7호선 3차분 표시기 업데이트</t>
  </si>
  <si>
    <t>HRCPO20250226-001</t>
    <phoneticPr fontId="3" type="noConversion"/>
  </si>
  <si>
    <t>Onsemi</t>
    <phoneticPr fontId="3" type="noConversion"/>
  </si>
  <si>
    <t>게이트 스위치 개발</t>
    <phoneticPr fontId="3" type="noConversion"/>
  </si>
  <si>
    <t>구두 견적 통보</t>
    <phoneticPr fontId="3" type="noConversion"/>
  </si>
  <si>
    <t>DWE-2024-AUG-29-001</t>
    <phoneticPr fontId="3" type="noConversion"/>
  </si>
  <si>
    <t>네이버시스템 법정관리로 아이디넷 수주 정보 통합</t>
    <phoneticPr fontId="3" type="noConversion"/>
  </si>
  <si>
    <t>말레이시아 예비품</t>
    <phoneticPr fontId="3" type="noConversion"/>
  </si>
  <si>
    <t>홍콩</t>
    <phoneticPr fontId="3" type="noConversion"/>
  </si>
  <si>
    <t>말레이시아</t>
    <phoneticPr fontId="3" type="noConversion"/>
  </si>
  <si>
    <t>EIDS 수리비 및 보수품</t>
    <phoneticPr fontId="3" type="noConversion"/>
  </si>
  <si>
    <t>기타</t>
    <phoneticPr fontId="3" type="noConversion"/>
  </si>
  <si>
    <t>4호선210량 소프트웨어 1년 개선비 + 기존 업데이트 비용</t>
    <phoneticPr fontId="3" type="noConversion"/>
  </si>
  <si>
    <t>홍콩 SW 및 AP, WIFI 점검 출장</t>
    <phoneticPr fontId="3" type="noConversion"/>
  </si>
  <si>
    <t>20250325-1</t>
    <phoneticPr fontId="3" type="noConversion"/>
  </si>
  <si>
    <t>HRCPO20250326-001</t>
    <phoneticPr fontId="3" type="noConversion"/>
  </si>
  <si>
    <t>신역사 KTU 추가
방송소프트웨어 업데이트</t>
    <phoneticPr fontId="3" type="noConversion"/>
  </si>
  <si>
    <t>20240225-1</t>
    <phoneticPr fontId="3" type="noConversion"/>
  </si>
  <si>
    <t>인도네시아</t>
    <phoneticPr fontId="3" type="noConversion"/>
  </si>
  <si>
    <t>LED 품목 2종 포함 20250415 재견적</t>
    <phoneticPr fontId="3" type="noConversion"/>
  </si>
  <si>
    <t>HSJ20250425-01</t>
    <phoneticPr fontId="3" type="noConversion"/>
  </si>
  <si>
    <t>대한민국</t>
    <phoneticPr fontId="3" type="noConversion"/>
  </si>
  <si>
    <t>위플랫</t>
    <phoneticPr fontId="3" type="noConversion"/>
  </si>
  <si>
    <t>GPR 시스템 개발</t>
    <phoneticPr fontId="3" type="noConversion"/>
  </si>
  <si>
    <t>김포골드라인SRS</t>
    <phoneticPr fontId="3" type="noConversion"/>
  </si>
  <si>
    <t>고구려엔지니어링</t>
    <phoneticPr fontId="3" type="noConversion"/>
  </si>
  <si>
    <t>고구려
엔지니어링</t>
    <phoneticPr fontId="3" type="noConversion"/>
  </si>
  <si>
    <t>ITX-새마을 객실안내표시장치 개선</t>
    <phoneticPr fontId="3" type="noConversion"/>
  </si>
  <si>
    <t>250521 견적 제출 완료</t>
    <phoneticPr fontId="3" type="noConversion"/>
  </si>
  <si>
    <t>HSJ20250521-03</t>
    <phoneticPr fontId="3" type="noConversion"/>
  </si>
  <si>
    <t>인도네시아</t>
  </si>
  <si>
    <t>튀르키예</t>
  </si>
  <si>
    <t>마르마라이 전동차 OPERATION PANEL</t>
  </si>
  <si>
    <t>20250704 계약 미체결 확정</t>
    <phoneticPr fontId="3" type="noConversion"/>
  </si>
  <si>
    <t>HSJ20250516-01</t>
    <phoneticPr fontId="3" type="noConversion"/>
  </si>
  <si>
    <t>위플랫에서 대체 참여과제 탐색 중</t>
  </si>
  <si>
    <t>8-1</t>
    <phoneticPr fontId="3" type="noConversion"/>
  </si>
  <si>
    <t>8-2</t>
    <phoneticPr fontId="3" type="noConversion"/>
  </si>
  <si>
    <t>8-3</t>
    <phoneticPr fontId="3" type="noConversion"/>
  </si>
  <si>
    <t>8-4</t>
    <phoneticPr fontId="3" type="noConversion"/>
  </si>
  <si>
    <t>8-5</t>
    <phoneticPr fontId="3" type="noConversion"/>
  </si>
  <si>
    <t>8-6</t>
    <phoneticPr fontId="3" type="noConversion"/>
  </si>
  <si>
    <t>8-7</t>
    <phoneticPr fontId="3" type="noConversion"/>
  </si>
  <si>
    <t>8-8</t>
    <phoneticPr fontId="3" type="noConversion"/>
  </si>
  <si>
    <t>2024년 수주 이월 / 프로젝트 종료</t>
    <phoneticPr fontId="3" type="noConversion"/>
  </si>
  <si>
    <t>자카르타 경전철 TCMS 신규 개발</t>
    <phoneticPr fontId="3" type="noConversion"/>
  </si>
  <si>
    <t>2024년 수주 이월</t>
  </si>
  <si>
    <t>통전 검사기 HW 개발</t>
  </si>
  <si>
    <t>통합통전검사기 개발</t>
  </si>
  <si>
    <t>POSCO TCMS 관련 통신보드 HW 개발</t>
  </si>
  <si>
    <t>자카르타 경전철 방송장치 보드류 예비품</t>
  </si>
  <si>
    <t>HSJ20250819-01</t>
    <phoneticPr fontId="3" type="noConversion"/>
  </si>
  <si>
    <t>7호선 3차분 CSC 대 수선</t>
    <phoneticPr fontId="3" type="noConversion"/>
  </si>
  <si>
    <r>
      <t xml:space="preserve">2024년 수주 이월 /
</t>
    </r>
    <r>
      <rPr>
        <b/>
        <sz val="11"/>
        <color rgb="FFFF0000"/>
        <rFont val="맑은 고딕"/>
        <family val="3"/>
        <charset val="129"/>
        <scheme val="minor"/>
      </rPr>
      <t>CTM &amp; MSR 출고 후 프로젝트 종료</t>
    </r>
    <phoneticPr fontId="3" type="noConversion"/>
  </si>
  <si>
    <t>250801 선금(30%) 수금 완료</t>
    <phoneticPr fontId="3" type="noConversion"/>
  </si>
  <si>
    <t>개발 자재대금 보전 성격 / 250811 대금 수금</t>
    <phoneticPr fontId="3" type="noConversion"/>
  </si>
  <si>
    <t>250801 대금 수금 / 프로젝트 종료</t>
    <phoneticPr fontId="3" type="noConversion"/>
  </si>
  <si>
    <t>USD 6885
250615 수금 완료 / 프로젝트 종료</t>
    <phoneticPr fontId="3" type="noConversion"/>
  </si>
  <si>
    <t>USD 6875 / 수금 완료 / 프로젝트 종료</t>
    <phoneticPr fontId="3" type="noConversion"/>
  </si>
  <si>
    <t>2024년 수주 이월 / 250808 대금 30%(\105,304,551) 수금 / 프로젝트 종료</t>
    <phoneticPr fontId="3" type="noConversion"/>
  </si>
  <si>
    <t>서울교통공사에서 나라장터 통한 입찰공고 준비 중 (2026년)</t>
    <phoneticPr fontId="3" type="noConversion"/>
  </si>
  <si>
    <t>9호선열차번호표시기 예비품 공급 및 SW업데이트</t>
    <phoneticPr fontId="3" type="noConversion"/>
  </si>
  <si>
    <t>HSJ20250521-02_rev.3</t>
    <phoneticPr fontId="3" type="noConversion"/>
  </si>
  <si>
    <t>7호선 3차분 PIS-CSC 장치 수리</t>
    <phoneticPr fontId="3" type="noConversion"/>
  </si>
  <si>
    <t>1세트 시범 개발 분 / 'CSC 대 수선' 입찰 공고로 연계</t>
    <phoneticPr fontId="3" type="noConversion"/>
  </si>
  <si>
    <t>250917 기 작업 견적에 예비품 견적을 포함하여 재견적 제출</t>
  </si>
  <si>
    <t>20250211-01_rev.4</t>
    <phoneticPr fontId="3" type="noConversion"/>
  </si>
  <si>
    <t>OS02</t>
    <phoneticPr fontId="3" type="noConversion"/>
  </si>
  <si>
    <t>250930 PO 수신</t>
    <phoneticPr fontId="3" type="noConversion"/>
  </si>
  <si>
    <t>자카르타 경전철 CCTV 대체품</t>
    <phoneticPr fontId="3" type="noConversion"/>
  </si>
  <si>
    <t>자카르타 경전철 CTM 대체품</t>
    <phoneticPr fontId="3" type="noConversion"/>
  </si>
  <si>
    <t>자카르타 경전철 얘비품_DRM 등</t>
    <phoneticPr fontId="3" type="noConversion"/>
  </si>
  <si>
    <t>자카르타 경전철 예비품_MVB Board</t>
  </si>
  <si>
    <t>LRT 파워 노이즈 필터</t>
  </si>
  <si>
    <t>MRT PID 보드 개발</t>
  </si>
  <si>
    <t>수주 실패 / 12월 9일, 우진산전에서 수주했다는 정보가 입수되었음</t>
    <phoneticPr fontId="3" type="noConversion"/>
  </si>
  <si>
    <t>자기부상열차 PAPIS</t>
  </si>
  <si>
    <t>시행청 : 인천국제공항공사 / 2026년 예산 반영 예상</t>
    <phoneticPr fontId="3" type="noConversion"/>
  </si>
  <si>
    <t>2025년 12월 4일 [7호선 3차분 TCMS 개조] 계약 해지 (잔여 수주금액 제외)</t>
    <phoneticPr fontId="3" type="noConversion"/>
  </si>
  <si>
    <r>
      <t xml:space="preserve">2024년 수주 이월 /
250910 중도금 30%(\81,000,000) 입금 완료
</t>
    </r>
    <r>
      <rPr>
        <b/>
        <sz val="11"/>
        <color rgb="FFFF0000"/>
        <rFont val="맑은 고딕"/>
        <family val="3"/>
        <charset val="129"/>
        <scheme val="minor"/>
      </rPr>
      <t>251204 계약 해지 (잔여 수주금액 제외)</t>
    </r>
    <phoneticPr fontId="3" type="noConversion"/>
  </si>
  <si>
    <t>미수금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</si>
</sst>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176" formatCode="#,##0_ "/>
    <numFmt numFmtId="177" formatCode="yymmdd"/>
    <numFmt numFmtId="178" formatCode="&quot;US$&quot;#,##0.00_);\(&quot;US$&quot;#,##0.00\)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1"/>
      <color rgb="FF00B05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name val="바탕"/>
      <family val="1"/>
      <charset val="129"/>
    </font>
    <font>
      <sz val="11"/>
      <color rgb="FF00B05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rgb="FFEE000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trike/>
      <sz val="11"/>
      <color rgb="FFFF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42" fontId="0" fillId="0" borderId="0" xfId="0" applyNumberFormat="1" applyAlignment="1">
      <alignment horizontal="center" vertical="center"/>
    </xf>
    <xf numFmtId="42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2" fontId="5" fillId="0" borderId="1" xfId="0" applyNumberFormat="1" applyFont="1" applyBorder="1" applyAlignment="1">
      <alignment horizontal="center" vertical="center"/>
    </xf>
    <xf numFmtId="42" fontId="5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42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2" fontId="6" fillId="0" borderId="1" xfId="0" applyNumberFormat="1" applyFont="1" applyBorder="1" applyAlignment="1">
      <alignment horizontal="center" vertical="center" wrapText="1"/>
    </xf>
    <xf numFmtId="42" fontId="9" fillId="0" borderId="0" xfId="0" applyNumberFormat="1" applyFont="1" applyAlignment="1">
      <alignment horizontal="center" vertical="center"/>
    </xf>
    <xf numFmtId="3" fontId="6" fillId="0" borderId="1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2" fontId="2" fillId="0" borderId="1" xfId="0" applyNumberFormat="1" applyFont="1" applyBorder="1" applyAlignment="1">
      <alignment horizontal="center" vertical="center" wrapText="1"/>
    </xf>
    <xf numFmtId="42" fontId="7" fillId="0" borderId="1" xfId="0" applyNumberFormat="1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42" fontId="5" fillId="0" borderId="0" xfId="0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42" fontId="0" fillId="0" borderId="1" xfId="0" applyNumberForma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2" fontId="0" fillId="0" borderId="6" xfId="0" applyNumberFormat="1" applyBorder="1">
      <alignment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42" fontId="12" fillId="0" borderId="5" xfId="0" applyNumberFormat="1" applyFont="1" applyBorder="1">
      <alignment vertical="center"/>
    </xf>
    <xf numFmtId="42" fontId="12" fillId="0" borderId="1" xfId="0" applyNumberFormat="1" applyFont="1" applyBorder="1">
      <alignment vertical="center"/>
    </xf>
    <xf numFmtId="0" fontId="13" fillId="0" borderId="1" xfId="0" applyFont="1" applyBorder="1" applyAlignment="1">
      <alignment horizontal="center" vertical="center" wrapText="1"/>
    </xf>
    <xf numFmtId="42" fontId="14" fillId="0" borderId="1" xfId="0" applyNumberFormat="1" applyFont="1" applyBorder="1">
      <alignment vertical="center"/>
    </xf>
    <xf numFmtId="177" fontId="6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 wrapText="1"/>
    </xf>
    <xf numFmtId="42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left"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177" fontId="13" fillId="0" borderId="1" xfId="0" applyNumberFormat="1" applyFont="1" applyBorder="1" applyAlignment="1">
      <alignment horizontal="center" vertical="center"/>
    </xf>
    <xf numFmtId="177" fontId="13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42" fontId="13" fillId="0" borderId="1" xfId="0" applyNumberFormat="1" applyFont="1" applyBorder="1" applyAlignment="1">
      <alignment horizontal="center"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F8D2-3B23-49B2-BD89-E34880020EA2}">
  <dimension ref="B2:M20"/>
  <sheetViews>
    <sheetView tabSelected="1" workbookViewId="0"/>
  </sheetViews>
  <sheetFormatPr defaultRowHeight="16.5"/>
  <cols>
    <col min="1" max="1" width="3.5" customWidth="1"/>
    <col min="2" max="2" width="3.5" style="58" bestFit="1" customWidth="1"/>
    <col min="3" max="3" width="5.25" bestFit="1" customWidth="1"/>
    <col min="4" max="4" width="16.5" bestFit="1" customWidth="1"/>
    <col min="5" max="6" width="16.125" bestFit="1" customWidth="1"/>
    <col min="7" max="7" width="14.625" bestFit="1" customWidth="1"/>
    <col min="8" max="9" width="16.125" bestFit="1" customWidth="1"/>
    <col min="10" max="10" width="10.25" bestFit="1" customWidth="1"/>
    <col min="11" max="12" width="16.125" customWidth="1"/>
    <col min="13" max="13" width="75.75" bestFit="1" customWidth="1"/>
  </cols>
  <sheetData>
    <row r="2" spans="2:13">
      <c r="C2" s="1"/>
      <c r="D2" s="1"/>
      <c r="E2" s="75" t="s">
        <v>75</v>
      </c>
      <c r="F2" s="80"/>
      <c r="G2" s="81"/>
      <c r="H2" s="80" t="s">
        <v>79</v>
      </c>
      <c r="I2" s="80"/>
      <c r="J2" s="80"/>
      <c r="K2" s="80"/>
      <c r="L2" s="76"/>
    </row>
    <row r="3" spans="2:13">
      <c r="B3" s="59" t="s">
        <v>73</v>
      </c>
      <c r="C3" s="82" t="s">
        <v>74</v>
      </c>
      <c r="D3" s="76"/>
      <c r="E3" s="35" t="s">
        <v>78</v>
      </c>
      <c r="F3" s="35" t="s">
        <v>76</v>
      </c>
      <c r="G3" s="38" t="s">
        <v>77</v>
      </c>
      <c r="H3" s="37" t="s">
        <v>78</v>
      </c>
      <c r="I3" s="35" t="s">
        <v>84</v>
      </c>
      <c r="J3" s="35" t="s">
        <v>81</v>
      </c>
      <c r="K3" s="35" t="s">
        <v>53</v>
      </c>
      <c r="L3" s="35" t="s">
        <v>54</v>
      </c>
      <c r="M3" s="35" t="s">
        <v>12</v>
      </c>
    </row>
    <row r="4" spans="2:13">
      <c r="B4" s="59">
        <v>1</v>
      </c>
      <c r="C4" s="75" t="s">
        <v>80</v>
      </c>
      <c r="D4" s="76"/>
      <c r="E4" s="46">
        <f>SUM(F4:G4)</f>
        <v>395235675.69999993</v>
      </c>
      <c r="F4" s="46">
        <f>'1.지아이씨'!R34</f>
        <v>395235675.69999993</v>
      </c>
      <c r="G4" s="39">
        <f>'1.지아이씨'!S34</f>
        <v>0</v>
      </c>
      <c r="H4" s="43">
        <f>'1.지아이씨'!O34</f>
        <v>395235675.69999999</v>
      </c>
      <c r="I4" s="44">
        <f>'1.지아이씨'!P34</f>
        <v>395235675.69999999</v>
      </c>
      <c r="J4" s="40">
        <f>H4/E4</f>
        <v>1.0000000000000002</v>
      </c>
      <c r="K4" s="41"/>
      <c r="L4" s="41"/>
      <c r="M4" s="63"/>
    </row>
    <row r="5" spans="2:13">
      <c r="B5" s="42">
        <v>2</v>
      </c>
      <c r="C5" s="75" t="s">
        <v>55</v>
      </c>
      <c r="D5" s="76"/>
      <c r="E5" s="46">
        <f>SUM(F5:G5)</f>
        <v>3275099490</v>
      </c>
      <c r="F5" s="36">
        <f>'2.현대로템'!R30</f>
        <v>314674040</v>
      </c>
      <c r="G5" s="39">
        <f>'2.현대로템'!S30</f>
        <v>2960425450</v>
      </c>
      <c r="H5" s="43">
        <f>'2.현대로템'!O30</f>
        <v>314674040</v>
      </c>
      <c r="I5" s="44">
        <f>'2.현대로템'!P30</f>
        <v>19883340</v>
      </c>
      <c r="J5" s="40">
        <f>H5/E5</f>
        <v>9.6080757534483321E-2</v>
      </c>
      <c r="K5" s="41"/>
      <c r="L5" s="41"/>
      <c r="M5" s="63"/>
    </row>
    <row r="6" spans="2:13">
      <c r="B6" s="42">
        <v>3</v>
      </c>
      <c r="C6" s="75" t="s">
        <v>72</v>
      </c>
      <c r="D6" s="76"/>
      <c r="E6" s="46">
        <f>SUM(F6:G6)</f>
        <v>71836909</v>
      </c>
      <c r="F6" s="36">
        <f>'3.인터모빌리티'!R34</f>
        <v>71836909</v>
      </c>
      <c r="G6" s="39">
        <f>'3.인터모빌리티'!S34</f>
        <v>0</v>
      </c>
      <c r="H6" s="43">
        <f>'3.인터모빌리티'!O34</f>
        <v>71836909</v>
      </c>
      <c r="I6" s="44">
        <f>'3.인터모빌리티'!P34</f>
        <v>53524209</v>
      </c>
      <c r="J6" s="40">
        <f>H6/E6</f>
        <v>1</v>
      </c>
      <c r="K6" s="41"/>
      <c r="L6" s="41"/>
      <c r="M6" s="64"/>
    </row>
    <row r="7" spans="2:13">
      <c r="B7" s="42">
        <v>4</v>
      </c>
      <c r="C7" s="75" t="s">
        <v>61</v>
      </c>
      <c r="D7" s="76"/>
      <c r="E7" s="46">
        <f>SUM(F7:G7)</f>
        <v>510623467</v>
      </c>
      <c r="F7" s="36">
        <f>'4.다원시스'!R34</f>
        <v>287000000</v>
      </c>
      <c r="G7" s="39">
        <f>'4.다원시스'!S34</f>
        <v>223623467</v>
      </c>
      <c r="H7" s="43">
        <f>'4.다원시스'!O34</f>
        <v>179000000</v>
      </c>
      <c r="I7" s="44">
        <f>'4.다원시스'!P34</f>
        <v>123000000</v>
      </c>
      <c r="J7" s="40">
        <f>H7/E7</f>
        <v>0.35055184802150896</v>
      </c>
      <c r="K7" s="41"/>
      <c r="L7" s="41"/>
      <c r="M7" s="74" t="s">
        <v>173</v>
      </c>
    </row>
    <row r="8" spans="2:13">
      <c r="B8" s="42">
        <v>5</v>
      </c>
      <c r="C8" s="75" t="s">
        <v>93</v>
      </c>
      <c r="D8" s="76"/>
      <c r="E8" s="46">
        <f t="shared" ref="E8:E20" si="0">SUM(F8:G8)</f>
        <v>261187000</v>
      </c>
      <c r="F8" s="36">
        <f>'5.서울교통공사'!R34</f>
        <v>2807000</v>
      </c>
      <c r="G8" s="39">
        <f>'5.서울교통공사'!S34</f>
        <v>258380000</v>
      </c>
      <c r="H8" s="43">
        <f>'5.서울교통공사'!O34</f>
        <v>4007000</v>
      </c>
      <c r="I8" s="44">
        <f>'5.서울교통공사'!P34</f>
        <v>4007000</v>
      </c>
      <c r="J8" s="40">
        <f t="shared" ref="J8:J20" si="1">H8/E8</f>
        <v>1.5341498619762852E-2</v>
      </c>
      <c r="K8" s="41"/>
      <c r="L8" s="41"/>
      <c r="M8" s="53"/>
    </row>
    <row r="9" spans="2:13">
      <c r="B9" s="42">
        <v>6</v>
      </c>
      <c r="C9" s="75" t="s">
        <v>120</v>
      </c>
      <c r="D9" s="76"/>
      <c r="E9" s="46">
        <f>SUM(F9:G9)</f>
        <v>328059000</v>
      </c>
      <c r="F9" s="36">
        <f>'6.고구려엔지니어링'!R34</f>
        <v>0</v>
      </c>
      <c r="G9" s="39">
        <f>'6.고구려엔지니어링'!S34</f>
        <v>328059000</v>
      </c>
      <c r="H9" s="43"/>
      <c r="I9" s="44"/>
      <c r="J9" s="40"/>
      <c r="K9" s="41"/>
      <c r="L9" s="41"/>
      <c r="M9" s="63"/>
    </row>
    <row r="10" spans="2:13">
      <c r="B10" s="42">
        <v>7</v>
      </c>
      <c r="C10" s="75" t="s">
        <v>85</v>
      </c>
      <c r="D10" s="76"/>
      <c r="E10" s="46">
        <f>SUM(F10:G10)</f>
        <v>30791000</v>
      </c>
      <c r="F10" s="36">
        <f>'7.GMTECH'!R34</f>
        <v>30791000</v>
      </c>
      <c r="G10" s="39">
        <f>'7.GMTECH'!S34</f>
        <v>0</v>
      </c>
      <c r="H10" s="43">
        <f>'7.GMTECH'!O34</f>
        <v>30791000</v>
      </c>
      <c r="I10" s="43">
        <f>'7.GMTECH'!P34</f>
        <v>6158200</v>
      </c>
      <c r="J10" s="40">
        <f>H10/E10</f>
        <v>1</v>
      </c>
      <c r="K10" s="41"/>
      <c r="L10" s="41"/>
      <c r="M10" s="9"/>
    </row>
    <row r="11" spans="2:13">
      <c r="B11" s="59" t="s">
        <v>131</v>
      </c>
      <c r="C11" s="77" t="s">
        <v>106</v>
      </c>
      <c r="D11" s="42" t="s">
        <v>119</v>
      </c>
      <c r="E11" s="46">
        <f>SUM(F11:G11)</f>
        <v>0</v>
      </c>
      <c r="F11" s="36">
        <f>SUMIF('8.기타'!$C$4:$C$33, Total!D11, '8.기타'!$S$4:$S$33)</f>
        <v>0</v>
      </c>
      <c r="G11" s="39">
        <f>SUMIF('8.기타'!$C$4:$C$33, Total!D11, '8.기타'!$T$4:$T$33)</f>
        <v>0</v>
      </c>
      <c r="H11" s="43">
        <f>SUMIF('8.기타'!$C$4:$C$33, Total!D11, '8.기타'!$O$4:$O$33)</f>
        <v>0</v>
      </c>
      <c r="I11" s="44">
        <f>SUMIF('8.기타'!$C$4:$C$33, Total!D11, '8.기타'!$P$4:$P$33)</f>
        <v>0</v>
      </c>
      <c r="J11" s="40" t="e">
        <f>H11/E11</f>
        <v>#DIV/0!</v>
      </c>
      <c r="K11" s="41"/>
      <c r="L11" s="41"/>
      <c r="M11" s="64"/>
    </row>
    <row r="12" spans="2:13">
      <c r="B12" s="59" t="s">
        <v>132</v>
      </c>
      <c r="C12" s="78"/>
      <c r="D12" s="42" t="s">
        <v>97</v>
      </c>
      <c r="E12" s="46">
        <f t="shared" ref="E12:E18" si="2">SUM(F12:G12)</f>
        <v>8000000</v>
      </c>
      <c r="F12" s="36">
        <f>SUMIF('8.기타'!$C$4:$C$33, Total!D12, '8.기타'!$S$4:$S$33)</f>
        <v>0</v>
      </c>
      <c r="G12" s="39">
        <f>SUMIF('8.기타'!$C$4:$C$33, Total!D12, '8.기타'!$T$4:$T$33)</f>
        <v>8000000</v>
      </c>
      <c r="H12" s="43">
        <f>SUMIF('8.기타'!$C$4:$C$33, Total!D12, '8.기타'!$O$4:$O$33)</f>
        <v>0</v>
      </c>
      <c r="I12" s="44">
        <f>SUMIF('8.기타'!$C$4:$C$33, Total!D12, '8.기타'!$P$4:$P$33)</f>
        <v>0</v>
      </c>
      <c r="J12" s="40">
        <f t="shared" ref="J12" si="3">H12/E12</f>
        <v>0</v>
      </c>
      <c r="K12" s="41"/>
      <c r="L12" s="41"/>
      <c r="M12" s="41"/>
    </row>
    <row r="13" spans="2:13">
      <c r="B13" s="59" t="s">
        <v>133</v>
      </c>
      <c r="C13" s="78"/>
      <c r="D13" s="42" t="s">
        <v>57</v>
      </c>
      <c r="E13" s="46">
        <f t="shared" si="2"/>
        <v>0</v>
      </c>
      <c r="F13" s="36">
        <f>SUMIF('8.기타'!$C$4:$C$33, Total!D13, '8.기타'!$S$4:$S$33)</f>
        <v>0</v>
      </c>
      <c r="G13" s="39">
        <f>SUMIF('8.기타'!$C$4:$C$33, Total!D13, '8.기타'!$T$4:$T$33)</f>
        <v>0</v>
      </c>
      <c r="H13" s="43">
        <f>SUMIF('8.기타'!$C$4:$C$33, Total!D13, '8.기타'!$O$4:$O$33)</f>
        <v>0</v>
      </c>
      <c r="I13" s="44">
        <f>SUMIF('8.기타'!$C$4:$C$33, Total!D13, '8.기타'!$P$4:$P$33)</f>
        <v>0</v>
      </c>
      <c r="J13" s="40" t="e">
        <f t="shared" si="1"/>
        <v>#DIV/0!</v>
      </c>
      <c r="K13" s="41"/>
      <c r="L13" s="41"/>
      <c r="M13" s="41"/>
    </row>
    <row r="14" spans="2:13">
      <c r="B14" s="59" t="s">
        <v>134</v>
      </c>
      <c r="C14" s="78"/>
      <c r="D14" s="42" t="s">
        <v>59</v>
      </c>
      <c r="E14" s="46">
        <f t="shared" si="2"/>
        <v>0</v>
      </c>
      <c r="F14" s="36">
        <f>SUMIF('8.기타'!$C$4:$C$33, Total!D14, '8.기타'!$S$4:$S$33)</f>
        <v>0</v>
      </c>
      <c r="G14" s="39">
        <f>SUMIF('8.기타'!$C$4:$C$33, Total!D14, '8.기타'!$T$4:$T$33)</f>
        <v>0</v>
      </c>
      <c r="H14" s="43">
        <f>SUMIF('8.기타'!$C$4:$C$33, Total!D14, '8.기타'!$O$4:$O$33)</f>
        <v>0</v>
      </c>
      <c r="I14" s="44">
        <f>SUMIF('8.기타'!$C$4:$C$33, Total!D14, '8.기타'!$P$4:$P$33)</f>
        <v>0</v>
      </c>
      <c r="J14" s="40" t="e">
        <f t="shared" si="1"/>
        <v>#DIV/0!</v>
      </c>
      <c r="K14" s="41"/>
      <c r="L14" s="41"/>
      <c r="M14" s="41"/>
    </row>
    <row r="15" spans="2:13">
      <c r="B15" s="59" t="s">
        <v>135</v>
      </c>
      <c r="C15" s="78"/>
      <c r="D15" s="42" t="s">
        <v>66</v>
      </c>
      <c r="E15" s="46">
        <f t="shared" si="2"/>
        <v>0</v>
      </c>
      <c r="F15" s="36">
        <f>SUMIF('8.기타'!$C$4:$C$33, Total!D15, '8.기타'!$S$4:$S$33)</f>
        <v>0</v>
      </c>
      <c r="G15" s="39">
        <f>SUMIF('8.기타'!$C$4:$C$33, Total!D15, '8.기타'!$T$4:$T$33)</f>
        <v>0</v>
      </c>
      <c r="H15" s="43">
        <f>SUMIF('8.기타'!$C$4:$C$33, Total!D15, '8.기타'!$O$4:$O$33)</f>
        <v>0</v>
      </c>
      <c r="I15" s="44">
        <f>SUMIF('8.기타'!$C$4:$C$33, Total!D15, '8.기타'!$P$4:$P$33)</f>
        <v>0</v>
      </c>
      <c r="J15" s="40" t="e">
        <f t="shared" si="1"/>
        <v>#DIV/0!</v>
      </c>
      <c r="K15" s="41"/>
      <c r="L15" s="41"/>
      <c r="M15" s="41"/>
    </row>
    <row r="16" spans="2:13">
      <c r="B16" s="59" t="s">
        <v>136</v>
      </c>
      <c r="C16" s="78"/>
      <c r="D16" s="42" t="s">
        <v>68</v>
      </c>
      <c r="E16" s="46">
        <f t="shared" si="2"/>
        <v>0</v>
      </c>
      <c r="F16" s="36">
        <f>SUMIF('8.기타'!$C$4:$C$33, Total!D16, '8.기타'!$S$4:$S$33)</f>
        <v>0</v>
      </c>
      <c r="G16" s="39">
        <f>SUMIF('8.기타'!$C$4:$C$33, Total!D16, '8.기타'!$T$4:$T$33)</f>
        <v>0</v>
      </c>
      <c r="H16" s="43">
        <f>SUMIF('8.기타'!$C$4:$C$33, Total!D16, '8.기타'!$O$4:$O$33)</f>
        <v>0</v>
      </c>
      <c r="I16" s="44">
        <f>SUMIF('8.기타'!$C$4:$C$33, Total!D16, '8.기타'!$P$4:$P$33)</f>
        <v>0</v>
      </c>
      <c r="J16" s="40" t="e">
        <f t="shared" si="1"/>
        <v>#DIV/0!</v>
      </c>
      <c r="K16" s="41"/>
      <c r="L16" s="41"/>
      <c r="M16" s="41"/>
    </row>
    <row r="17" spans="2:13">
      <c r="B17" s="59" t="s">
        <v>137</v>
      </c>
      <c r="C17" s="78"/>
      <c r="D17" s="42" t="s">
        <v>70</v>
      </c>
      <c r="E17" s="46">
        <f t="shared" si="2"/>
        <v>0</v>
      </c>
      <c r="F17" s="36">
        <f>SUMIF('8.기타'!$C$4:$C$33, Total!D17, '8.기타'!$S$4:$S$33)</f>
        <v>0</v>
      </c>
      <c r="G17" s="39">
        <f>SUMIF('8.기타'!$C$4:$C$33, Total!D17, '8.기타'!$T$4:$T$33)</f>
        <v>0</v>
      </c>
      <c r="H17" s="43">
        <f>SUMIF('8.기타'!$C$4:$C$33, Total!D17, '8.기타'!$O$4:$O$33)</f>
        <v>0</v>
      </c>
      <c r="I17" s="44">
        <f>SUMIF('8.기타'!$C$4:$C$33, Total!D17, '8.기타'!$P$4:$P$33)</f>
        <v>0</v>
      </c>
      <c r="J17" s="40" t="e">
        <f t="shared" si="1"/>
        <v>#DIV/0!</v>
      </c>
      <c r="K17" s="41"/>
      <c r="L17" s="41"/>
      <c r="M17" s="41"/>
    </row>
    <row r="18" spans="2:13">
      <c r="B18" s="59" t="s">
        <v>138</v>
      </c>
      <c r="C18" s="79"/>
      <c r="D18" s="42" t="s">
        <v>117</v>
      </c>
      <c r="E18" s="46">
        <f t="shared" si="2"/>
        <v>120000000</v>
      </c>
      <c r="F18" s="36">
        <f>SUMIF('8.기타'!$C$4:$C$33, Total!D18, '8.기타'!$S$4:$S$33)</f>
        <v>0</v>
      </c>
      <c r="G18" s="39">
        <f>SUMIF('8.기타'!$C$4:$C$33, Total!D18, '8.기타'!$T$4:$T$33)</f>
        <v>120000000</v>
      </c>
      <c r="H18" s="43">
        <f>SUMIF('8.기타'!$C$4:$C$33, Total!D18, '8.기타'!$O$4:$O$33)</f>
        <v>0</v>
      </c>
      <c r="I18" s="44">
        <f>SUMIF('8.기타'!$C$4:$C$33, Total!D18, '8.기타'!$P$4:$P$33)</f>
        <v>0</v>
      </c>
      <c r="J18" s="40">
        <f t="shared" ref="J18" si="4">H18/E18</f>
        <v>0</v>
      </c>
      <c r="K18" s="41"/>
      <c r="L18" s="41"/>
      <c r="M18" s="64"/>
    </row>
    <row r="19" spans="2:13">
      <c r="B19" s="59"/>
      <c r="C19" s="42"/>
      <c r="D19" s="42"/>
      <c r="E19" s="46"/>
      <c r="F19" s="36"/>
      <c r="G19" s="39"/>
      <c r="H19" s="43"/>
      <c r="I19" s="43"/>
      <c r="J19" s="40"/>
      <c r="K19" s="41"/>
      <c r="L19" s="41"/>
      <c r="M19" s="51"/>
    </row>
    <row r="20" spans="2:13">
      <c r="B20" s="59"/>
      <c r="C20" s="42" t="s">
        <v>82</v>
      </c>
      <c r="D20" s="42"/>
      <c r="E20" s="46">
        <f t="shared" si="0"/>
        <v>5000832541.6999998</v>
      </c>
      <c r="F20" s="36">
        <f>SUM(F4:F19)</f>
        <v>1102344624.6999998</v>
      </c>
      <c r="G20" s="39">
        <f>SUM(G4:G19)</f>
        <v>3898487917</v>
      </c>
      <c r="H20" s="43">
        <f>SUM(H4:H19)</f>
        <v>995544624.70000005</v>
      </c>
      <c r="I20" s="44">
        <f>SUM(I4:I19)</f>
        <v>601808424.70000005</v>
      </c>
      <c r="J20" s="40">
        <f t="shared" si="1"/>
        <v>0.19907577716281044</v>
      </c>
      <c r="K20" s="41"/>
      <c r="L20" s="41"/>
      <c r="M20" s="41"/>
    </row>
  </sheetData>
  <mergeCells count="11">
    <mergeCell ref="C10:D10"/>
    <mergeCell ref="C11:C18"/>
    <mergeCell ref="C9:D9"/>
    <mergeCell ref="E2:G2"/>
    <mergeCell ref="H2:L2"/>
    <mergeCell ref="C3:D3"/>
    <mergeCell ref="C4:D4"/>
    <mergeCell ref="C8:D8"/>
    <mergeCell ref="C5:D5"/>
    <mergeCell ref="C7:D7"/>
    <mergeCell ref="C6:D6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031-0198-4FE5-BB10-7AD71E3D4A47}">
  <dimension ref="B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8.25" style="5" customWidth="1"/>
    <col min="24" max="24" width="40.125" style="6" bestFit="1" customWidth="1"/>
  </cols>
  <sheetData>
    <row r="2" spans="2:24">
      <c r="B2" s="7"/>
      <c r="D2" s="7"/>
    </row>
    <row r="3" spans="2:24" s="26" customFormat="1">
      <c r="B3" s="27" t="s">
        <v>0</v>
      </c>
      <c r="C3" s="28" t="s">
        <v>2</v>
      </c>
      <c r="D3" s="27" t="s">
        <v>1</v>
      </c>
      <c r="E3" s="28" t="s">
        <v>46</v>
      </c>
      <c r="F3" s="28" t="s">
        <v>3</v>
      </c>
      <c r="G3" s="28" t="s">
        <v>48</v>
      </c>
      <c r="H3" s="29" t="s">
        <v>49</v>
      </c>
      <c r="I3" s="28" t="s">
        <v>47</v>
      </c>
      <c r="J3" s="28" t="s">
        <v>4</v>
      </c>
      <c r="K3" s="29" t="s">
        <v>5</v>
      </c>
      <c r="L3" s="29" t="s">
        <v>6</v>
      </c>
      <c r="M3" s="30" t="s">
        <v>7</v>
      </c>
      <c r="N3" s="30" t="s">
        <v>8</v>
      </c>
      <c r="O3" s="31" t="s">
        <v>9</v>
      </c>
      <c r="P3" s="12" t="s">
        <v>10</v>
      </c>
      <c r="Q3" s="31" t="s">
        <v>51</v>
      </c>
      <c r="R3" s="31" t="s">
        <v>50</v>
      </c>
      <c r="S3" s="31" t="s">
        <v>52</v>
      </c>
      <c r="T3" s="31" t="s">
        <v>53</v>
      </c>
      <c r="U3" s="31" t="s">
        <v>54</v>
      </c>
      <c r="V3" s="31" t="s">
        <v>11</v>
      </c>
      <c r="W3" s="31" t="s">
        <v>175</v>
      </c>
      <c r="X3" s="33" t="s">
        <v>12</v>
      </c>
    </row>
    <row r="4" spans="2:24" s="14" customFormat="1" ht="33">
      <c r="B4" s="8">
        <v>1</v>
      </c>
      <c r="C4" s="9" t="s">
        <v>14</v>
      </c>
      <c r="D4" s="8" t="s">
        <v>103</v>
      </c>
      <c r="E4" s="9"/>
      <c r="F4" s="9"/>
      <c r="G4" s="48">
        <v>45436</v>
      </c>
      <c r="H4" s="48">
        <v>45804</v>
      </c>
      <c r="I4" s="9" t="s">
        <v>19</v>
      </c>
      <c r="J4" s="48">
        <f>G4</f>
        <v>45436</v>
      </c>
      <c r="K4" s="49">
        <f>H4</f>
        <v>45804</v>
      </c>
      <c r="L4" s="10"/>
      <c r="M4" s="9" t="s">
        <v>20</v>
      </c>
      <c r="N4" s="9"/>
      <c r="O4" s="11">
        <v>245497525</v>
      </c>
      <c r="P4" s="11">
        <v>245497525</v>
      </c>
      <c r="Q4" s="11">
        <v>245497524.99999997</v>
      </c>
      <c r="R4" s="11">
        <v>245497524.99999997</v>
      </c>
      <c r="S4" s="11"/>
      <c r="T4" s="11"/>
      <c r="U4" s="11"/>
      <c r="V4" s="12">
        <f>P4</f>
        <v>245497525</v>
      </c>
      <c r="W4" s="50">
        <f t="shared" ref="W4:W19" si="0">P4-V4</f>
        <v>0</v>
      </c>
      <c r="X4" s="9" t="s">
        <v>148</v>
      </c>
    </row>
    <row r="5" spans="2:24" s="14" customFormat="1" ht="33">
      <c r="B5" s="8">
        <v>2</v>
      </c>
      <c r="C5" s="9" t="s">
        <v>14</v>
      </c>
      <c r="D5" s="8" t="s">
        <v>103</v>
      </c>
      <c r="E5" s="9"/>
      <c r="F5" s="9"/>
      <c r="G5" s="48">
        <v>45548</v>
      </c>
      <c r="H5" s="48">
        <v>45688</v>
      </c>
      <c r="I5" s="9" t="s">
        <v>27</v>
      </c>
      <c r="J5" s="48">
        <f>G5</f>
        <v>45548</v>
      </c>
      <c r="K5" s="49">
        <f>H5</f>
        <v>45688</v>
      </c>
      <c r="L5" s="10" t="s">
        <v>15</v>
      </c>
      <c r="M5" s="9" t="s">
        <v>28</v>
      </c>
      <c r="N5" s="9">
        <v>51</v>
      </c>
      <c r="O5" s="11">
        <v>13983023.1</v>
      </c>
      <c r="P5" s="11">
        <v>13983023.1</v>
      </c>
      <c r="Q5" s="11">
        <v>13983023.1</v>
      </c>
      <c r="R5" s="11">
        <v>13983023.1</v>
      </c>
      <c r="S5" s="11"/>
      <c r="T5" s="11"/>
      <c r="U5" s="11"/>
      <c r="V5" s="12">
        <f t="shared" ref="V5:V19" si="1">P5</f>
        <v>13983023.1</v>
      </c>
      <c r="W5" s="50">
        <f t="shared" si="0"/>
        <v>0</v>
      </c>
      <c r="X5" s="84" t="s">
        <v>154</v>
      </c>
    </row>
    <row r="6" spans="2:24" s="14" customFormat="1">
      <c r="B6" s="8"/>
      <c r="C6" s="9"/>
      <c r="D6" s="8"/>
      <c r="E6" s="9"/>
      <c r="F6" s="9"/>
      <c r="G6" s="8"/>
      <c r="H6" s="10"/>
      <c r="I6" s="9"/>
      <c r="J6" s="8"/>
      <c r="K6" s="10"/>
      <c r="L6" s="10" t="s">
        <v>16</v>
      </c>
      <c r="M6" s="9" t="s">
        <v>29</v>
      </c>
      <c r="N6" s="9">
        <v>51</v>
      </c>
      <c r="O6" s="11">
        <v>10164755.4</v>
      </c>
      <c r="P6" s="11">
        <v>10164755.4</v>
      </c>
      <c r="Q6" s="11">
        <v>10164755.4</v>
      </c>
      <c r="R6" s="11">
        <v>10164755.4</v>
      </c>
      <c r="S6" s="11"/>
      <c r="T6" s="11"/>
      <c r="U6" s="11"/>
      <c r="V6" s="12">
        <f t="shared" si="1"/>
        <v>10164755.4</v>
      </c>
      <c r="W6" s="50">
        <f t="shared" si="0"/>
        <v>0</v>
      </c>
      <c r="X6" s="85"/>
    </row>
    <row r="7" spans="2:24" s="14" customFormat="1">
      <c r="B7" s="8"/>
      <c r="C7" s="9"/>
      <c r="D7" s="8"/>
      <c r="E7" s="9"/>
      <c r="F7" s="9"/>
      <c r="G7" s="8"/>
      <c r="H7" s="10"/>
      <c r="I7" s="9"/>
      <c r="J7" s="8"/>
      <c r="K7" s="10"/>
      <c r="L7" s="10" t="s">
        <v>17</v>
      </c>
      <c r="M7" s="9" t="s">
        <v>30</v>
      </c>
      <c r="N7" s="9">
        <v>51</v>
      </c>
      <c r="O7" s="11">
        <v>9341652.2999999989</v>
      </c>
      <c r="P7" s="11">
        <v>9341652.2999999989</v>
      </c>
      <c r="Q7" s="11">
        <v>9341652.2999999989</v>
      </c>
      <c r="R7" s="11">
        <v>9341652.2999999989</v>
      </c>
      <c r="S7" s="11"/>
      <c r="T7" s="11"/>
      <c r="U7" s="11"/>
      <c r="V7" s="12">
        <f t="shared" si="1"/>
        <v>9341652.2999999989</v>
      </c>
      <c r="W7" s="50">
        <f t="shared" si="0"/>
        <v>0</v>
      </c>
      <c r="X7" s="85"/>
    </row>
    <row r="8" spans="2:24" s="14" customFormat="1">
      <c r="B8" s="8"/>
      <c r="C8" s="9"/>
      <c r="D8" s="8"/>
      <c r="E8" s="9"/>
      <c r="F8" s="9"/>
      <c r="G8" s="8"/>
      <c r="H8" s="10"/>
      <c r="I8" s="9"/>
      <c r="J8" s="8"/>
      <c r="K8" s="10"/>
      <c r="L8" s="10" t="s">
        <v>18</v>
      </c>
      <c r="M8" s="9" t="s">
        <v>31</v>
      </c>
      <c r="N8" s="9">
        <v>51</v>
      </c>
      <c r="O8" s="11">
        <v>7854455.3999999994</v>
      </c>
      <c r="P8" s="11">
        <v>7854455.3999999994</v>
      </c>
      <c r="Q8" s="11">
        <v>7854455.3999999994</v>
      </c>
      <c r="R8" s="11">
        <v>7854455.3999999994</v>
      </c>
      <c r="S8" s="11"/>
      <c r="T8" s="11"/>
      <c r="U8" s="11"/>
      <c r="V8" s="12">
        <f t="shared" si="1"/>
        <v>7854455.3999999994</v>
      </c>
      <c r="W8" s="50">
        <f t="shared" si="0"/>
        <v>0</v>
      </c>
      <c r="X8" s="85"/>
    </row>
    <row r="9" spans="2:24" s="14" customFormat="1">
      <c r="B9" s="8"/>
      <c r="C9" s="9"/>
      <c r="D9" s="8"/>
      <c r="E9" s="9"/>
      <c r="F9" s="9"/>
      <c r="G9" s="8"/>
      <c r="H9" s="10"/>
      <c r="I9" s="9"/>
      <c r="J9" s="8"/>
      <c r="K9" s="10"/>
      <c r="L9" s="10" t="s">
        <v>21</v>
      </c>
      <c r="M9" s="9" t="s">
        <v>32</v>
      </c>
      <c r="N9" s="9">
        <v>51</v>
      </c>
      <c r="O9" s="11">
        <v>9422642.6999999993</v>
      </c>
      <c r="P9" s="11">
        <v>9422642.6999999993</v>
      </c>
      <c r="Q9" s="11">
        <v>9422642.6999999993</v>
      </c>
      <c r="R9" s="11">
        <v>9422642.6999999993</v>
      </c>
      <c r="S9" s="11"/>
      <c r="T9" s="11"/>
      <c r="U9" s="11"/>
      <c r="V9" s="12">
        <f t="shared" si="1"/>
        <v>9422642.6999999993</v>
      </c>
      <c r="W9" s="50">
        <f t="shared" si="0"/>
        <v>0</v>
      </c>
      <c r="X9" s="85"/>
    </row>
    <row r="10" spans="2:24" s="14" customFormat="1">
      <c r="B10" s="8"/>
      <c r="C10" s="9"/>
      <c r="D10" s="8"/>
      <c r="E10" s="9"/>
      <c r="F10" s="9"/>
      <c r="G10" s="8"/>
      <c r="H10" s="10"/>
      <c r="I10" s="9"/>
      <c r="J10" s="8"/>
      <c r="K10" s="10"/>
      <c r="L10" s="10" t="s">
        <v>22</v>
      </c>
      <c r="M10" s="9" t="s">
        <v>33</v>
      </c>
      <c r="N10" s="9">
        <v>51</v>
      </c>
      <c r="O10" s="11">
        <v>4421700</v>
      </c>
      <c r="P10" s="11">
        <v>4421700</v>
      </c>
      <c r="Q10" s="11">
        <v>4421700</v>
      </c>
      <c r="R10" s="11">
        <v>4421700</v>
      </c>
      <c r="S10" s="11"/>
      <c r="T10" s="11"/>
      <c r="U10" s="11"/>
      <c r="V10" s="12">
        <f t="shared" si="1"/>
        <v>4421700</v>
      </c>
      <c r="W10" s="50">
        <f t="shared" si="0"/>
        <v>0</v>
      </c>
      <c r="X10" s="85"/>
    </row>
    <row r="11" spans="2:24" s="14" customFormat="1">
      <c r="B11" s="8"/>
      <c r="C11" s="9"/>
      <c r="D11" s="8"/>
      <c r="E11" s="9"/>
      <c r="F11" s="9"/>
      <c r="G11" s="8"/>
      <c r="H11" s="10"/>
      <c r="I11" s="9"/>
      <c r="J11" s="8"/>
      <c r="K11" s="10"/>
      <c r="L11" s="10" t="s">
        <v>23</v>
      </c>
      <c r="M11" s="9" t="s">
        <v>34</v>
      </c>
      <c r="N11" s="9">
        <v>102</v>
      </c>
      <c r="O11" s="11">
        <v>10373400</v>
      </c>
      <c r="P11" s="11">
        <v>10373400</v>
      </c>
      <c r="Q11" s="11">
        <v>10373400</v>
      </c>
      <c r="R11" s="11">
        <v>10373400</v>
      </c>
      <c r="S11" s="11"/>
      <c r="T11" s="11"/>
      <c r="U11" s="11"/>
      <c r="V11" s="12">
        <f t="shared" si="1"/>
        <v>10373400</v>
      </c>
      <c r="W11" s="50">
        <f t="shared" si="0"/>
        <v>0</v>
      </c>
      <c r="X11" s="85"/>
    </row>
    <row r="12" spans="2:24" s="14" customFormat="1">
      <c r="B12" s="8"/>
      <c r="C12" s="9"/>
      <c r="D12" s="8"/>
      <c r="E12" s="9"/>
      <c r="F12" s="9"/>
      <c r="G12" s="8"/>
      <c r="H12" s="10"/>
      <c r="I12" s="9"/>
      <c r="J12" s="8"/>
      <c r="K12" s="10"/>
      <c r="L12" s="10" t="s">
        <v>24</v>
      </c>
      <c r="M12" s="9" t="s">
        <v>35</v>
      </c>
      <c r="N12" s="9">
        <v>51</v>
      </c>
      <c r="O12" s="11">
        <v>7264302.2999999998</v>
      </c>
      <c r="P12" s="11">
        <v>7264302.2999999998</v>
      </c>
      <c r="Q12" s="11">
        <v>7264302.2999999998</v>
      </c>
      <c r="R12" s="11">
        <v>7264302.2999999998</v>
      </c>
      <c r="S12" s="11"/>
      <c r="T12" s="11"/>
      <c r="U12" s="11"/>
      <c r="V12" s="12">
        <f t="shared" si="1"/>
        <v>7264302.2999999998</v>
      </c>
      <c r="W12" s="50">
        <f t="shared" si="0"/>
        <v>0</v>
      </c>
      <c r="X12" s="85"/>
    </row>
    <row r="13" spans="2:24" s="14" customFormat="1">
      <c r="B13" s="8"/>
      <c r="C13" s="9"/>
      <c r="D13" s="8"/>
      <c r="E13" s="9"/>
      <c r="F13" s="9"/>
      <c r="G13" s="8"/>
      <c r="H13" s="10"/>
      <c r="I13" s="9"/>
      <c r="J13" s="8"/>
      <c r="K13" s="10"/>
      <c r="L13" s="10" t="s">
        <v>25</v>
      </c>
      <c r="M13" s="9" t="s">
        <v>36</v>
      </c>
      <c r="N13" s="9">
        <v>51</v>
      </c>
      <c r="O13" s="11">
        <v>4590000</v>
      </c>
      <c r="P13" s="11">
        <v>4590000</v>
      </c>
      <c r="Q13" s="11">
        <v>4590000</v>
      </c>
      <c r="R13" s="11">
        <v>4590000</v>
      </c>
      <c r="S13" s="11"/>
      <c r="T13" s="11"/>
      <c r="U13" s="11"/>
      <c r="V13" s="12">
        <f t="shared" si="1"/>
        <v>4590000</v>
      </c>
      <c r="W13" s="50">
        <f t="shared" si="0"/>
        <v>0</v>
      </c>
      <c r="X13" s="85"/>
    </row>
    <row r="14" spans="2:24" s="14" customFormat="1">
      <c r="B14" s="8"/>
      <c r="C14" s="9"/>
      <c r="D14" s="8"/>
      <c r="E14" s="9"/>
      <c r="F14" s="9"/>
      <c r="G14" s="8"/>
      <c r="H14" s="10"/>
      <c r="I14" s="9"/>
      <c r="J14" s="8"/>
      <c r="K14" s="10"/>
      <c r="L14" s="10" t="s">
        <v>26</v>
      </c>
      <c r="M14" s="9" t="s">
        <v>37</v>
      </c>
      <c r="N14" s="9">
        <v>51</v>
      </c>
      <c r="O14" s="11">
        <v>7246837.5</v>
      </c>
      <c r="P14" s="11">
        <v>7246837.5</v>
      </c>
      <c r="Q14" s="11">
        <v>7246837.5</v>
      </c>
      <c r="R14" s="11">
        <v>7246837.5</v>
      </c>
      <c r="S14" s="11"/>
      <c r="T14" s="11"/>
      <c r="U14" s="11"/>
      <c r="V14" s="12">
        <f t="shared" si="1"/>
        <v>7246837.5</v>
      </c>
      <c r="W14" s="50">
        <f t="shared" si="0"/>
        <v>0</v>
      </c>
      <c r="X14" s="85"/>
    </row>
    <row r="15" spans="2:24" s="14" customFormat="1">
      <c r="B15" s="8"/>
      <c r="C15" s="9"/>
      <c r="D15" s="8"/>
      <c r="E15" s="9"/>
      <c r="F15" s="9"/>
      <c r="G15" s="8"/>
      <c r="H15" s="10"/>
      <c r="I15" s="9"/>
      <c r="J15" s="8"/>
      <c r="K15" s="10"/>
      <c r="L15" s="10" t="s">
        <v>38</v>
      </c>
      <c r="M15" s="9" t="s">
        <v>39</v>
      </c>
      <c r="N15" s="9">
        <v>51</v>
      </c>
      <c r="O15" s="11">
        <v>6505758.8999999994</v>
      </c>
      <c r="P15" s="11">
        <v>6505758.8999999994</v>
      </c>
      <c r="Q15" s="11">
        <v>6505758.8999999994</v>
      </c>
      <c r="R15" s="11">
        <v>6505758.8999999994</v>
      </c>
      <c r="S15" s="11"/>
      <c r="T15" s="11"/>
      <c r="U15" s="11"/>
      <c r="V15" s="12">
        <f t="shared" si="1"/>
        <v>6505758.8999999994</v>
      </c>
      <c r="W15" s="50">
        <f t="shared" si="0"/>
        <v>0</v>
      </c>
      <c r="X15" s="85"/>
    </row>
    <row r="16" spans="2:24" s="14" customFormat="1">
      <c r="B16" s="8"/>
      <c r="C16" s="9"/>
      <c r="D16" s="8"/>
      <c r="E16" s="9"/>
      <c r="F16" s="9"/>
      <c r="G16" s="8"/>
      <c r="H16" s="10"/>
      <c r="I16" s="9"/>
      <c r="J16" s="8"/>
      <c r="K16" s="10"/>
      <c r="L16" s="10" t="s">
        <v>40</v>
      </c>
      <c r="M16" s="9" t="s">
        <v>41</v>
      </c>
      <c r="N16" s="9">
        <v>51</v>
      </c>
      <c r="O16" s="11">
        <v>14136023.1</v>
      </c>
      <c r="P16" s="11">
        <v>14136023.1</v>
      </c>
      <c r="Q16" s="11">
        <v>14136023.1</v>
      </c>
      <c r="R16" s="11">
        <v>14136023.1</v>
      </c>
      <c r="S16" s="11"/>
      <c r="T16" s="11"/>
      <c r="U16" s="11"/>
      <c r="V16" s="12">
        <f t="shared" si="1"/>
        <v>14136023.1</v>
      </c>
      <c r="W16" s="50">
        <f t="shared" si="0"/>
        <v>0</v>
      </c>
      <c r="X16" s="86"/>
    </row>
    <row r="17" spans="2:24" s="14" customFormat="1" ht="33">
      <c r="B17" s="8">
        <v>3</v>
      </c>
      <c r="C17" s="9" t="s">
        <v>14</v>
      </c>
      <c r="D17" s="8" t="s">
        <v>103</v>
      </c>
      <c r="E17" s="9"/>
      <c r="F17" s="9"/>
      <c r="G17" s="48">
        <v>45558</v>
      </c>
      <c r="H17" s="48">
        <v>45657</v>
      </c>
      <c r="I17" s="9" t="s">
        <v>42</v>
      </c>
      <c r="J17" s="48">
        <f>G17</f>
        <v>45558</v>
      </c>
      <c r="K17" s="49">
        <f t="shared" ref="K17:K19" si="2">H17</f>
        <v>45657</v>
      </c>
      <c r="L17" s="10" t="s">
        <v>16</v>
      </c>
      <c r="M17" s="9" t="s">
        <v>43</v>
      </c>
      <c r="N17" s="9">
        <v>10</v>
      </c>
      <c r="O17" s="11">
        <v>8188800</v>
      </c>
      <c r="P17" s="11">
        <v>8188800</v>
      </c>
      <c r="Q17" s="11">
        <v>8188800</v>
      </c>
      <c r="R17" s="11">
        <v>8188800</v>
      </c>
      <c r="S17" s="11"/>
      <c r="T17" s="11"/>
      <c r="U17" s="11"/>
      <c r="V17" s="12">
        <f t="shared" si="1"/>
        <v>8188800</v>
      </c>
      <c r="W17" s="50">
        <f t="shared" si="0"/>
        <v>0</v>
      </c>
      <c r="X17" s="84" t="s">
        <v>139</v>
      </c>
    </row>
    <row r="18" spans="2:24" s="14" customFormat="1">
      <c r="B18" s="8"/>
      <c r="C18" s="9"/>
      <c r="D18" s="8"/>
      <c r="E18" s="9"/>
      <c r="F18" s="9"/>
      <c r="G18" s="8"/>
      <c r="H18" s="48">
        <v>45777</v>
      </c>
      <c r="I18" s="9"/>
      <c r="J18" s="8"/>
      <c r="K18" s="49">
        <f t="shared" si="2"/>
        <v>45777</v>
      </c>
      <c r="L18" s="10" t="s">
        <v>24</v>
      </c>
      <c r="M18" s="9" t="s">
        <v>44</v>
      </c>
      <c r="N18" s="9">
        <v>10</v>
      </c>
      <c r="O18" s="11">
        <v>12435200</v>
      </c>
      <c r="P18" s="11">
        <v>12435200</v>
      </c>
      <c r="Q18" s="11">
        <v>12435200</v>
      </c>
      <c r="R18" s="11">
        <v>12435200</v>
      </c>
      <c r="S18" s="11"/>
      <c r="T18" s="11"/>
      <c r="U18" s="11"/>
      <c r="V18" s="12">
        <f t="shared" si="1"/>
        <v>12435200</v>
      </c>
      <c r="W18" s="50">
        <f t="shared" si="0"/>
        <v>0</v>
      </c>
      <c r="X18" s="85"/>
    </row>
    <row r="19" spans="2:24" s="14" customFormat="1">
      <c r="B19" s="8"/>
      <c r="C19" s="9"/>
      <c r="D19" s="8"/>
      <c r="E19" s="9"/>
      <c r="F19" s="9"/>
      <c r="G19" s="8"/>
      <c r="H19" s="48">
        <v>45657</v>
      </c>
      <c r="I19" s="9"/>
      <c r="J19" s="8"/>
      <c r="K19" s="49">
        <f t="shared" si="2"/>
        <v>45657</v>
      </c>
      <c r="L19" s="10" t="s">
        <v>38</v>
      </c>
      <c r="M19" s="9" t="s">
        <v>45</v>
      </c>
      <c r="N19" s="9">
        <v>20</v>
      </c>
      <c r="O19" s="11">
        <v>23809600</v>
      </c>
      <c r="P19" s="11">
        <v>23809600</v>
      </c>
      <c r="Q19" s="11">
        <v>23809600</v>
      </c>
      <c r="R19" s="11">
        <v>23809600</v>
      </c>
      <c r="S19" s="11"/>
      <c r="T19" s="11"/>
      <c r="U19" s="34"/>
      <c r="V19" s="12">
        <f t="shared" si="1"/>
        <v>23809600</v>
      </c>
      <c r="W19" s="50">
        <f t="shared" si="0"/>
        <v>0</v>
      </c>
      <c r="X19" s="86"/>
    </row>
    <row r="20" spans="2:24" s="14" customFormat="1">
      <c r="B20" s="8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3"/>
      <c r="Q20" s="13"/>
      <c r="R20" s="13"/>
      <c r="S20" s="13"/>
      <c r="T20" s="13"/>
      <c r="U20" s="13"/>
      <c r="V20" s="19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3"/>
      <c r="Q21" s="13"/>
      <c r="R21" s="13"/>
      <c r="S21" s="13"/>
      <c r="T21" s="13"/>
      <c r="U21" s="13"/>
      <c r="V21" s="19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3"/>
      <c r="Q22" s="13"/>
      <c r="R22" s="13"/>
      <c r="S22" s="13"/>
      <c r="T22" s="13"/>
      <c r="U22" s="13"/>
      <c r="V22" s="19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3"/>
      <c r="Q23" s="13"/>
      <c r="R23" s="13"/>
      <c r="S23" s="13"/>
      <c r="T23" s="13"/>
      <c r="U23" s="13"/>
      <c r="V23" s="19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3"/>
      <c r="Q24" s="13"/>
      <c r="R24" s="13"/>
      <c r="S24" s="13"/>
      <c r="T24" s="13"/>
      <c r="U24" s="13"/>
      <c r="V24" s="19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3"/>
      <c r="Q25" s="13"/>
      <c r="R25" s="13"/>
      <c r="S25" s="13"/>
      <c r="T25" s="13"/>
      <c r="U25" s="13"/>
      <c r="V25" s="19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3"/>
      <c r="Q26" s="13"/>
      <c r="R26" s="13"/>
      <c r="S26" s="13"/>
      <c r="T26" s="13"/>
      <c r="U26" s="13"/>
      <c r="V26" s="19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3"/>
      <c r="Q27" s="13"/>
      <c r="R27" s="13"/>
      <c r="S27" s="13"/>
      <c r="T27" s="13"/>
      <c r="U27" s="13"/>
      <c r="V27" s="19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3"/>
      <c r="Q28" s="13"/>
      <c r="R28" s="13"/>
      <c r="S28" s="13"/>
      <c r="T28" s="13"/>
      <c r="U28" s="13"/>
      <c r="V28" s="19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3"/>
      <c r="Q29" s="13"/>
      <c r="R29" s="13"/>
      <c r="S29" s="13"/>
      <c r="T29" s="13"/>
      <c r="U29" s="13"/>
      <c r="V29" s="19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3"/>
      <c r="Q30" s="13"/>
      <c r="R30" s="13"/>
      <c r="S30" s="13"/>
      <c r="T30" s="13"/>
      <c r="U30" s="13"/>
      <c r="V30" s="19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3"/>
      <c r="Q31" s="13"/>
      <c r="R31" s="13"/>
      <c r="S31" s="13"/>
      <c r="T31" s="13"/>
      <c r="U31" s="13"/>
      <c r="V31" s="19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3"/>
      <c r="Q32" s="13"/>
      <c r="R32" s="13"/>
      <c r="S32" s="13"/>
      <c r="T32" s="13"/>
      <c r="U32" s="13"/>
      <c r="V32" s="19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3"/>
      <c r="Q33" s="13"/>
      <c r="R33" s="13"/>
      <c r="S33" s="13"/>
      <c r="T33" s="13"/>
      <c r="U33" s="13"/>
      <c r="V33" s="19"/>
      <c r="W33" s="19"/>
      <c r="X33" s="17"/>
    </row>
    <row r="34" spans="2:24">
      <c r="B34" s="2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23"/>
      <c r="N34" s="23"/>
      <c r="O34" s="13">
        <f t="shared" ref="O34:V34" si="3">SUM(O4:O33)</f>
        <v>395235675.69999999</v>
      </c>
      <c r="P34" s="13">
        <f t="shared" si="3"/>
        <v>395235675.69999999</v>
      </c>
      <c r="Q34" s="13">
        <f t="shared" si="3"/>
        <v>395235675.69999993</v>
      </c>
      <c r="R34" s="13">
        <f t="shared" si="3"/>
        <v>395235675.69999993</v>
      </c>
      <c r="S34" s="13">
        <f t="shared" si="3"/>
        <v>0</v>
      </c>
      <c r="T34" s="13">
        <f t="shared" si="3"/>
        <v>0</v>
      </c>
      <c r="U34" s="13">
        <f t="shared" si="3"/>
        <v>0</v>
      </c>
      <c r="V34" s="13">
        <f t="shared" si="3"/>
        <v>395235675.69999999</v>
      </c>
      <c r="W34" s="13"/>
      <c r="X34" s="24"/>
    </row>
    <row r="35" spans="2:24">
      <c r="O35" s="20"/>
      <c r="P35" s="20"/>
      <c r="Q35" s="20"/>
      <c r="R35" s="20"/>
      <c r="S35" s="20"/>
      <c r="T35" s="20"/>
      <c r="U35" s="20"/>
    </row>
  </sheetData>
  <mergeCells count="3">
    <mergeCell ref="C34:L34"/>
    <mergeCell ref="X5:X16"/>
    <mergeCell ref="X17:X19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76282-D0AA-4C93-8A73-8178D8B4F152}">
  <dimension ref="A2:X31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43" style="2" bestFit="1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8.25" style="5" customWidth="1"/>
    <col min="24" max="24" width="64.375" style="6" bestFit="1" customWidth="1"/>
    <col min="26" max="26" width="9" customWidth="1"/>
  </cols>
  <sheetData>
    <row r="2" spans="1:24">
      <c r="B2" s="7"/>
      <c r="D2" s="7"/>
    </row>
    <row r="3" spans="1:24" s="26" customFormat="1">
      <c r="B3" s="27" t="s">
        <v>0</v>
      </c>
      <c r="C3" s="28" t="s">
        <v>2</v>
      </c>
      <c r="D3" s="27" t="s">
        <v>1</v>
      </c>
      <c r="E3" s="28" t="s">
        <v>46</v>
      </c>
      <c r="F3" s="28" t="s">
        <v>3</v>
      </c>
      <c r="G3" s="28" t="s">
        <v>48</v>
      </c>
      <c r="H3" s="29" t="s">
        <v>49</v>
      </c>
      <c r="I3" s="28" t="s">
        <v>47</v>
      </c>
      <c r="J3" s="28" t="s">
        <v>4</v>
      </c>
      <c r="K3" s="29" t="s">
        <v>5</v>
      </c>
      <c r="L3" s="29" t="s">
        <v>6</v>
      </c>
      <c r="M3" s="30" t="s">
        <v>7</v>
      </c>
      <c r="N3" s="30" t="s">
        <v>8</v>
      </c>
      <c r="O3" s="31" t="s">
        <v>9</v>
      </c>
      <c r="P3" s="12" t="s">
        <v>10</v>
      </c>
      <c r="Q3" s="31" t="s">
        <v>51</v>
      </c>
      <c r="R3" s="31" t="s">
        <v>50</v>
      </c>
      <c r="S3" s="31" t="s">
        <v>52</v>
      </c>
      <c r="T3" s="31" t="s">
        <v>53</v>
      </c>
      <c r="U3" s="31" t="s">
        <v>54</v>
      </c>
      <c r="V3" s="31" t="s">
        <v>11</v>
      </c>
      <c r="W3" s="31" t="s">
        <v>175</v>
      </c>
      <c r="X3" s="33" t="s">
        <v>12</v>
      </c>
    </row>
    <row r="4" spans="1:24" s="1" customFormat="1" ht="33">
      <c r="B4" s="8">
        <v>1</v>
      </c>
      <c r="C4" s="9" t="s">
        <v>56</v>
      </c>
      <c r="D4" s="8" t="s">
        <v>103</v>
      </c>
      <c r="E4" s="9" t="s">
        <v>112</v>
      </c>
      <c r="F4" s="9"/>
      <c r="G4" s="48">
        <v>45693</v>
      </c>
      <c r="H4" s="49">
        <f>G4+15</f>
        <v>45708</v>
      </c>
      <c r="I4" s="9" t="s">
        <v>96</v>
      </c>
      <c r="J4" s="48">
        <v>45714</v>
      </c>
      <c r="K4" s="48">
        <v>45741</v>
      </c>
      <c r="L4" s="10"/>
      <c r="M4" s="10" t="s">
        <v>105</v>
      </c>
      <c r="N4" s="9"/>
      <c r="O4" s="11">
        <v>9983340</v>
      </c>
      <c r="P4" s="11">
        <v>9983340</v>
      </c>
      <c r="Q4" s="11">
        <v>9983340</v>
      </c>
      <c r="R4" s="11">
        <v>9983340</v>
      </c>
      <c r="S4" s="13"/>
      <c r="T4" s="13"/>
      <c r="U4" s="13"/>
      <c r="V4" s="11">
        <f>R4</f>
        <v>9983340</v>
      </c>
      <c r="W4" s="50">
        <f t="shared" ref="W4:W7" si="0">P4-V4</f>
        <v>0</v>
      </c>
      <c r="X4" s="66" t="s">
        <v>152</v>
      </c>
    </row>
    <row r="5" spans="1:24" s="14" customFormat="1">
      <c r="A5" s="1"/>
      <c r="B5" s="16">
        <v>2</v>
      </c>
      <c r="C5" s="17" t="s">
        <v>56</v>
      </c>
      <c r="D5" s="16" t="s">
        <v>104</v>
      </c>
      <c r="E5" s="17">
        <v>2025041501</v>
      </c>
      <c r="F5" s="17"/>
      <c r="G5" s="47">
        <v>45762</v>
      </c>
      <c r="H5" s="60">
        <f>G5+15</f>
        <v>45777</v>
      </c>
      <c r="I5" s="17"/>
      <c r="J5" s="16"/>
      <c r="K5" s="18"/>
      <c r="L5" s="18"/>
      <c r="M5" s="18" t="s">
        <v>102</v>
      </c>
      <c r="N5" s="17"/>
      <c r="O5" s="13"/>
      <c r="P5" s="13"/>
      <c r="Q5" s="13">
        <v>188500000</v>
      </c>
      <c r="R5" s="13"/>
      <c r="S5" s="15">
        <v>188500000</v>
      </c>
      <c r="T5" s="13"/>
      <c r="U5" s="13"/>
      <c r="V5" s="19"/>
      <c r="W5" s="19"/>
      <c r="X5" s="45" t="s">
        <v>114</v>
      </c>
    </row>
    <row r="6" spans="1:24" s="14" customFormat="1" ht="33">
      <c r="B6" s="8">
        <v>3</v>
      </c>
      <c r="C6" s="9" t="s">
        <v>56</v>
      </c>
      <c r="D6" s="8" t="s">
        <v>103</v>
      </c>
      <c r="E6" s="9" t="s">
        <v>109</v>
      </c>
      <c r="F6" s="9"/>
      <c r="G6" s="48">
        <v>45741</v>
      </c>
      <c r="H6" s="49">
        <f>G6+15</f>
        <v>45756</v>
      </c>
      <c r="I6" s="9" t="s">
        <v>110</v>
      </c>
      <c r="J6" s="48">
        <v>45742</v>
      </c>
      <c r="K6" s="10"/>
      <c r="L6" s="10"/>
      <c r="M6" s="9" t="s">
        <v>108</v>
      </c>
      <c r="N6" s="9"/>
      <c r="O6" s="11">
        <v>9900000</v>
      </c>
      <c r="P6" s="11">
        <v>9900000</v>
      </c>
      <c r="Q6" s="11">
        <v>9900000</v>
      </c>
      <c r="R6" s="11">
        <v>9900000</v>
      </c>
      <c r="S6" s="13"/>
      <c r="T6" s="13"/>
      <c r="U6" s="13"/>
      <c r="V6" s="11">
        <f>R6</f>
        <v>9900000</v>
      </c>
      <c r="W6" s="50">
        <f t="shared" si="0"/>
        <v>0</v>
      </c>
      <c r="X6" s="66" t="s">
        <v>153</v>
      </c>
    </row>
    <row r="7" spans="1:24" s="14" customFormat="1" ht="33">
      <c r="B7" s="8">
        <v>4</v>
      </c>
      <c r="C7" s="9" t="s">
        <v>56</v>
      </c>
      <c r="D7" s="8" t="s">
        <v>103</v>
      </c>
      <c r="E7" s="9" t="s">
        <v>157</v>
      </c>
      <c r="F7" s="9"/>
      <c r="G7" s="48">
        <v>45910</v>
      </c>
      <c r="H7" s="49">
        <v>45930</v>
      </c>
      <c r="I7" s="9"/>
      <c r="J7" s="8"/>
      <c r="K7" s="10"/>
      <c r="L7" s="10"/>
      <c r="M7" s="9" t="s">
        <v>111</v>
      </c>
      <c r="N7" s="9"/>
      <c r="O7" s="11">
        <v>294790700</v>
      </c>
      <c r="P7" s="11">
        <v>0</v>
      </c>
      <c r="Q7" s="11">
        <v>294790700</v>
      </c>
      <c r="R7" s="11">
        <v>294790700</v>
      </c>
      <c r="S7" s="11"/>
      <c r="T7" s="11"/>
      <c r="U7" s="11"/>
      <c r="V7" s="11">
        <v>0</v>
      </c>
      <c r="W7" s="50">
        <f t="shared" si="0"/>
        <v>0</v>
      </c>
      <c r="X7" s="9" t="s">
        <v>163</v>
      </c>
    </row>
    <row r="8" spans="1:24" s="14" customFormat="1">
      <c r="B8" s="16">
        <v>5</v>
      </c>
      <c r="C8" s="45" t="s">
        <v>56</v>
      </c>
      <c r="D8" s="51" t="s">
        <v>116</v>
      </c>
      <c r="E8" s="45" t="s">
        <v>115</v>
      </c>
      <c r="F8" s="45"/>
      <c r="G8" s="54">
        <v>45917</v>
      </c>
      <c r="H8" s="54">
        <v>45930</v>
      </c>
      <c r="I8" s="45"/>
      <c r="J8" s="54"/>
      <c r="K8" s="56"/>
      <c r="L8" s="56"/>
      <c r="M8" s="45" t="s">
        <v>156</v>
      </c>
      <c r="N8" s="17"/>
      <c r="O8" s="11"/>
      <c r="P8" s="11"/>
      <c r="Q8" s="50">
        <v>26842450</v>
      </c>
      <c r="R8" s="50"/>
      <c r="S8" s="50">
        <v>26842450</v>
      </c>
      <c r="T8" s="13"/>
      <c r="U8" s="13"/>
      <c r="V8" s="19"/>
      <c r="W8" s="19"/>
      <c r="X8" s="45" t="s">
        <v>160</v>
      </c>
    </row>
    <row r="9" spans="1:24" s="14" customFormat="1">
      <c r="A9" s="1"/>
      <c r="B9" s="16">
        <v>6</v>
      </c>
      <c r="C9" s="17" t="s">
        <v>56</v>
      </c>
      <c r="D9" s="16" t="s">
        <v>125</v>
      </c>
      <c r="E9" s="17"/>
      <c r="F9" s="17"/>
      <c r="G9" s="16"/>
      <c r="H9" s="18"/>
      <c r="I9" s="17"/>
      <c r="J9" s="16"/>
      <c r="K9" s="18"/>
      <c r="L9" s="18"/>
      <c r="M9" s="70" t="s">
        <v>145</v>
      </c>
      <c r="N9" s="17"/>
      <c r="O9" s="13"/>
      <c r="P9" s="11"/>
      <c r="Q9" s="15">
        <v>97470000</v>
      </c>
      <c r="R9" s="15"/>
      <c r="S9" s="15">
        <v>97470000</v>
      </c>
      <c r="T9" s="13"/>
      <c r="U9" s="13"/>
      <c r="V9" s="19"/>
      <c r="W9" s="19"/>
      <c r="X9" s="70"/>
    </row>
    <row r="10" spans="1:24" s="14" customFormat="1">
      <c r="B10" s="16">
        <v>7</v>
      </c>
      <c r="C10" s="17" t="s">
        <v>56</v>
      </c>
      <c r="D10" s="16" t="s">
        <v>125</v>
      </c>
      <c r="E10" s="17"/>
      <c r="F10" s="17"/>
      <c r="G10" s="16"/>
      <c r="H10" s="18"/>
      <c r="I10" s="17"/>
      <c r="J10" s="16"/>
      <c r="K10" s="18"/>
      <c r="L10" s="18"/>
      <c r="M10" s="70" t="s">
        <v>140</v>
      </c>
      <c r="N10" s="17"/>
      <c r="O10" s="13"/>
      <c r="P10" s="11"/>
      <c r="Q10" s="15">
        <v>695290000</v>
      </c>
      <c r="R10" s="15"/>
      <c r="S10" s="15">
        <v>695290000</v>
      </c>
      <c r="T10" s="13"/>
      <c r="U10" s="13"/>
      <c r="V10" s="19"/>
      <c r="W10" s="19"/>
      <c r="X10" s="70"/>
    </row>
    <row r="11" spans="1:24" s="14" customFormat="1">
      <c r="B11" s="16">
        <v>8</v>
      </c>
      <c r="C11" s="17" t="s">
        <v>56</v>
      </c>
      <c r="D11" s="16" t="s">
        <v>125</v>
      </c>
      <c r="E11" s="17"/>
      <c r="F11" s="17"/>
      <c r="G11" s="16"/>
      <c r="H11" s="18"/>
      <c r="I11" s="17"/>
      <c r="J11" s="16"/>
      <c r="K11" s="18"/>
      <c r="L11" s="18"/>
      <c r="M11" s="70" t="s">
        <v>164</v>
      </c>
      <c r="N11" s="17"/>
      <c r="O11" s="13"/>
      <c r="P11" s="11"/>
      <c r="Q11" s="13"/>
      <c r="R11" s="13"/>
      <c r="S11" s="13"/>
      <c r="T11" s="13"/>
      <c r="U11" s="13"/>
      <c r="V11" s="19"/>
      <c r="W11" s="19"/>
      <c r="X11" s="17"/>
    </row>
    <row r="12" spans="1:24" s="14" customFormat="1">
      <c r="B12" s="16">
        <v>9</v>
      </c>
      <c r="C12" s="17" t="s">
        <v>56</v>
      </c>
      <c r="D12" s="16" t="s">
        <v>125</v>
      </c>
      <c r="E12" s="17"/>
      <c r="F12" s="17"/>
      <c r="G12" s="62">
        <v>45944</v>
      </c>
      <c r="H12" s="18"/>
      <c r="I12" s="17"/>
      <c r="J12" s="16"/>
      <c r="K12" s="18"/>
      <c r="L12" s="18"/>
      <c r="M12" s="70" t="s">
        <v>165</v>
      </c>
      <c r="N12" s="17"/>
      <c r="O12" s="13"/>
      <c r="P12" s="11"/>
      <c r="Q12" s="15">
        <v>64440000</v>
      </c>
      <c r="R12" s="15"/>
      <c r="S12" s="15">
        <v>64440000</v>
      </c>
      <c r="T12" s="13"/>
      <c r="U12" s="13"/>
      <c r="V12" s="19"/>
      <c r="W12" s="19"/>
      <c r="X12" s="17"/>
    </row>
    <row r="13" spans="1:24" s="14" customFormat="1">
      <c r="B13" s="16">
        <v>10</v>
      </c>
      <c r="C13" s="17" t="s">
        <v>56</v>
      </c>
      <c r="D13" s="16" t="s">
        <v>125</v>
      </c>
      <c r="E13" s="17"/>
      <c r="F13" s="17"/>
      <c r="G13" s="16"/>
      <c r="H13" s="18"/>
      <c r="I13" s="17"/>
      <c r="J13" s="16"/>
      <c r="K13" s="18"/>
      <c r="L13" s="18"/>
      <c r="M13" s="70" t="s">
        <v>166</v>
      </c>
      <c r="N13" s="17"/>
      <c r="O13" s="13"/>
      <c r="P13" s="11"/>
      <c r="Q13" s="15">
        <v>31310000</v>
      </c>
      <c r="R13" s="13"/>
      <c r="S13" s="15">
        <v>31310000</v>
      </c>
      <c r="T13" s="13"/>
      <c r="U13" s="13"/>
      <c r="V13" s="19"/>
      <c r="W13" s="19"/>
      <c r="X13" s="51"/>
    </row>
    <row r="14" spans="1:24" s="14" customFormat="1">
      <c r="B14" s="16">
        <v>11</v>
      </c>
      <c r="C14" s="17" t="s">
        <v>56</v>
      </c>
      <c r="D14" s="16" t="s">
        <v>126</v>
      </c>
      <c r="E14" s="68"/>
      <c r="F14" s="68"/>
      <c r="G14" s="62"/>
      <c r="H14" s="69"/>
      <c r="I14" s="68"/>
      <c r="J14" s="67"/>
      <c r="K14" s="69"/>
      <c r="L14" s="69"/>
      <c r="M14" s="70" t="s">
        <v>167</v>
      </c>
      <c r="N14" s="17"/>
      <c r="O14" s="13"/>
      <c r="P14" s="11"/>
      <c r="Q14" s="15">
        <v>13165000</v>
      </c>
      <c r="R14" s="15"/>
      <c r="S14" s="15">
        <v>13165000</v>
      </c>
      <c r="T14" s="13"/>
      <c r="U14" s="13"/>
      <c r="V14" s="19"/>
      <c r="W14" s="19"/>
      <c r="X14" s="51"/>
    </row>
    <row r="15" spans="1:24" s="14" customFormat="1">
      <c r="B15" s="16">
        <v>12</v>
      </c>
      <c r="C15" s="17" t="s">
        <v>56</v>
      </c>
      <c r="D15" s="16" t="s">
        <v>126</v>
      </c>
      <c r="E15" s="68"/>
      <c r="F15" s="68"/>
      <c r="G15" s="62">
        <v>45944</v>
      </c>
      <c r="H15" s="69"/>
      <c r="I15" s="68"/>
      <c r="J15" s="67"/>
      <c r="K15" s="69"/>
      <c r="L15" s="69"/>
      <c r="M15" s="70" t="s">
        <v>127</v>
      </c>
      <c r="N15" s="17"/>
      <c r="O15" s="13"/>
      <c r="P15" s="11"/>
      <c r="Q15" s="15">
        <v>179400000</v>
      </c>
      <c r="R15" s="15"/>
      <c r="S15" s="15">
        <v>179400000</v>
      </c>
      <c r="T15" s="13"/>
      <c r="U15" s="13"/>
      <c r="V15" s="19"/>
      <c r="W15" s="19"/>
      <c r="X15" s="17"/>
    </row>
    <row r="16" spans="1:24" s="14" customFormat="1">
      <c r="B16" s="16">
        <v>13</v>
      </c>
      <c r="C16" s="17" t="s">
        <v>56</v>
      </c>
      <c r="D16" s="16" t="s">
        <v>104</v>
      </c>
      <c r="E16" s="17"/>
      <c r="F16" s="17"/>
      <c r="G16" s="54">
        <v>45972</v>
      </c>
      <c r="H16" s="56"/>
      <c r="I16" s="45"/>
      <c r="J16" s="51"/>
      <c r="K16" s="56"/>
      <c r="L16" s="56"/>
      <c r="M16" s="45" t="s">
        <v>168</v>
      </c>
      <c r="N16" s="17"/>
      <c r="O16" s="13"/>
      <c r="P16" s="11"/>
      <c r="Q16" s="50">
        <v>222920000</v>
      </c>
      <c r="R16" s="50"/>
      <c r="S16" s="50">
        <v>222920000</v>
      </c>
      <c r="T16" s="13"/>
      <c r="U16" s="13"/>
      <c r="V16" s="19"/>
      <c r="W16" s="19"/>
      <c r="X16" s="45" t="s">
        <v>170</v>
      </c>
    </row>
    <row r="17" spans="2:24" s="14" customFormat="1">
      <c r="B17" s="16">
        <v>14</v>
      </c>
      <c r="C17" s="17" t="s">
        <v>56</v>
      </c>
      <c r="D17" s="16" t="s">
        <v>104</v>
      </c>
      <c r="E17" s="17"/>
      <c r="F17" s="17"/>
      <c r="G17" s="54">
        <v>45988</v>
      </c>
      <c r="H17" s="56"/>
      <c r="I17" s="45"/>
      <c r="J17" s="51"/>
      <c r="K17" s="56"/>
      <c r="L17" s="56"/>
      <c r="M17" s="45" t="s">
        <v>169</v>
      </c>
      <c r="N17" s="17"/>
      <c r="O17" s="13"/>
      <c r="P17" s="11"/>
      <c r="Q17" s="50">
        <v>893660000</v>
      </c>
      <c r="R17" s="50"/>
      <c r="S17" s="50">
        <v>893660000</v>
      </c>
      <c r="T17" s="13"/>
      <c r="U17" s="13"/>
      <c r="V17" s="19"/>
      <c r="W17" s="19"/>
      <c r="X17" s="45" t="s">
        <v>170</v>
      </c>
    </row>
    <row r="18" spans="2:24" s="14" customFormat="1">
      <c r="B18" s="16">
        <v>15</v>
      </c>
      <c r="C18" s="17" t="s">
        <v>56</v>
      </c>
      <c r="D18" s="16" t="s">
        <v>116</v>
      </c>
      <c r="E18" s="17"/>
      <c r="F18" s="17"/>
      <c r="G18" s="72"/>
      <c r="H18" s="73"/>
      <c r="I18" s="70"/>
      <c r="J18" s="72"/>
      <c r="K18" s="73"/>
      <c r="L18" s="73"/>
      <c r="M18" s="70" t="s">
        <v>171</v>
      </c>
      <c r="N18" s="17"/>
      <c r="O18" s="13"/>
      <c r="P18" s="11"/>
      <c r="Q18" s="15">
        <v>547428000</v>
      </c>
      <c r="R18" s="13"/>
      <c r="S18" s="15">
        <v>547428000</v>
      </c>
      <c r="T18" s="13"/>
      <c r="U18" s="13"/>
      <c r="V18" s="19"/>
      <c r="W18" s="19"/>
      <c r="X18" s="45" t="s">
        <v>172</v>
      </c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3"/>
      <c r="R19" s="13"/>
      <c r="S19" s="13"/>
      <c r="T19" s="13"/>
      <c r="U19" s="13"/>
      <c r="V19" s="19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3"/>
      <c r="R20" s="13"/>
      <c r="S20" s="13"/>
      <c r="T20" s="13"/>
      <c r="U20" s="13"/>
      <c r="V20" s="19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3"/>
      <c r="R21" s="13"/>
      <c r="S21" s="13"/>
      <c r="T21" s="13"/>
      <c r="U21" s="13"/>
      <c r="V21" s="19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3"/>
      <c r="R22" s="13"/>
      <c r="S22" s="13"/>
      <c r="T22" s="13"/>
      <c r="U22" s="13"/>
      <c r="V22" s="19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3"/>
      <c r="R23" s="13"/>
      <c r="S23" s="13"/>
      <c r="T23" s="13"/>
      <c r="U23" s="13"/>
      <c r="V23" s="19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3"/>
      <c r="R24" s="13"/>
      <c r="S24" s="13"/>
      <c r="T24" s="13"/>
      <c r="U24" s="13"/>
      <c r="V24" s="19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3"/>
      <c r="R25" s="13"/>
      <c r="S25" s="13"/>
      <c r="T25" s="13"/>
      <c r="U25" s="13"/>
      <c r="V25" s="19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3"/>
      <c r="R26" s="13"/>
      <c r="S26" s="13"/>
      <c r="T26" s="13"/>
      <c r="U26" s="13"/>
      <c r="V26" s="19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3"/>
      <c r="R27" s="13"/>
      <c r="S27" s="13"/>
      <c r="T27" s="13"/>
      <c r="U27" s="13"/>
      <c r="V27" s="19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3"/>
      <c r="R28" s="13"/>
      <c r="S28" s="13"/>
      <c r="T28" s="13"/>
      <c r="U28" s="13"/>
      <c r="V28" s="19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3"/>
      <c r="R29" s="13"/>
      <c r="S29" s="13"/>
      <c r="T29" s="13"/>
      <c r="U29" s="13"/>
      <c r="V29" s="19"/>
      <c r="W29" s="19"/>
      <c r="X29" s="17"/>
    </row>
    <row r="30" spans="2:24">
      <c r="B30" s="22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23"/>
      <c r="N30" s="23"/>
      <c r="O30" s="13">
        <f t="shared" ref="O30:V30" si="1">SUM(O4:O29)</f>
        <v>314674040</v>
      </c>
      <c r="P30" s="13">
        <f t="shared" si="1"/>
        <v>19883340</v>
      </c>
      <c r="Q30" s="13">
        <f t="shared" si="1"/>
        <v>3275099490</v>
      </c>
      <c r="R30" s="13">
        <f t="shared" si="1"/>
        <v>314674040</v>
      </c>
      <c r="S30" s="13">
        <f t="shared" si="1"/>
        <v>2960425450</v>
      </c>
      <c r="T30" s="13">
        <f t="shared" si="1"/>
        <v>0</v>
      </c>
      <c r="U30" s="13">
        <f t="shared" si="1"/>
        <v>0</v>
      </c>
      <c r="V30" s="13">
        <f t="shared" si="1"/>
        <v>19883340</v>
      </c>
      <c r="W30" s="13"/>
      <c r="X30" s="24"/>
    </row>
    <row r="31" spans="2:24">
      <c r="O31" s="20"/>
      <c r="P31" s="20"/>
      <c r="Q31" s="20"/>
      <c r="R31" s="20"/>
      <c r="S31" s="20"/>
      <c r="T31" s="20"/>
      <c r="U31" s="20"/>
    </row>
  </sheetData>
  <mergeCells count="1">
    <mergeCell ref="C30:L30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84EF-3AE4-4CE1-88BF-552FF5B3067E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7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8.25" style="5" customWidth="1"/>
    <col min="24" max="24" width="40.125" style="6" bestFit="1" customWidth="1"/>
  </cols>
  <sheetData>
    <row r="2" spans="1:24">
      <c r="B2" s="7"/>
      <c r="D2" s="7"/>
    </row>
    <row r="3" spans="1:24" s="26" customFormat="1">
      <c r="B3" s="27" t="s">
        <v>0</v>
      </c>
      <c r="C3" s="28" t="s">
        <v>2</v>
      </c>
      <c r="D3" s="27" t="s">
        <v>1</v>
      </c>
      <c r="E3" s="28" t="s">
        <v>46</v>
      </c>
      <c r="F3" s="28" t="s">
        <v>3</v>
      </c>
      <c r="G3" s="28" t="s">
        <v>48</v>
      </c>
      <c r="H3" s="29" t="s">
        <v>49</v>
      </c>
      <c r="I3" s="28" t="s">
        <v>47</v>
      </c>
      <c r="J3" s="28" t="s">
        <v>4</v>
      </c>
      <c r="K3" s="29" t="s">
        <v>5</v>
      </c>
      <c r="L3" s="29" t="s">
        <v>6</v>
      </c>
      <c r="M3" s="30" t="s">
        <v>7</v>
      </c>
      <c r="N3" s="30" t="s">
        <v>8</v>
      </c>
      <c r="O3" s="31" t="s">
        <v>9</v>
      </c>
      <c r="P3" s="12" t="s">
        <v>10</v>
      </c>
      <c r="Q3" s="31" t="s">
        <v>51</v>
      </c>
      <c r="R3" s="31" t="s">
        <v>50</v>
      </c>
      <c r="S3" s="31" t="s">
        <v>52</v>
      </c>
      <c r="T3" s="31" t="s">
        <v>53</v>
      </c>
      <c r="U3" s="31" t="s">
        <v>54</v>
      </c>
      <c r="V3" s="31" t="s">
        <v>11</v>
      </c>
      <c r="W3" s="31" t="s">
        <v>175</v>
      </c>
      <c r="X3" s="33" t="s">
        <v>12</v>
      </c>
    </row>
    <row r="4" spans="1:24" s="1" customFormat="1">
      <c r="B4" s="16">
        <v>1</v>
      </c>
      <c r="C4" s="9" t="s">
        <v>72</v>
      </c>
      <c r="D4" s="8" t="s">
        <v>13</v>
      </c>
      <c r="E4" s="9" t="s">
        <v>129</v>
      </c>
      <c r="F4" s="9"/>
      <c r="G4" s="48">
        <v>45793</v>
      </c>
      <c r="H4" s="48">
        <f>G4+15</f>
        <v>45808</v>
      </c>
      <c r="I4" s="65"/>
      <c r="J4" s="48">
        <v>45849</v>
      </c>
      <c r="K4" s="18"/>
      <c r="L4" s="18"/>
      <c r="M4" s="17" t="s">
        <v>142</v>
      </c>
      <c r="N4" s="17"/>
      <c r="O4" s="11">
        <v>36585000</v>
      </c>
      <c r="P4" s="11">
        <v>36585000</v>
      </c>
      <c r="Q4" s="11">
        <v>36585000</v>
      </c>
      <c r="R4" s="11">
        <v>36585000</v>
      </c>
      <c r="S4" s="50"/>
      <c r="T4" s="13"/>
      <c r="U4" s="13"/>
      <c r="V4" s="11">
        <v>36585000</v>
      </c>
      <c r="W4" s="50">
        <f t="shared" ref="W4:W6" si="0">P4-V4</f>
        <v>0</v>
      </c>
      <c r="X4" s="9" t="s">
        <v>151</v>
      </c>
    </row>
    <row r="5" spans="1:24" s="14" customFormat="1">
      <c r="A5" s="1"/>
      <c r="B5" s="16">
        <v>2</v>
      </c>
      <c r="C5" s="9" t="s">
        <v>72</v>
      </c>
      <c r="D5" s="8" t="s">
        <v>13</v>
      </c>
      <c r="E5" s="9" t="s">
        <v>129</v>
      </c>
      <c r="F5" s="9"/>
      <c r="G5" s="48">
        <v>45793</v>
      </c>
      <c r="H5" s="48">
        <f>G5+15</f>
        <v>45808</v>
      </c>
      <c r="I5" s="65"/>
      <c r="J5" s="48">
        <v>45876</v>
      </c>
      <c r="K5" s="18"/>
      <c r="L5" s="18"/>
      <c r="M5" s="17" t="s">
        <v>143</v>
      </c>
      <c r="N5" s="17"/>
      <c r="O5" s="11">
        <v>9090909</v>
      </c>
      <c r="P5" s="11">
        <v>9090909</v>
      </c>
      <c r="Q5" s="11">
        <v>9090909</v>
      </c>
      <c r="R5" s="11">
        <v>9090909</v>
      </c>
      <c r="S5" s="50"/>
      <c r="T5" s="13"/>
      <c r="U5" s="13"/>
      <c r="V5" s="11">
        <v>9090909</v>
      </c>
      <c r="W5" s="50">
        <f t="shared" si="0"/>
        <v>0</v>
      </c>
      <c r="X5" s="9" t="s">
        <v>150</v>
      </c>
    </row>
    <row r="6" spans="1:24" s="14" customFormat="1" ht="33">
      <c r="B6" s="16">
        <v>3</v>
      </c>
      <c r="C6" s="9" t="s">
        <v>72</v>
      </c>
      <c r="D6" s="8" t="s">
        <v>13</v>
      </c>
      <c r="E6" s="9" t="s">
        <v>129</v>
      </c>
      <c r="F6" s="9"/>
      <c r="G6" s="48">
        <v>45793</v>
      </c>
      <c r="H6" s="48">
        <f>G6+15</f>
        <v>45808</v>
      </c>
      <c r="I6" s="65"/>
      <c r="J6" s="48">
        <v>45840</v>
      </c>
      <c r="K6" s="18"/>
      <c r="L6" s="18"/>
      <c r="M6" s="17" t="s">
        <v>144</v>
      </c>
      <c r="N6" s="17"/>
      <c r="O6" s="11">
        <v>26161000</v>
      </c>
      <c r="P6" s="11">
        <v>7848300</v>
      </c>
      <c r="Q6" s="11">
        <v>26161000</v>
      </c>
      <c r="R6" s="11">
        <v>26161000</v>
      </c>
      <c r="S6" s="50"/>
      <c r="T6" s="13"/>
      <c r="U6" s="13"/>
      <c r="V6" s="12">
        <f>P6</f>
        <v>7848300</v>
      </c>
      <c r="W6" s="50">
        <f t="shared" si="0"/>
        <v>0</v>
      </c>
      <c r="X6" s="45" t="s">
        <v>149</v>
      </c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13"/>
      <c r="R7" s="13"/>
      <c r="S7" s="13"/>
      <c r="T7" s="13"/>
      <c r="U7" s="13"/>
      <c r="V7" s="19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13"/>
      <c r="R8" s="13"/>
      <c r="S8" s="13"/>
      <c r="T8" s="13"/>
      <c r="U8" s="13"/>
      <c r="V8" s="19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13"/>
      <c r="R9" s="13"/>
      <c r="S9" s="13"/>
      <c r="T9" s="13"/>
      <c r="U9" s="13"/>
      <c r="V9" s="19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3"/>
      <c r="R10" s="13"/>
      <c r="S10" s="13"/>
      <c r="T10" s="13"/>
      <c r="U10" s="13"/>
      <c r="V10" s="19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3"/>
      <c r="R11" s="13"/>
      <c r="S11" s="13"/>
      <c r="T11" s="13"/>
      <c r="U11" s="13"/>
      <c r="V11" s="19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3"/>
      <c r="R12" s="13"/>
      <c r="S12" s="13"/>
      <c r="T12" s="13"/>
      <c r="U12" s="13"/>
      <c r="V12" s="19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3"/>
      <c r="R13" s="13"/>
      <c r="S13" s="13"/>
      <c r="T13" s="13"/>
      <c r="U13" s="13"/>
      <c r="V13" s="19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3"/>
      <c r="R14" s="13"/>
      <c r="S14" s="13"/>
      <c r="T14" s="13"/>
      <c r="U14" s="13"/>
      <c r="V14" s="19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3"/>
      <c r="R15" s="13"/>
      <c r="S15" s="13"/>
      <c r="T15" s="13"/>
      <c r="U15" s="13"/>
      <c r="V15" s="19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3"/>
      <c r="R16" s="13"/>
      <c r="S16" s="13"/>
      <c r="T16" s="13"/>
      <c r="U16" s="13"/>
      <c r="V16" s="19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3"/>
      <c r="R17" s="13"/>
      <c r="S17" s="13"/>
      <c r="T17" s="13"/>
      <c r="U17" s="13"/>
      <c r="V17" s="19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3"/>
      <c r="R18" s="13"/>
      <c r="S18" s="13"/>
      <c r="T18" s="13"/>
      <c r="U18" s="13"/>
      <c r="V18" s="19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3"/>
      <c r="R19" s="13"/>
      <c r="S19" s="13"/>
      <c r="T19" s="13"/>
      <c r="U19" s="13"/>
      <c r="V19" s="19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3"/>
      <c r="R20" s="13"/>
      <c r="S20" s="13"/>
      <c r="T20" s="13"/>
      <c r="U20" s="13"/>
      <c r="V20" s="19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3"/>
      <c r="R21" s="13"/>
      <c r="S21" s="13"/>
      <c r="T21" s="13"/>
      <c r="U21" s="13"/>
      <c r="V21" s="19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3"/>
      <c r="R22" s="13"/>
      <c r="S22" s="13"/>
      <c r="T22" s="13"/>
      <c r="U22" s="13"/>
      <c r="V22" s="19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3"/>
      <c r="R23" s="13"/>
      <c r="S23" s="13"/>
      <c r="T23" s="13"/>
      <c r="U23" s="13"/>
      <c r="V23" s="19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3"/>
      <c r="R24" s="13"/>
      <c r="S24" s="13"/>
      <c r="T24" s="13"/>
      <c r="U24" s="13"/>
      <c r="V24" s="19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3"/>
      <c r="R25" s="13"/>
      <c r="S25" s="13"/>
      <c r="T25" s="13"/>
      <c r="U25" s="13"/>
      <c r="V25" s="19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3"/>
      <c r="R26" s="13"/>
      <c r="S26" s="13"/>
      <c r="T26" s="13"/>
      <c r="U26" s="13"/>
      <c r="V26" s="19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3"/>
      <c r="R27" s="13"/>
      <c r="S27" s="13"/>
      <c r="T27" s="13"/>
      <c r="U27" s="13"/>
      <c r="V27" s="19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3"/>
      <c r="R28" s="13"/>
      <c r="S28" s="13"/>
      <c r="T28" s="13"/>
      <c r="U28" s="13"/>
      <c r="V28" s="19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3"/>
      <c r="R29" s="13"/>
      <c r="S29" s="13"/>
      <c r="T29" s="13"/>
      <c r="U29" s="13"/>
      <c r="V29" s="19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3"/>
      <c r="R30" s="13"/>
      <c r="S30" s="13"/>
      <c r="T30" s="13"/>
      <c r="U30" s="13"/>
      <c r="V30" s="19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3"/>
      <c r="R31" s="13"/>
      <c r="S31" s="13"/>
      <c r="T31" s="13"/>
      <c r="U31" s="13"/>
      <c r="V31" s="19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3"/>
      <c r="R32" s="13"/>
      <c r="S32" s="13"/>
      <c r="T32" s="13"/>
      <c r="U32" s="13"/>
      <c r="V32" s="19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3"/>
      <c r="R33" s="13"/>
      <c r="S33" s="13"/>
      <c r="T33" s="13"/>
      <c r="U33" s="13"/>
      <c r="V33" s="19"/>
      <c r="W33" s="19"/>
      <c r="X33" s="17"/>
    </row>
    <row r="34" spans="2:24">
      <c r="B34" s="2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23"/>
      <c r="N34" s="23"/>
      <c r="O34" s="13">
        <f t="shared" ref="O34:V34" si="1">SUM(O4:O33)</f>
        <v>71836909</v>
      </c>
      <c r="P34" s="13">
        <f t="shared" si="1"/>
        <v>53524209</v>
      </c>
      <c r="Q34" s="13">
        <f t="shared" si="1"/>
        <v>71836909</v>
      </c>
      <c r="R34" s="13">
        <f t="shared" si="1"/>
        <v>71836909</v>
      </c>
      <c r="S34" s="13">
        <f t="shared" si="1"/>
        <v>0</v>
      </c>
      <c r="T34" s="13">
        <f t="shared" si="1"/>
        <v>0</v>
      </c>
      <c r="U34" s="13">
        <f t="shared" si="1"/>
        <v>0</v>
      </c>
      <c r="V34" s="13">
        <f t="shared" si="1"/>
        <v>53524209</v>
      </c>
      <c r="W34" s="13"/>
      <c r="X34" s="24"/>
    </row>
    <row r="35" spans="2:24">
      <c r="O35" s="20"/>
      <c r="P35" s="20"/>
      <c r="Q35" s="20"/>
      <c r="R35" s="20"/>
      <c r="S35" s="20"/>
      <c r="T35" s="20"/>
      <c r="U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D1CD-7280-4CBB-BB2E-DD6406D78B56}">
  <dimension ref="A2:X35"/>
  <sheetViews>
    <sheetView zoomScale="70" zoomScaleNormal="70" workbookViewId="0">
      <pane xSplit="14" ySplit="3" topLeftCell="P4" activePane="bottomRight" state="frozen"/>
      <selection pane="topRight" activeCell="L1" sqref="L1"/>
      <selection pane="bottomLeft" activeCell="A4" sqref="A4"/>
      <selection pane="bottomRight" activeCell="W3" sqref="W3:W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8.25" style="5" customWidth="1"/>
    <col min="24" max="24" width="40.125" style="6" bestFit="1" customWidth="1"/>
  </cols>
  <sheetData>
    <row r="2" spans="1:24">
      <c r="B2" s="7"/>
      <c r="D2" s="7"/>
    </row>
    <row r="3" spans="1:24" s="26" customFormat="1">
      <c r="B3" s="27" t="s">
        <v>0</v>
      </c>
      <c r="C3" s="28" t="s">
        <v>2</v>
      </c>
      <c r="D3" s="27" t="s">
        <v>1</v>
      </c>
      <c r="E3" s="28" t="s">
        <v>46</v>
      </c>
      <c r="F3" s="28" t="s">
        <v>3</v>
      </c>
      <c r="G3" s="28" t="s">
        <v>48</v>
      </c>
      <c r="H3" s="29" t="s">
        <v>49</v>
      </c>
      <c r="I3" s="28" t="s">
        <v>47</v>
      </c>
      <c r="J3" s="28" t="s">
        <v>4</v>
      </c>
      <c r="K3" s="29" t="s">
        <v>5</v>
      </c>
      <c r="L3" s="29" t="s">
        <v>6</v>
      </c>
      <c r="M3" s="30" t="s">
        <v>7</v>
      </c>
      <c r="N3" s="30" t="s">
        <v>8</v>
      </c>
      <c r="O3" s="31" t="s">
        <v>9</v>
      </c>
      <c r="P3" s="12" t="s">
        <v>10</v>
      </c>
      <c r="Q3" s="31" t="s">
        <v>51</v>
      </c>
      <c r="R3" s="31" t="s">
        <v>50</v>
      </c>
      <c r="S3" s="31" t="s">
        <v>52</v>
      </c>
      <c r="T3" s="31" t="s">
        <v>53</v>
      </c>
      <c r="U3" s="31" t="s">
        <v>54</v>
      </c>
      <c r="V3" s="31" t="s">
        <v>11</v>
      </c>
      <c r="W3" s="31" t="s">
        <v>175</v>
      </c>
      <c r="X3" s="33" t="s">
        <v>12</v>
      </c>
    </row>
    <row r="4" spans="1:24" s="1" customFormat="1" ht="49.5">
      <c r="B4" s="8">
        <v>1</v>
      </c>
      <c r="C4" s="9" t="s">
        <v>62</v>
      </c>
      <c r="D4" s="8" t="s">
        <v>13</v>
      </c>
      <c r="E4" s="9"/>
      <c r="F4" s="9"/>
      <c r="G4" s="48">
        <v>45454</v>
      </c>
      <c r="H4" s="48">
        <v>45747</v>
      </c>
      <c r="I4" s="9" t="s">
        <v>63</v>
      </c>
      <c r="J4" s="48">
        <f>G4</f>
        <v>45454</v>
      </c>
      <c r="K4" s="48">
        <f t="shared" ref="K4:K5" si="0">H4</f>
        <v>45747</v>
      </c>
      <c r="L4" s="10"/>
      <c r="M4" s="10" t="s">
        <v>64</v>
      </c>
      <c r="N4" s="9"/>
      <c r="O4" s="50">
        <v>81000000</v>
      </c>
      <c r="P4" s="50">
        <v>81000000</v>
      </c>
      <c r="Q4" s="11">
        <v>189000000</v>
      </c>
      <c r="R4" s="11">
        <v>189000000</v>
      </c>
      <c r="S4" s="13"/>
      <c r="T4" s="13"/>
      <c r="U4" s="13"/>
      <c r="V4" s="11">
        <v>81000000</v>
      </c>
      <c r="W4" s="50">
        <f t="shared" ref="W4:W5" si="1">P4-V4</f>
        <v>0</v>
      </c>
      <c r="X4" s="9" t="s">
        <v>174</v>
      </c>
    </row>
    <row r="5" spans="1:24" s="14" customFormat="1" ht="33">
      <c r="A5" s="1"/>
      <c r="B5" s="8">
        <v>2</v>
      </c>
      <c r="C5" s="9" t="s">
        <v>61</v>
      </c>
      <c r="D5" s="8" t="s">
        <v>13</v>
      </c>
      <c r="E5" s="9">
        <v>202406241</v>
      </c>
      <c r="F5" s="9"/>
      <c r="G5" s="48">
        <v>45533</v>
      </c>
      <c r="H5" s="48">
        <v>45838</v>
      </c>
      <c r="I5" s="9" t="s">
        <v>100</v>
      </c>
      <c r="J5" s="48">
        <f t="shared" ref="J5" si="2">G5</f>
        <v>45533</v>
      </c>
      <c r="K5" s="48">
        <f t="shared" si="0"/>
        <v>45838</v>
      </c>
      <c r="L5" s="10"/>
      <c r="M5" s="9" t="s">
        <v>65</v>
      </c>
      <c r="N5" s="9"/>
      <c r="O5" s="11">
        <v>98000000</v>
      </c>
      <c r="P5" s="11">
        <v>42000000</v>
      </c>
      <c r="Q5" s="11">
        <v>98000000</v>
      </c>
      <c r="R5" s="11">
        <v>98000000</v>
      </c>
      <c r="S5" s="11"/>
      <c r="T5" s="11"/>
      <c r="U5" s="11"/>
      <c r="V5" s="11">
        <f>42000000</f>
        <v>42000000</v>
      </c>
      <c r="W5" s="50">
        <f t="shared" si="1"/>
        <v>0</v>
      </c>
      <c r="X5" s="8" t="s">
        <v>141</v>
      </c>
    </row>
    <row r="6" spans="1:24" s="14" customFormat="1" ht="33">
      <c r="B6" s="16">
        <v>3</v>
      </c>
      <c r="C6" s="17" t="s">
        <v>62</v>
      </c>
      <c r="D6" s="16" t="s">
        <v>13</v>
      </c>
      <c r="E6" s="45">
        <v>2025022701</v>
      </c>
      <c r="F6" s="17"/>
      <c r="G6" s="47">
        <v>45715</v>
      </c>
      <c r="H6" s="47">
        <f>G6+15</f>
        <v>45730</v>
      </c>
      <c r="I6" s="17"/>
      <c r="J6" s="47"/>
      <c r="K6" s="47"/>
      <c r="L6" s="18"/>
      <c r="M6" s="17" t="s">
        <v>107</v>
      </c>
      <c r="N6" s="17"/>
      <c r="O6" s="13"/>
      <c r="P6" s="11"/>
      <c r="Q6" s="13">
        <v>70000000</v>
      </c>
      <c r="R6" s="50"/>
      <c r="S6" s="50">
        <v>40000000</v>
      </c>
      <c r="T6" s="13"/>
      <c r="U6" s="13"/>
      <c r="V6" s="19"/>
      <c r="W6" s="19"/>
      <c r="X6" s="45" t="s">
        <v>128</v>
      </c>
    </row>
    <row r="7" spans="1:24" s="14" customFormat="1" ht="33">
      <c r="B7" s="16">
        <v>4</v>
      </c>
      <c r="C7" s="17" t="s">
        <v>62</v>
      </c>
      <c r="D7" s="16" t="s">
        <v>13</v>
      </c>
      <c r="E7" s="45" t="s">
        <v>92</v>
      </c>
      <c r="F7" s="17"/>
      <c r="G7" s="47">
        <v>45698</v>
      </c>
      <c r="H7" s="47">
        <f>G7+15</f>
        <v>45713</v>
      </c>
      <c r="I7" s="17"/>
      <c r="J7" s="47"/>
      <c r="K7" s="47"/>
      <c r="L7" s="18"/>
      <c r="M7" s="17" t="s">
        <v>86</v>
      </c>
      <c r="N7" s="17"/>
      <c r="O7" s="13"/>
      <c r="P7" s="11"/>
      <c r="Q7" s="13">
        <v>210731048</v>
      </c>
      <c r="R7" s="50"/>
      <c r="S7" s="50">
        <v>183623467</v>
      </c>
      <c r="T7" s="13"/>
      <c r="U7" s="13"/>
      <c r="V7" s="19"/>
      <c r="W7" s="19"/>
      <c r="X7" s="45" t="s">
        <v>91</v>
      </c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13"/>
      <c r="R8" s="13"/>
      <c r="S8" s="13"/>
      <c r="T8" s="13"/>
      <c r="U8" s="13"/>
      <c r="V8" s="19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13"/>
      <c r="R9" s="13"/>
      <c r="S9" s="13"/>
      <c r="T9" s="13"/>
      <c r="U9" s="13"/>
      <c r="V9" s="19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3"/>
      <c r="R10" s="13"/>
      <c r="S10" s="13"/>
      <c r="T10" s="13"/>
      <c r="U10" s="13"/>
      <c r="V10" s="19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3"/>
      <c r="R11" s="13"/>
      <c r="S11" s="13"/>
      <c r="T11" s="13"/>
      <c r="U11" s="13"/>
      <c r="V11" s="19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3"/>
      <c r="R12" s="13"/>
      <c r="S12" s="13"/>
      <c r="T12" s="13"/>
      <c r="U12" s="13"/>
      <c r="V12" s="19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3"/>
      <c r="R13" s="13"/>
      <c r="S13" s="13"/>
      <c r="T13" s="13"/>
      <c r="U13" s="13"/>
      <c r="V13" s="19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3"/>
      <c r="R14" s="13"/>
      <c r="S14" s="13"/>
      <c r="T14" s="13"/>
      <c r="U14" s="13"/>
      <c r="V14" s="19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3"/>
      <c r="R15" s="13"/>
      <c r="S15" s="13"/>
      <c r="T15" s="13"/>
      <c r="U15" s="13"/>
      <c r="V15" s="19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3"/>
      <c r="R16" s="13"/>
      <c r="S16" s="13"/>
      <c r="T16" s="13"/>
      <c r="U16" s="13"/>
      <c r="V16" s="19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3"/>
      <c r="R17" s="13"/>
      <c r="S17" s="13"/>
      <c r="T17" s="13"/>
      <c r="U17" s="13"/>
      <c r="V17" s="19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3"/>
      <c r="R18" s="13"/>
      <c r="S18" s="13"/>
      <c r="T18" s="13"/>
      <c r="U18" s="13"/>
      <c r="V18" s="19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3"/>
      <c r="R19" s="13"/>
      <c r="S19" s="13"/>
      <c r="T19" s="13"/>
      <c r="U19" s="13"/>
      <c r="V19" s="19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3"/>
      <c r="R20" s="13"/>
      <c r="S20" s="13"/>
      <c r="T20" s="13"/>
      <c r="U20" s="13"/>
      <c r="V20" s="19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3"/>
      <c r="R21" s="13"/>
      <c r="S21" s="13"/>
      <c r="T21" s="13"/>
      <c r="U21" s="13"/>
      <c r="V21" s="19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3"/>
      <c r="R22" s="13"/>
      <c r="S22" s="13"/>
      <c r="T22" s="13"/>
      <c r="U22" s="13"/>
      <c r="V22" s="19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3"/>
      <c r="R23" s="13"/>
      <c r="S23" s="13"/>
      <c r="T23" s="13"/>
      <c r="U23" s="13"/>
      <c r="V23" s="19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3"/>
      <c r="R24" s="13"/>
      <c r="S24" s="13"/>
      <c r="T24" s="13"/>
      <c r="U24" s="13"/>
      <c r="V24" s="19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3"/>
      <c r="R25" s="13"/>
      <c r="S25" s="13"/>
      <c r="T25" s="13"/>
      <c r="U25" s="13"/>
      <c r="V25" s="19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3"/>
      <c r="R26" s="13"/>
      <c r="S26" s="13"/>
      <c r="T26" s="13"/>
      <c r="U26" s="13"/>
      <c r="V26" s="19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3"/>
      <c r="R27" s="13"/>
      <c r="S27" s="13"/>
      <c r="T27" s="13"/>
      <c r="U27" s="13"/>
      <c r="V27" s="19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3"/>
      <c r="R28" s="13"/>
      <c r="S28" s="13"/>
      <c r="T28" s="13"/>
      <c r="U28" s="13"/>
      <c r="V28" s="19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3"/>
      <c r="R29" s="13"/>
      <c r="S29" s="13"/>
      <c r="T29" s="13"/>
      <c r="U29" s="13"/>
      <c r="V29" s="19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3"/>
      <c r="R30" s="13"/>
      <c r="S30" s="13"/>
      <c r="T30" s="13"/>
      <c r="U30" s="13"/>
      <c r="V30" s="19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3"/>
      <c r="R31" s="13"/>
      <c r="S31" s="13"/>
      <c r="T31" s="13"/>
      <c r="U31" s="13"/>
      <c r="V31" s="19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3"/>
      <c r="R32" s="13"/>
      <c r="S32" s="13"/>
      <c r="T32" s="13"/>
      <c r="U32" s="13"/>
      <c r="V32" s="19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3"/>
      <c r="R33" s="13"/>
      <c r="S33" s="13"/>
      <c r="T33" s="13"/>
      <c r="U33" s="13"/>
      <c r="V33" s="19"/>
      <c r="W33" s="19"/>
      <c r="X33" s="17"/>
    </row>
    <row r="34" spans="2:24">
      <c r="B34" s="2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23"/>
      <c r="N34" s="23"/>
      <c r="O34" s="13">
        <f t="shared" ref="O34:V34" si="3">SUM(O4:O33)</f>
        <v>179000000</v>
      </c>
      <c r="P34" s="13">
        <f t="shared" si="3"/>
        <v>123000000</v>
      </c>
      <c r="Q34" s="13">
        <f t="shared" si="3"/>
        <v>567731048</v>
      </c>
      <c r="R34" s="13">
        <f t="shared" si="3"/>
        <v>287000000</v>
      </c>
      <c r="S34" s="13">
        <f t="shared" si="3"/>
        <v>223623467</v>
      </c>
      <c r="T34" s="13">
        <f t="shared" si="3"/>
        <v>0</v>
      </c>
      <c r="U34" s="13">
        <f t="shared" si="3"/>
        <v>0</v>
      </c>
      <c r="V34" s="13">
        <f t="shared" si="3"/>
        <v>123000000</v>
      </c>
      <c r="W34" s="13"/>
      <c r="X34" s="24"/>
    </row>
    <row r="35" spans="2:24">
      <c r="O35" s="20"/>
      <c r="P35" s="20"/>
      <c r="Q35" s="20"/>
      <c r="R35" s="20"/>
      <c r="S35" s="20"/>
      <c r="T35" s="20"/>
      <c r="U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0D90A-F32B-46E4-964B-4A28B5D6ADA0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W3" sqref="W3:W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8" style="2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8.25" style="5" customWidth="1"/>
    <col min="24" max="24" width="54.375" style="6" bestFit="1" customWidth="1"/>
  </cols>
  <sheetData>
    <row r="2" spans="1:24">
      <c r="B2" s="7"/>
      <c r="D2" s="7"/>
    </row>
    <row r="3" spans="1:24" s="26" customFormat="1">
      <c r="B3" s="27" t="s">
        <v>0</v>
      </c>
      <c r="C3" s="28" t="s">
        <v>2</v>
      </c>
      <c r="D3" s="27" t="s">
        <v>1</v>
      </c>
      <c r="E3" s="28" t="s">
        <v>46</v>
      </c>
      <c r="F3" s="28" t="s">
        <v>3</v>
      </c>
      <c r="G3" s="28" t="s">
        <v>48</v>
      </c>
      <c r="H3" s="29" t="s">
        <v>49</v>
      </c>
      <c r="I3" s="28" t="s">
        <v>47</v>
      </c>
      <c r="J3" s="28" t="s">
        <v>4</v>
      </c>
      <c r="K3" s="29" t="s">
        <v>5</v>
      </c>
      <c r="L3" s="29" t="s">
        <v>6</v>
      </c>
      <c r="M3" s="30" t="s">
        <v>7</v>
      </c>
      <c r="N3" s="30" t="s">
        <v>8</v>
      </c>
      <c r="O3" s="31" t="s">
        <v>9</v>
      </c>
      <c r="P3" s="12" t="s">
        <v>10</v>
      </c>
      <c r="Q3" s="31" t="s">
        <v>51</v>
      </c>
      <c r="R3" s="31" t="s">
        <v>50</v>
      </c>
      <c r="S3" s="31" t="s">
        <v>52</v>
      </c>
      <c r="T3" s="31" t="s">
        <v>53</v>
      </c>
      <c r="U3" s="31" t="s">
        <v>54</v>
      </c>
      <c r="V3" s="31" t="s">
        <v>11</v>
      </c>
      <c r="W3" s="31" t="s">
        <v>175</v>
      </c>
      <c r="X3" s="33" t="s">
        <v>12</v>
      </c>
    </row>
    <row r="4" spans="1:24" s="1" customFormat="1">
      <c r="B4" s="16">
        <v>1</v>
      </c>
      <c r="C4" s="17" t="s">
        <v>93</v>
      </c>
      <c r="D4" s="16" t="s">
        <v>13</v>
      </c>
      <c r="E4" s="17">
        <v>2024121901</v>
      </c>
      <c r="F4" s="17"/>
      <c r="G4" s="47">
        <v>45650</v>
      </c>
      <c r="H4" s="47">
        <f>G4+15</f>
        <v>45665</v>
      </c>
      <c r="I4" s="17"/>
      <c r="J4" s="47"/>
      <c r="K4" s="47"/>
      <c r="L4" s="18"/>
      <c r="M4" s="18" t="s">
        <v>87</v>
      </c>
      <c r="N4" s="17"/>
      <c r="O4" s="13"/>
      <c r="P4" s="11"/>
      <c r="Q4" s="13">
        <v>182000000</v>
      </c>
      <c r="R4" s="13"/>
      <c r="S4" s="13">
        <v>182000000</v>
      </c>
      <c r="T4" s="13"/>
      <c r="U4" s="13"/>
      <c r="V4" s="19"/>
      <c r="W4" s="50">
        <f t="shared" ref="W4:W8" si="0">P4-V4</f>
        <v>0</v>
      </c>
      <c r="X4" s="21"/>
    </row>
    <row r="5" spans="1:24" s="14" customFormat="1">
      <c r="A5" s="1"/>
      <c r="B5" s="8"/>
      <c r="C5" s="17" t="s">
        <v>93</v>
      </c>
      <c r="D5" s="8"/>
      <c r="E5" s="17" t="s">
        <v>94</v>
      </c>
      <c r="F5" s="9"/>
      <c r="G5" s="47">
        <v>45695</v>
      </c>
      <c r="H5" s="47">
        <f>G5+15</f>
        <v>45710</v>
      </c>
      <c r="I5" s="9"/>
      <c r="J5" s="8"/>
      <c r="K5" s="10"/>
      <c r="L5" s="10"/>
      <c r="M5" s="17" t="s">
        <v>95</v>
      </c>
      <c r="N5" s="9"/>
      <c r="O5" s="11"/>
      <c r="P5" s="11"/>
      <c r="Q5" s="13">
        <v>3000000</v>
      </c>
      <c r="R5" s="13"/>
      <c r="S5" s="13">
        <v>3000000</v>
      </c>
      <c r="T5" s="11"/>
      <c r="U5" s="11"/>
      <c r="V5" s="11"/>
      <c r="W5" s="50">
        <f t="shared" si="0"/>
        <v>0</v>
      </c>
      <c r="X5" s="17"/>
    </row>
    <row r="6" spans="1:24" s="14" customFormat="1">
      <c r="B6" s="8"/>
      <c r="C6" s="17" t="s">
        <v>93</v>
      </c>
      <c r="D6" s="8"/>
      <c r="E6" s="17" t="s">
        <v>146</v>
      </c>
      <c r="F6" s="9"/>
      <c r="G6" s="47">
        <v>45888</v>
      </c>
      <c r="H6" s="47">
        <v>45900</v>
      </c>
      <c r="I6" s="9"/>
      <c r="J6" s="8"/>
      <c r="K6" s="10"/>
      <c r="L6" s="10"/>
      <c r="M6" s="17" t="s">
        <v>147</v>
      </c>
      <c r="N6" s="9"/>
      <c r="O6" s="11"/>
      <c r="P6" s="11"/>
      <c r="Q6" s="13">
        <v>72080000</v>
      </c>
      <c r="R6" s="13"/>
      <c r="S6" s="13">
        <v>72080000</v>
      </c>
      <c r="T6" s="11"/>
      <c r="U6" s="11"/>
      <c r="V6" s="11"/>
      <c r="W6" s="50">
        <f t="shared" si="0"/>
        <v>0</v>
      </c>
      <c r="X6" s="45" t="s">
        <v>155</v>
      </c>
    </row>
    <row r="7" spans="1:24" s="14" customFormat="1">
      <c r="B7" s="51">
        <v>2</v>
      </c>
      <c r="C7" s="45" t="s">
        <v>88</v>
      </c>
      <c r="D7" s="51" t="s">
        <v>13</v>
      </c>
      <c r="E7" s="45">
        <v>202501071</v>
      </c>
      <c r="F7" s="45"/>
      <c r="G7" s="54">
        <v>45664</v>
      </c>
      <c r="H7" s="55">
        <f>G7+15</f>
        <v>45679</v>
      </c>
      <c r="I7" s="45"/>
      <c r="J7" s="54">
        <f>G7</f>
        <v>45664</v>
      </c>
      <c r="K7" s="55">
        <f>G7</f>
        <v>45664</v>
      </c>
      <c r="L7" s="56"/>
      <c r="M7" s="45" t="s">
        <v>89</v>
      </c>
      <c r="N7" s="45">
        <v>2</v>
      </c>
      <c r="O7" s="50">
        <v>1200000</v>
      </c>
      <c r="P7" s="50">
        <v>1200000</v>
      </c>
      <c r="Q7" s="50">
        <v>1300000</v>
      </c>
      <c r="R7" s="50"/>
      <c r="S7" s="50">
        <v>1300000</v>
      </c>
      <c r="T7" s="50"/>
      <c r="U7" s="50"/>
      <c r="V7" s="57"/>
      <c r="W7" s="57"/>
      <c r="X7" s="53" t="s">
        <v>101</v>
      </c>
    </row>
    <row r="8" spans="1:24" s="14" customFormat="1">
      <c r="B8" s="8">
        <v>3</v>
      </c>
      <c r="C8" s="9" t="s">
        <v>93</v>
      </c>
      <c r="D8" s="16"/>
      <c r="E8" s="17"/>
      <c r="F8" s="17"/>
      <c r="G8" s="16"/>
      <c r="H8" s="18"/>
      <c r="I8" s="17"/>
      <c r="J8" s="16"/>
      <c r="K8" s="18"/>
      <c r="L8" s="18"/>
      <c r="M8" s="10" t="s">
        <v>158</v>
      </c>
      <c r="N8" s="17"/>
      <c r="O8" s="11">
        <v>2807000</v>
      </c>
      <c r="P8" s="11">
        <v>2807000</v>
      </c>
      <c r="Q8" s="11">
        <v>2807000</v>
      </c>
      <c r="R8" s="11">
        <v>2807000</v>
      </c>
      <c r="S8" s="13"/>
      <c r="T8" s="13"/>
      <c r="U8" s="13"/>
      <c r="V8" s="19"/>
      <c r="W8" s="50">
        <f t="shared" si="0"/>
        <v>2807000</v>
      </c>
      <c r="X8" s="71" t="s">
        <v>159</v>
      </c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13"/>
      <c r="R9" s="13"/>
      <c r="S9" s="13"/>
      <c r="T9" s="13"/>
      <c r="U9" s="13"/>
      <c r="V9" s="19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3"/>
      <c r="R10" s="13"/>
      <c r="S10" s="13"/>
      <c r="T10" s="13"/>
      <c r="U10" s="13"/>
      <c r="V10" s="19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3"/>
      <c r="R11" s="13"/>
      <c r="S11" s="13"/>
      <c r="T11" s="13"/>
      <c r="U11" s="13"/>
      <c r="V11" s="19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3"/>
      <c r="R12" s="13"/>
      <c r="S12" s="13"/>
      <c r="T12" s="13"/>
      <c r="U12" s="13"/>
      <c r="V12" s="19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3"/>
      <c r="R13" s="13"/>
      <c r="S13" s="13"/>
      <c r="T13" s="13"/>
      <c r="U13" s="13"/>
      <c r="V13" s="19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3"/>
      <c r="R14" s="13"/>
      <c r="S14" s="13"/>
      <c r="T14" s="13"/>
      <c r="U14" s="13"/>
      <c r="V14" s="19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3"/>
      <c r="R15" s="13"/>
      <c r="S15" s="13"/>
      <c r="T15" s="13"/>
      <c r="U15" s="13"/>
      <c r="V15" s="19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3"/>
      <c r="R16" s="13"/>
      <c r="S16" s="13"/>
      <c r="T16" s="13"/>
      <c r="U16" s="13"/>
      <c r="V16" s="19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3"/>
      <c r="R17" s="13"/>
      <c r="S17" s="13"/>
      <c r="T17" s="13"/>
      <c r="U17" s="13"/>
      <c r="V17" s="19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3"/>
      <c r="R18" s="13"/>
      <c r="S18" s="13"/>
      <c r="T18" s="13"/>
      <c r="U18" s="13"/>
      <c r="V18" s="19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3"/>
      <c r="R19" s="13"/>
      <c r="S19" s="13"/>
      <c r="T19" s="13"/>
      <c r="U19" s="13"/>
      <c r="V19" s="19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3"/>
      <c r="R20" s="13"/>
      <c r="S20" s="13"/>
      <c r="T20" s="13"/>
      <c r="U20" s="13"/>
      <c r="V20" s="19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3"/>
      <c r="R21" s="13"/>
      <c r="S21" s="13"/>
      <c r="T21" s="13"/>
      <c r="U21" s="13"/>
      <c r="V21" s="19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3"/>
      <c r="R22" s="13"/>
      <c r="S22" s="13"/>
      <c r="T22" s="13"/>
      <c r="U22" s="13"/>
      <c r="V22" s="19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3"/>
      <c r="R23" s="13"/>
      <c r="S23" s="13"/>
      <c r="T23" s="13"/>
      <c r="U23" s="13"/>
      <c r="V23" s="19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3"/>
      <c r="R24" s="13"/>
      <c r="S24" s="13"/>
      <c r="T24" s="13"/>
      <c r="U24" s="13"/>
      <c r="V24" s="19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3"/>
      <c r="R25" s="13"/>
      <c r="S25" s="13"/>
      <c r="T25" s="13"/>
      <c r="U25" s="13"/>
      <c r="V25" s="19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3"/>
      <c r="R26" s="13"/>
      <c r="S26" s="13"/>
      <c r="T26" s="13"/>
      <c r="U26" s="13"/>
      <c r="V26" s="19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3"/>
      <c r="R27" s="13"/>
      <c r="S27" s="13"/>
      <c r="T27" s="13"/>
      <c r="U27" s="13"/>
      <c r="V27" s="19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3"/>
      <c r="R28" s="13"/>
      <c r="S28" s="13"/>
      <c r="T28" s="13"/>
      <c r="U28" s="13"/>
      <c r="V28" s="19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3"/>
      <c r="R29" s="13"/>
      <c r="S29" s="13"/>
      <c r="T29" s="13"/>
      <c r="U29" s="13"/>
      <c r="V29" s="19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3"/>
      <c r="R30" s="13"/>
      <c r="S30" s="13"/>
      <c r="T30" s="13"/>
      <c r="U30" s="13"/>
      <c r="V30" s="19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3"/>
      <c r="R31" s="13"/>
      <c r="S31" s="13"/>
      <c r="T31" s="13"/>
      <c r="U31" s="13"/>
      <c r="V31" s="19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3"/>
      <c r="R32" s="13"/>
      <c r="S32" s="13"/>
      <c r="T32" s="13"/>
      <c r="U32" s="13"/>
      <c r="V32" s="19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3"/>
      <c r="R33" s="13"/>
      <c r="S33" s="13"/>
      <c r="T33" s="13"/>
      <c r="U33" s="13"/>
      <c r="V33" s="19"/>
      <c r="W33" s="19"/>
      <c r="X33" s="17"/>
    </row>
    <row r="34" spans="2:24">
      <c r="B34" s="2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23"/>
      <c r="N34" s="23"/>
      <c r="O34" s="13">
        <f t="shared" ref="O34:V34" si="1">SUM(O4:O33)</f>
        <v>4007000</v>
      </c>
      <c r="P34" s="13">
        <f t="shared" si="1"/>
        <v>4007000</v>
      </c>
      <c r="Q34" s="13">
        <f t="shared" si="1"/>
        <v>261187000</v>
      </c>
      <c r="R34" s="13">
        <f t="shared" si="1"/>
        <v>2807000</v>
      </c>
      <c r="S34" s="13">
        <f t="shared" si="1"/>
        <v>258380000</v>
      </c>
      <c r="T34" s="13">
        <f t="shared" si="1"/>
        <v>0</v>
      </c>
      <c r="U34" s="13">
        <f t="shared" si="1"/>
        <v>0</v>
      </c>
      <c r="V34" s="13">
        <f t="shared" si="1"/>
        <v>0</v>
      </c>
      <c r="W34" s="13"/>
      <c r="X34" s="24"/>
    </row>
    <row r="35" spans="2:24">
      <c r="O35" s="20"/>
      <c r="P35" s="20"/>
      <c r="Q35" s="20"/>
      <c r="R35" s="20"/>
      <c r="S35" s="20"/>
      <c r="T35" s="20"/>
      <c r="U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0D56-0B9E-4FC5-BDB8-333699AD1DBC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8.25" style="5" customWidth="1"/>
    <col min="24" max="24" width="40.125" style="6" bestFit="1" customWidth="1"/>
  </cols>
  <sheetData>
    <row r="2" spans="1:24">
      <c r="B2" s="7"/>
      <c r="D2" s="7"/>
    </row>
    <row r="3" spans="1:24" s="26" customFormat="1">
      <c r="B3" s="27" t="s">
        <v>0</v>
      </c>
      <c r="C3" s="28" t="s">
        <v>2</v>
      </c>
      <c r="D3" s="27" t="s">
        <v>1</v>
      </c>
      <c r="E3" s="28" t="s">
        <v>46</v>
      </c>
      <c r="F3" s="28" t="s">
        <v>3</v>
      </c>
      <c r="G3" s="28" t="s">
        <v>48</v>
      </c>
      <c r="H3" s="29" t="s">
        <v>49</v>
      </c>
      <c r="I3" s="28" t="s">
        <v>47</v>
      </c>
      <c r="J3" s="28" t="s">
        <v>4</v>
      </c>
      <c r="K3" s="29" t="s">
        <v>5</v>
      </c>
      <c r="L3" s="29" t="s">
        <v>6</v>
      </c>
      <c r="M3" s="30" t="s">
        <v>7</v>
      </c>
      <c r="N3" s="30" t="s">
        <v>8</v>
      </c>
      <c r="O3" s="31" t="s">
        <v>9</v>
      </c>
      <c r="P3" s="12" t="s">
        <v>10</v>
      </c>
      <c r="Q3" s="31" t="s">
        <v>51</v>
      </c>
      <c r="R3" s="31" t="s">
        <v>50</v>
      </c>
      <c r="S3" s="31" t="s">
        <v>52</v>
      </c>
      <c r="T3" s="31" t="s">
        <v>53</v>
      </c>
      <c r="U3" s="31" t="s">
        <v>54</v>
      </c>
      <c r="V3" s="31" t="s">
        <v>11</v>
      </c>
      <c r="W3" s="31" t="s">
        <v>175</v>
      </c>
      <c r="X3" s="33" t="s">
        <v>12</v>
      </c>
    </row>
    <row r="4" spans="1:24" s="1" customFormat="1" ht="33">
      <c r="B4" s="16">
        <v>1</v>
      </c>
      <c r="C4" s="17" t="s">
        <v>121</v>
      </c>
      <c r="D4" s="16" t="s">
        <v>13</v>
      </c>
      <c r="E4" s="17" t="s">
        <v>124</v>
      </c>
      <c r="F4" s="17"/>
      <c r="G4" s="47">
        <v>45798</v>
      </c>
      <c r="H4" s="47">
        <v>45747</v>
      </c>
      <c r="I4" s="17"/>
      <c r="J4" s="47"/>
      <c r="K4" s="47"/>
      <c r="L4" s="18"/>
      <c r="M4" s="18" t="s">
        <v>122</v>
      </c>
      <c r="N4" s="17"/>
      <c r="O4" s="13"/>
      <c r="P4" s="13"/>
      <c r="Q4" s="13">
        <v>328059000</v>
      </c>
      <c r="R4" s="13"/>
      <c r="S4" s="13">
        <v>328059000</v>
      </c>
      <c r="T4" s="13"/>
      <c r="U4" s="13"/>
      <c r="V4" s="19"/>
      <c r="W4" s="50">
        <f t="shared" ref="W4" si="0">P4-V4</f>
        <v>0</v>
      </c>
      <c r="X4" s="45" t="s">
        <v>123</v>
      </c>
    </row>
    <row r="5" spans="1:24" s="14" customFormat="1">
      <c r="A5" s="1"/>
      <c r="B5" s="8"/>
      <c r="C5" s="9"/>
      <c r="D5" s="8"/>
      <c r="E5" s="9"/>
      <c r="F5" s="9"/>
      <c r="G5" s="48"/>
      <c r="H5" s="48"/>
      <c r="I5" s="9"/>
      <c r="J5" s="48"/>
      <c r="K5" s="48"/>
      <c r="L5" s="10"/>
      <c r="M5" s="56"/>
      <c r="N5" s="9"/>
      <c r="O5" s="11"/>
      <c r="P5" s="11"/>
      <c r="Q5" s="11"/>
      <c r="R5" s="11"/>
      <c r="S5" s="11"/>
      <c r="T5" s="11"/>
      <c r="U5" s="11"/>
      <c r="V5" s="11"/>
      <c r="W5" s="11"/>
      <c r="X5" s="17"/>
    </row>
    <row r="6" spans="1:24" s="14" customFormat="1">
      <c r="B6" s="16"/>
      <c r="C6" s="17"/>
      <c r="D6" s="16"/>
      <c r="E6" s="45"/>
      <c r="F6" s="17"/>
      <c r="G6" s="47"/>
      <c r="H6" s="47"/>
      <c r="I6" s="17"/>
      <c r="J6" s="47"/>
      <c r="K6" s="47"/>
      <c r="L6" s="18"/>
      <c r="M6" s="45"/>
      <c r="N6" s="17"/>
      <c r="O6" s="13"/>
      <c r="P6" s="11"/>
      <c r="Q6" s="13"/>
      <c r="R6" s="50"/>
      <c r="S6" s="50"/>
      <c r="T6" s="13"/>
      <c r="U6" s="13"/>
      <c r="V6" s="19"/>
      <c r="W6" s="19"/>
      <c r="X6" s="45"/>
    </row>
    <row r="7" spans="1:24" s="14" customFormat="1" ht="15.75" customHeight="1">
      <c r="B7" s="16"/>
      <c r="C7" s="17"/>
      <c r="D7" s="16"/>
      <c r="E7" s="45"/>
      <c r="F7" s="17"/>
      <c r="G7" s="47"/>
      <c r="H7" s="47"/>
      <c r="I7" s="17"/>
      <c r="J7" s="47"/>
      <c r="K7" s="47"/>
      <c r="L7" s="18"/>
      <c r="M7" s="17"/>
      <c r="N7" s="17"/>
      <c r="O7" s="13"/>
      <c r="P7" s="11"/>
      <c r="Q7" s="13"/>
      <c r="R7" s="50"/>
      <c r="S7" s="50"/>
      <c r="T7" s="13"/>
      <c r="U7" s="13"/>
      <c r="V7" s="19"/>
      <c r="W7" s="19"/>
      <c r="X7" s="45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13"/>
      <c r="R8" s="13"/>
      <c r="S8" s="13"/>
      <c r="T8" s="13"/>
      <c r="U8" s="13"/>
      <c r="V8" s="19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13"/>
      <c r="R9" s="13"/>
      <c r="S9" s="13"/>
      <c r="T9" s="13"/>
      <c r="U9" s="13"/>
      <c r="V9" s="19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3"/>
      <c r="R10" s="13"/>
      <c r="S10" s="13"/>
      <c r="T10" s="13"/>
      <c r="U10" s="13"/>
      <c r="V10" s="19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3"/>
      <c r="R11" s="13"/>
      <c r="S11" s="13"/>
      <c r="T11" s="13"/>
      <c r="U11" s="13"/>
      <c r="V11" s="19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3"/>
      <c r="R12" s="13"/>
      <c r="S12" s="13"/>
      <c r="T12" s="13"/>
      <c r="U12" s="13"/>
      <c r="V12" s="19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3"/>
      <c r="R13" s="13"/>
      <c r="S13" s="13"/>
      <c r="T13" s="13"/>
      <c r="U13" s="13"/>
      <c r="V13" s="19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3"/>
      <c r="R14" s="13"/>
      <c r="S14" s="13"/>
      <c r="T14" s="13"/>
      <c r="U14" s="13"/>
      <c r="V14" s="19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3"/>
      <c r="R15" s="13"/>
      <c r="S15" s="13"/>
      <c r="T15" s="13"/>
      <c r="U15" s="13"/>
      <c r="V15" s="19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3"/>
      <c r="R16" s="13"/>
      <c r="S16" s="13"/>
      <c r="T16" s="13"/>
      <c r="U16" s="13"/>
      <c r="V16" s="19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3"/>
      <c r="R17" s="13"/>
      <c r="S17" s="13"/>
      <c r="T17" s="13"/>
      <c r="U17" s="13"/>
      <c r="V17" s="19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3"/>
      <c r="R18" s="13"/>
      <c r="S18" s="13"/>
      <c r="T18" s="13"/>
      <c r="U18" s="13"/>
      <c r="V18" s="19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3"/>
      <c r="R19" s="13"/>
      <c r="S19" s="13"/>
      <c r="T19" s="13"/>
      <c r="U19" s="13"/>
      <c r="V19" s="19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3"/>
      <c r="R20" s="13"/>
      <c r="S20" s="13"/>
      <c r="T20" s="13"/>
      <c r="U20" s="13"/>
      <c r="V20" s="19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3"/>
      <c r="R21" s="13"/>
      <c r="S21" s="13"/>
      <c r="T21" s="13"/>
      <c r="U21" s="13"/>
      <c r="V21" s="19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3"/>
      <c r="R22" s="13"/>
      <c r="S22" s="13"/>
      <c r="T22" s="13"/>
      <c r="U22" s="13"/>
      <c r="V22" s="19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3"/>
      <c r="R23" s="13"/>
      <c r="S23" s="13"/>
      <c r="T23" s="13"/>
      <c r="U23" s="13"/>
      <c r="V23" s="19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3"/>
      <c r="R24" s="13"/>
      <c r="S24" s="13"/>
      <c r="T24" s="13"/>
      <c r="U24" s="13"/>
      <c r="V24" s="19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3"/>
      <c r="R25" s="13"/>
      <c r="S25" s="13"/>
      <c r="T25" s="13"/>
      <c r="U25" s="13"/>
      <c r="V25" s="19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3"/>
      <c r="R26" s="13"/>
      <c r="S26" s="13"/>
      <c r="T26" s="13"/>
      <c r="U26" s="13"/>
      <c r="V26" s="19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3"/>
      <c r="R27" s="13"/>
      <c r="S27" s="13"/>
      <c r="T27" s="13"/>
      <c r="U27" s="13"/>
      <c r="V27" s="19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3"/>
      <c r="R28" s="13"/>
      <c r="S28" s="13"/>
      <c r="T28" s="13"/>
      <c r="U28" s="13"/>
      <c r="V28" s="19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3"/>
      <c r="R29" s="13"/>
      <c r="S29" s="13"/>
      <c r="T29" s="13"/>
      <c r="U29" s="13"/>
      <c r="V29" s="19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3"/>
      <c r="R30" s="13"/>
      <c r="S30" s="13"/>
      <c r="T30" s="13"/>
      <c r="U30" s="13"/>
      <c r="V30" s="19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3"/>
      <c r="R31" s="13"/>
      <c r="S31" s="13"/>
      <c r="T31" s="13"/>
      <c r="U31" s="13"/>
      <c r="V31" s="19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3"/>
      <c r="R32" s="13"/>
      <c r="S32" s="13"/>
      <c r="T32" s="13"/>
      <c r="U32" s="13"/>
      <c r="V32" s="19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3"/>
      <c r="R33" s="13"/>
      <c r="S33" s="13"/>
      <c r="T33" s="13"/>
      <c r="U33" s="13"/>
      <c r="V33" s="19"/>
      <c r="W33" s="19"/>
      <c r="X33" s="17"/>
    </row>
    <row r="34" spans="2:24">
      <c r="B34" s="2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23"/>
      <c r="N34" s="23"/>
      <c r="O34" s="13">
        <f t="shared" ref="O34:V34" si="1">SUM(O4:O33)</f>
        <v>0</v>
      </c>
      <c r="P34" s="13">
        <f t="shared" si="1"/>
        <v>0</v>
      </c>
      <c r="Q34" s="13">
        <f t="shared" si="1"/>
        <v>328059000</v>
      </c>
      <c r="R34" s="13">
        <f t="shared" si="1"/>
        <v>0</v>
      </c>
      <c r="S34" s="13">
        <f t="shared" si="1"/>
        <v>328059000</v>
      </c>
      <c r="T34" s="13">
        <f t="shared" si="1"/>
        <v>0</v>
      </c>
      <c r="U34" s="13">
        <f t="shared" si="1"/>
        <v>0</v>
      </c>
      <c r="V34" s="13">
        <f t="shared" si="1"/>
        <v>0</v>
      </c>
      <c r="W34" s="13"/>
      <c r="X34" s="24"/>
    </row>
    <row r="35" spans="2:24">
      <c r="O35" s="20"/>
      <c r="P35" s="20"/>
      <c r="Q35" s="20"/>
      <c r="R35" s="20"/>
      <c r="S35" s="20"/>
      <c r="T35" s="20"/>
      <c r="U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716C6-C50C-44BF-A56E-6EFBDD0944A8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 activeCell="O4" sqref="O4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11.25" style="1" bestFit="1" customWidth="1"/>
    <col min="5" max="5" width="19.7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6" width="18.875" style="4" bestFit="1" customWidth="1"/>
    <col min="17" max="17" width="18.375" style="4" bestFit="1" customWidth="1"/>
    <col min="18" max="19" width="18.375" style="4" customWidth="1"/>
    <col min="20" max="20" width="18.375" style="4" bestFit="1" customWidth="1"/>
    <col min="21" max="21" width="18.875" style="4" bestFit="1" customWidth="1"/>
    <col min="22" max="22" width="18.25" style="5" bestFit="1" customWidth="1"/>
    <col min="23" max="23" width="18.25" style="5" customWidth="1"/>
    <col min="24" max="24" width="53" style="6" customWidth="1"/>
  </cols>
  <sheetData>
    <row r="2" spans="1:24">
      <c r="B2" s="7"/>
      <c r="D2" s="7"/>
    </row>
    <row r="3" spans="1:24" s="26" customFormat="1">
      <c r="B3" s="27" t="s">
        <v>0</v>
      </c>
      <c r="C3" s="28" t="s">
        <v>2</v>
      </c>
      <c r="D3" s="27" t="s">
        <v>1</v>
      </c>
      <c r="E3" s="28" t="s">
        <v>46</v>
      </c>
      <c r="F3" s="28" t="s">
        <v>3</v>
      </c>
      <c r="G3" s="28" t="s">
        <v>48</v>
      </c>
      <c r="H3" s="29" t="s">
        <v>49</v>
      </c>
      <c r="I3" s="28" t="s">
        <v>47</v>
      </c>
      <c r="J3" s="28" t="s">
        <v>4</v>
      </c>
      <c r="K3" s="29" t="s">
        <v>5</v>
      </c>
      <c r="L3" s="29" t="s">
        <v>6</v>
      </c>
      <c r="M3" s="30" t="s">
        <v>7</v>
      </c>
      <c r="N3" s="30" t="s">
        <v>8</v>
      </c>
      <c r="O3" s="31" t="s">
        <v>9</v>
      </c>
      <c r="P3" s="12" t="s">
        <v>10</v>
      </c>
      <c r="Q3" s="31" t="s">
        <v>51</v>
      </c>
      <c r="R3" s="31" t="s">
        <v>50</v>
      </c>
      <c r="S3" s="31" t="s">
        <v>52</v>
      </c>
      <c r="T3" s="31" t="s">
        <v>53</v>
      </c>
      <c r="U3" s="31" t="s">
        <v>54</v>
      </c>
      <c r="V3" s="31" t="s">
        <v>11</v>
      </c>
      <c r="W3" s="31" t="s">
        <v>175</v>
      </c>
      <c r="X3" s="33" t="s">
        <v>12</v>
      </c>
    </row>
    <row r="4" spans="1:24" s="1" customFormat="1">
      <c r="B4" s="8">
        <v>1</v>
      </c>
      <c r="C4" s="9" t="s">
        <v>85</v>
      </c>
      <c r="D4" s="8" t="s">
        <v>113</v>
      </c>
      <c r="E4" s="9" t="s">
        <v>161</v>
      </c>
      <c r="F4" s="9"/>
      <c r="G4" s="48">
        <v>45912</v>
      </c>
      <c r="H4" s="48">
        <v>45930</v>
      </c>
      <c r="I4" s="9" t="s">
        <v>162</v>
      </c>
      <c r="J4" s="48">
        <v>45925</v>
      </c>
      <c r="K4" s="48">
        <v>46053</v>
      </c>
      <c r="L4" s="10"/>
      <c r="M4" s="9" t="s">
        <v>90</v>
      </c>
      <c r="N4" s="9"/>
      <c r="O4" s="11">
        <v>30791000</v>
      </c>
      <c r="P4" s="11">
        <f>O4*0.2</f>
        <v>6158200</v>
      </c>
      <c r="Q4" s="11">
        <v>575270000</v>
      </c>
      <c r="R4" s="11">
        <v>30791000</v>
      </c>
      <c r="S4" s="11"/>
      <c r="T4" s="11"/>
      <c r="U4" s="11"/>
      <c r="V4" s="11">
        <v>6158200</v>
      </c>
      <c r="W4" s="50">
        <f t="shared" ref="W4" si="0">P4-V4</f>
        <v>0</v>
      </c>
      <c r="X4" s="9"/>
    </row>
    <row r="5" spans="1:24" s="14" customFormat="1">
      <c r="A5" s="1"/>
      <c r="B5" s="16"/>
      <c r="C5" s="17"/>
      <c r="D5" s="16"/>
      <c r="E5" s="17"/>
      <c r="F5" s="17"/>
      <c r="G5" s="16"/>
      <c r="H5" s="18"/>
      <c r="I5" s="17"/>
      <c r="J5" s="16"/>
      <c r="K5" s="18"/>
      <c r="L5" s="18"/>
      <c r="M5" s="17"/>
      <c r="N5" s="17"/>
      <c r="O5" s="13"/>
      <c r="P5" s="11"/>
      <c r="Q5" s="13"/>
      <c r="R5" s="13"/>
      <c r="S5" s="13"/>
      <c r="T5" s="13"/>
      <c r="U5" s="13"/>
      <c r="V5" s="19"/>
      <c r="W5" s="19"/>
      <c r="X5" s="17"/>
    </row>
    <row r="6" spans="1:24" s="14" customFormat="1">
      <c r="B6" s="16"/>
      <c r="C6" s="17"/>
      <c r="D6" s="16"/>
      <c r="E6" s="17"/>
      <c r="F6" s="17"/>
      <c r="G6" s="16"/>
      <c r="H6" s="18"/>
      <c r="I6" s="17"/>
      <c r="J6" s="16"/>
      <c r="K6" s="18"/>
      <c r="L6" s="18"/>
      <c r="M6" s="17"/>
      <c r="N6" s="17"/>
      <c r="O6" s="13"/>
      <c r="P6" s="11"/>
      <c r="Q6" s="13"/>
      <c r="R6" s="13"/>
      <c r="S6" s="13"/>
      <c r="T6" s="13"/>
      <c r="U6" s="13"/>
      <c r="V6" s="19"/>
      <c r="W6" s="19"/>
      <c r="X6" s="17"/>
    </row>
    <row r="7" spans="1:24" s="14" customFormat="1">
      <c r="B7" s="16"/>
      <c r="C7" s="17"/>
      <c r="D7" s="16"/>
      <c r="E7" s="17"/>
      <c r="F7" s="17"/>
      <c r="G7" s="16"/>
      <c r="H7" s="18"/>
      <c r="I7" s="17"/>
      <c r="J7" s="16"/>
      <c r="K7" s="18"/>
      <c r="L7" s="18"/>
      <c r="M7" s="17"/>
      <c r="N7" s="17"/>
      <c r="O7" s="13"/>
      <c r="P7" s="11"/>
      <c r="Q7" s="13"/>
      <c r="R7" s="13"/>
      <c r="S7" s="13"/>
      <c r="T7" s="13"/>
      <c r="U7" s="13"/>
      <c r="V7" s="19"/>
      <c r="W7" s="19"/>
      <c r="X7" s="17"/>
    </row>
    <row r="8" spans="1:24" s="14" customFormat="1">
      <c r="B8" s="16"/>
      <c r="C8" s="17"/>
      <c r="D8" s="16"/>
      <c r="E8" s="17"/>
      <c r="F8" s="17"/>
      <c r="G8" s="16"/>
      <c r="H8" s="18"/>
      <c r="I8" s="17"/>
      <c r="J8" s="16"/>
      <c r="K8" s="18"/>
      <c r="L8" s="18"/>
      <c r="M8" s="17"/>
      <c r="N8" s="17"/>
      <c r="O8" s="13"/>
      <c r="P8" s="11"/>
      <c r="Q8" s="13"/>
      <c r="R8" s="13"/>
      <c r="S8" s="13"/>
      <c r="T8" s="13"/>
      <c r="U8" s="13"/>
      <c r="V8" s="19"/>
      <c r="W8" s="19"/>
      <c r="X8" s="17"/>
    </row>
    <row r="9" spans="1:24" s="14" customFormat="1">
      <c r="B9" s="16"/>
      <c r="C9" s="17"/>
      <c r="D9" s="16"/>
      <c r="E9" s="17"/>
      <c r="F9" s="17"/>
      <c r="G9" s="16"/>
      <c r="H9" s="18"/>
      <c r="I9" s="17"/>
      <c r="J9" s="16"/>
      <c r="K9" s="18"/>
      <c r="L9" s="18"/>
      <c r="M9" s="17"/>
      <c r="N9" s="17"/>
      <c r="O9" s="13"/>
      <c r="P9" s="11"/>
      <c r="Q9" s="13"/>
      <c r="R9" s="13"/>
      <c r="S9" s="13"/>
      <c r="T9" s="13"/>
      <c r="U9" s="13"/>
      <c r="V9" s="19"/>
      <c r="W9" s="19"/>
      <c r="X9" s="25"/>
    </row>
    <row r="10" spans="1:24" s="14" customFormat="1">
      <c r="A10" s="1"/>
      <c r="B10" s="16"/>
      <c r="C10" s="17"/>
      <c r="D10" s="16"/>
      <c r="E10" s="17"/>
      <c r="F10" s="17"/>
      <c r="G10" s="16"/>
      <c r="H10" s="18"/>
      <c r="I10" s="17"/>
      <c r="J10" s="16"/>
      <c r="K10" s="18"/>
      <c r="L10" s="18"/>
      <c r="M10" s="17"/>
      <c r="N10" s="17"/>
      <c r="O10" s="13"/>
      <c r="P10" s="11"/>
      <c r="Q10" s="13"/>
      <c r="R10" s="13"/>
      <c r="S10" s="13"/>
      <c r="T10" s="13"/>
      <c r="U10" s="13"/>
      <c r="V10" s="19"/>
      <c r="W10" s="19"/>
      <c r="X10" s="17"/>
    </row>
    <row r="11" spans="1:24" s="14" customFormat="1">
      <c r="B11" s="16"/>
      <c r="C11" s="17"/>
      <c r="D11" s="16"/>
      <c r="E11" s="17"/>
      <c r="F11" s="17"/>
      <c r="G11" s="16"/>
      <c r="H11" s="18"/>
      <c r="I11" s="17"/>
      <c r="J11" s="16"/>
      <c r="K11" s="18"/>
      <c r="L11" s="18"/>
      <c r="M11" s="17"/>
      <c r="N11" s="17"/>
      <c r="O11" s="13"/>
      <c r="P11" s="11"/>
      <c r="Q11" s="13"/>
      <c r="R11" s="13"/>
      <c r="S11" s="13"/>
      <c r="T11" s="13"/>
      <c r="U11" s="13"/>
      <c r="V11" s="19"/>
      <c r="W11" s="19"/>
      <c r="X11" s="17"/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3"/>
      <c r="R12" s="13"/>
      <c r="S12" s="13"/>
      <c r="T12" s="13"/>
      <c r="U12" s="13"/>
      <c r="V12" s="19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3"/>
      <c r="R13" s="13"/>
      <c r="S13" s="13"/>
      <c r="T13" s="13"/>
      <c r="U13" s="13"/>
      <c r="V13" s="19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3"/>
      <c r="R14" s="13"/>
      <c r="S14" s="13"/>
      <c r="T14" s="13"/>
      <c r="U14" s="13"/>
      <c r="V14" s="19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3"/>
      <c r="R15" s="13"/>
      <c r="S15" s="13"/>
      <c r="T15" s="13"/>
      <c r="U15" s="13"/>
      <c r="V15" s="19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3"/>
      <c r="R16" s="13"/>
      <c r="S16" s="13"/>
      <c r="T16" s="13"/>
      <c r="U16" s="13"/>
      <c r="V16" s="19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3"/>
      <c r="R17" s="13"/>
      <c r="S17" s="13"/>
      <c r="T17" s="13"/>
      <c r="U17" s="13"/>
      <c r="V17" s="19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3"/>
      <c r="R18" s="13"/>
      <c r="S18" s="13"/>
      <c r="T18" s="13"/>
      <c r="U18" s="13"/>
      <c r="V18" s="19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3"/>
      <c r="R19" s="13"/>
      <c r="S19" s="13"/>
      <c r="T19" s="13"/>
      <c r="U19" s="13"/>
      <c r="V19" s="19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3"/>
      <c r="R20" s="13"/>
      <c r="S20" s="13"/>
      <c r="T20" s="13"/>
      <c r="U20" s="13"/>
      <c r="V20" s="19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3"/>
      <c r="R21" s="13"/>
      <c r="S21" s="13"/>
      <c r="T21" s="13"/>
      <c r="U21" s="13"/>
      <c r="V21" s="19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3"/>
      <c r="R22" s="13"/>
      <c r="S22" s="13"/>
      <c r="T22" s="13"/>
      <c r="U22" s="13"/>
      <c r="V22" s="19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3"/>
      <c r="R23" s="13"/>
      <c r="S23" s="13"/>
      <c r="T23" s="13"/>
      <c r="U23" s="13"/>
      <c r="V23" s="19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3"/>
      <c r="R24" s="13"/>
      <c r="S24" s="13"/>
      <c r="T24" s="13"/>
      <c r="U24" s="13"/>
      <c r="V24" s="19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3"/>
      <c r="R25" s="13"/>
      <c r="S25" s="13"/>
      <c r="T25" s="13"/>
      <c r="U25" s="13"/>
      <c r="V25" s="19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3"/>
      <c r="R26" s="13"/>
      <c r="S26" s="13"/>
      <c r="T26" s="13"/>
      <c r="U26" s="13"/>
      <c r="V26" s="19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3"/>
      <c r="R27" s="13"/>
      <c r="S27" s="13"/>
      <c r="T27" s="13"/>
      <c r="U27" s="13"/>
      <c r="V27" s="19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3"/>
      <c r="R28" s="13"/>
      <c r="S28" s="13"/>
      <c r="T28" s="13"/>
      <c r="U28" s="13"/>
      <c r="V28" s="19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3"/>
      <c r="R29" s="13"/>
      <c r="S29" s="13"/>
      <c r="T29" s="13"/>
      <c r="U29" s="13"/>
      <c r="V29" s="19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3"/>
      <c r="R30" s="13"/>
      <c r="S30" s="13"/>
      <c r="T30" s="13"/>
      <c r="U30" s="13"/>
      <c r="V30" s="19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3"/>
      <c r="R31" s="13"/>
      <c r="S31" s="13"/>
      <c r="T31" s="13"/>
      <c r="U31" s="13"/>
      <c r="V31" s="19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3"/>
      <c r="R32" s="13"/>
      <c r="S32" s="13"/>
      <c r="T32" s="13"/>
      <c r="U32" s="13"/>
      <c r="V32" s="19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3"/>
      <c r="R33" s="13"/>
      <c r="S33" s="13"/>
      <c r="T33" s="13"/>
      <c r="U33" s="13"/>
      <c r="V33" s="19"/>
      <c r="W33" s="19"/>
      <c r="X33" s="17"/>
    </row>
    <row r="34" spans="2:24">
      <c r="B34" s="2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23"/>
      <c r="N34" s="23"/>
      <c r="O34" s="13">
        <f t="shared" ref="O34:V34" si="1">SUM(O4:O33)</f>
        <v>30791000</v>
      </c>
      <c r="P34" s="13">
        <f t="shared" si="1"/>
        <v>6158200</v>
      </c>
      <c r="Q34" s="13">
        <f t="shared" si="1"/>
        <v>575270000</v>
      </c>
      <c r="R34" s="13">
        <f t="shared" si="1"/>
        <v>30791000</v>
      </c>
      <c r="S34" s="13">
        <f t="shared" si="1"/>
        <v>0</v>
      </c>
      <c r="T34" s="13">
        <f t="shared" si="1"/>
        <v>0</v>
      </c>
      <c r="U34" s="13">
        <f t="shared" si="1"/>
        <v>0</v>
      </c>
      <c r="V34" s="13">
        <f t="shared" si="1"/>
        <v>6158200</v>
      </c>
      <c r="W34" s="13"/>
      <c r="X34" s="24"/>
    </row>
    <row r="35" spans="2:24">
      <c r="O35" s="20"/>
      <c r="P35" s="20"/>
      <c r="Q35" s="20"/>
      <c r="R35" s="20"/>
      <c r="S35" s="20"/>
      <c r="T35" s="20"/>
      <c r="U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9448A-21BA-4AEE-B6BF-0586CDC01375}">
  <dimension ref="A2:X35"/>
  <sheetViews>
    <sheetView zoomScale="70" zoomScaleNormal="70" workbookViewId="0">
      <pane xSplit="14" ySplit="3" topLeftCell="O4" activePane="bottomRight" state="frozen"/>
      <selection pane="topRight" activeCell="L1" sqref="L1"/>
      <selection pane="bottomLeft" activeCell="A4" sqref="A4"/>
      <selection pane="bottomRight"/>
    </sheetView>
  </sheetViews>
  <sheetFormatPr defaultRowHeight="16.5"/>
  <cols>
    <col min="1" max="1" width="4.25" customWidth="1"/>
    <col min="2" max="2" width="5.75" style="1" customWidth="1"/>
    <col min="3" max="3" width="13.25" style="2" customWidth="1"/>
    <col min="4" max="4" width="5.25" style="1" bestFit="1" customWidth="1"/>
    <col min="5" max="5" width="13.5" style="2" bestFit="1" customWidth="1"/>
    <col min="6" max="6" width="14.875" style="2" bestFit="1" customWidth="1"/>
    <col min="7" max="7" width="9.25" style="1" customWidth="1"/>
    <col min="8" max="8" width="9.125" style="3" customWidth="1"/>
    <col min="9" max="9" width="13.5" style="2" bestFit="1" customWidth="1"/>
    <col min="10" max="10" width="9.25" style="1" customWidth="1"/>
    <col min="11" max="11" width="9.125" style="3" customWidth="1"/>
    <col min="12" max="12" width="5.875" style="3" bestFit="1" customWidth="1"/>
    <col min="13" max="13" width="33.25" style="2" customWidth="1"/>
    <col min="14" max="14" width="5.25" style="2" bestFit="1" customWidth="1"/>
    <col min="15" max="15" width="18.375" style="4" bestFit="1" customWidth="1"/>
    <col min="16" max="17" width="18.875" style="4" bestFit="1" customWidth="1"/>
    <col min="18" max="18" width="18.375" style="4" bestFit="1" customWidth="1"/>
    <col min="19" max="20" width="18.375" style="4" customWidth="1"/>
    <col min="21" max="21" width="18.375" style="4" bestFit="1" customWidth="1"/>
    <col min="22" max="22" width="18.875" style="4" bestFit="1" customWidth="1"/>
    <col min="23" max="23" width="18.25" style="5" bestFit="1" customWidth="1"/>
    <col min="24" max="24" width="40.125" style="6" bestFit="1" customWidth="1"/>
  </cols>
  <sheetData>
    <row r="2" spans="1:24">
      <c r="B2" s="7"/>
      <c r="D2" s="7"/>
    </row>
    <row r="3" spans="1:24" s="26" customFormat="1">
      <c r="B3" s="27" t="s">
        <v>0</v>
      </c>
      <c r="C3" s="28" t="s">
        <v>2</v>
      </c>
      <c r="D3" s="27" t="s">
        <v>1</v>
      </c>
      <c r="E3" s="28" t="s">
        <v>46</v>
      </c>
      <c r="F3" s="28" t="s">
        <v>3</v>
      </c>
      <c r="G3" s="28" t="s">
        <v>48</v>
      </c>
      <c r="H3" s="29" t="s">
        <v>49</v>
      </c>
      <c r="I3" s="28" t="s">
        <v>47</v>
      </c>
      <c r="J3" s="28" t="s">
        <v>4</v>
      </c>
      <c r="K3" s="29" t="s">
        <v>5</v>
      </c>
      <c r="L3" s="29" t="s">
        <v>6</v>
      </c>
      <c r="M3" s="30" t="s">
        <v>7</v>
      </c>
      <c r="N3" s="30" t="s">
        <v>8</v>
      </c>
      <c r="O3" s="31" t="s">
        <v>9</v>
      </c>
      <c r="P3" s="12" t="s">
        <v>10</v>
      </c>
      <c r="Q3" s="32" t="s">
        <v>83</v>
      </c>
      <c r="R3" s="31" t="s">
        <v>51</v>
      </c>
      <c r="S3" s="31" t="s">
        <v>50</v>
      </c>
      <c r="T3" s="31" t="s">
        <v>52</v>
      </c>
      <c r="U3" s="31" t="s">
        <v>53</v>
      </c>
      <c r="V3" s="31" t="s">
        <v>54</v>
      </c>
      <c r="W3" s="31" t="s">
        <v>11</v>
      </c>
      <c r="X3" s="33" t="s">
        <v>12</v>
      </c>
    </row>
    <row r="4" spans="1:24" s="1" customFormat="1" ht="33">
      <c r="B4" s="16">
        <v>1</v>
      </c>
      <c r="C4" s="17" t="s">
        <v>119</v>
      </c>
      <c r="D4" s="16" t="s">
        <v>13</v>
      </c>
      <c r="E4" s="17"/>
      <c r="F4" s="17"/>
      <c r="G4" s="47"/>
      <c r="H4" s="47"/>
      <c r="I4" s="17"/>
      <c r="J4" s="47"/>
      <c r="K4" s="47"/>
      <c r="L4" s="18"/>
      <c r="M4" s="18"/>
      <c r="N4" s="17"/>
      <c r="O4" s="13"/>
      <c r="P4" s="11"/>
      <c r="Q4" s="15"/>
      <c r="R4" s="13"/>
      <c r="S4" s="13"/>
      <c r="T4" s="13"/>
      <c r="U4" s="13"/>
      <c r="V4" s="13"/>
      <c r="W4" s="19"/>
      <c r="X4" s="21"/>
    </row>
    <row r="5" spans="1:24" s="14" customFormat="1">
      <c r="A5" s="1"/>
      <c r="B5" s="16">
        <v>2</v>
      </c>
      <c r="C5" s="17" t="s">
        <v>97</v>
      </c>
      <c r="D5" s="16" t="s">
        <v>13</v>
      </c>
      <c r="E5" s="17"/>
      <c r="F5" s="17"/>
      <c r="G5" s="47"/>
      <c r="H5" s="47"/>
      <c r="I5" s="17"/>
      <c r="J5" s="47"/>
      <c r="K5" s="47"/>
      <c r="L5" s="18"/>
      <c r="M5" s="17" t="s">
        <v>98</v>
      </c>
      <c r="N5" s="17"/>
      <c r="O5" s="13"/>
      <c r="P5" s="11"/>
      <c r="Q5" s="15"/>
      <c r="R5" s="13">
        <v>8000000</v>
      </c>
      <c r="S5" s="13"/>
      <c r="T5" s="13">
        <v>8000000</v>
      </c>
      <c r="U5" s="13"/>
      <c r="V5" s="13"/>
      <c r="W5" s="19"/>
      <c r="X5" s="52" t="s">
        <v>99</v>
      </c>
    </row>
    <row r="6" spans="1:24" s="14" customFormat="1">
      <c r="A6" s="1"/>
      <c r="B6" s="8">
        <v>3</v>
      </c>
      <c r="C6" s="9" t="s">
        <v>58</v>
      </c>
      <c r="D6" s="8" t="s">
        <v>13</v>
      </c>
      <c r="E6" s="9"/>
      <c r="F6" s="9"/>
      <c r="G6" s="47"/>
      <c r="H6" s="47"/>
      <c r="I6" s="17"/>
      <c r="J6" s="47"/>
      <c r="K6" s="47"/>
      <c r="L6" s="10"/>
      <c r="M6" s="10"/>
      <c r="N6" s="9"/>
      <c r="O6" s="11"/>
      <c r="P6" s="11"/>
      <c r="Q6" s="11"/>
      <c r="R6" s="11"/>
      <c r="S6" s="11"/>
      <c r="T6" s="11"/>
      <c r="U6" s="11"/>
      <c r="V6" s="11"/>
      <c r="W6" s="11"/>
      <c r="X6" s="21"/>
    </row>
    <row r="7" spans="1:24" s="14" customFormat="1">
      <c r="B7" s="8">
        <v>4</v>
      </c>
      <c r="C7" s="9" t="s">
        <v>60</v>
      </c>
      <c r="D7" s="8" t="s">
        <v>13</v>
      </c>
      <c r="E7" s="9"/>
      <c r="F7" s="9"/>
      <c r="G7" s="47"/>
      <c r="H7" s="47"/>
      <c r="I7" s="17"/>
      <c r="J7" s="47"/>
      <c r="K7" s="47"/>
      <c r="L7" s="10"/>
      <c r="M7" s="10"/>
      <c r="N7" s="9"/>
      <c r="O7" s="11"/>
      <c r="P7" s="11"/>
      <c r="Q7" s="11"/>
      <c r="R7" s="11"/>
      <c r="S7" s="11"/>
      <c r="T7" s="11"/>
      <c r="U7" s="11"/>
      <c r="V7" s="11"/>
      <c r="W7" s="11"/>
      <c r="X7" s="21"/>
    </row>
    <row r="8" spans="1:24" s="14" customFormat="1">
      <c r="B8" s="16">
        <v>5</v>
      </c>
      <c r="C8" s="17" t="s">
        <v>67</v>
      </c>
      <c r="D8" s="16" t="s">
        <v>13</v>
      </c>
      <c r="E8" s="17"/>
      <c r="F8" s="17"/>
      <c r="G8" s="47"/>
      <c r="H8" s="47"/>
      <c r="I8" s="17"/>
      <c r="J8" s="47"/>
      <c r="K8" s="47"/>
      <c r="L8" s="18"/>
      <c r="M8" s="18"/>
      <c r="N8" s="17"/>
      <c r="O8" s="13"/>
      <c r="P8" s="11"/>
      <c r="Q8" s="15"/>
      <c r="R8" s="13"/>
      <c r="S8" s="13"/>
      <c r="T8" s="13"/>
      <c r="U8" s="13"/>
      <c r="V8" s="13"/>
      <c r="W8" s="19"/>
      <c r="X8" s="21"/>
    </row>
    <row r="9" spans="1:24" s="14" customFormat="1">
      <c r="B9" s="16">
        <v>6</v>
      </c>
      <c r="C9" s="17" t="s">
        <v>69</v>
      </c>
      <c r="D9" s="16" t="s">
        <v>13</v>
      </c>
      <c r="E9" s="17"/>
      <c r="F9" s="17"/>
      <c r="G9" s="47"/>
      <c r="H9" s="47"/>
      <c r="I9" s="17"/>
      <c r="J9" s="47"/>
      <c r="K9" s="47"/>
      <c r="L9" s="18"/>
      <c r="M9" s="17"/>
      <c r="N9" s="17"/>
      <c r="O9" s="13"/>
      <c r="P9" s="11"/>
      <c r="Q9" s="15"/>
      <c r="R9" s="13"/>
      <c r="S9" s="13"/>
      <c r="T9" s="13"/>
      <c r="U9" s="13"/>
      <c r="V9" s="13"/>
      <c r="W9" s="19"/>
      <c r="X9" s="21"/>
    </row>
    <row r="10" spans="1:24" s="14" customFormat="1">
      <c r="B10" s="16">
        <v>7</v>
      </c>
      <c r="C10" s="17" t="s">
        <v>71</v>
      </c>
      <c r="D10" s="16" t="s">
        <v>13</v>
      </c>
      <c r="E10" s="17"/>
      <c r="F10" s="17"/>
      <c r="G10" s="47"/>
      <c r="H10" s="47"/>
      <c r="I10" s="17"/>
      <c r="J10" s="47"/>
      <c r="K10" s="47"/>
      <c r="L10" s="18"/>
      <c r="M10" s="17"/>
      <c r="N10" s="17"/>
      <c r="O10" s="13"/>
      <c r="P10" s="11"/>
      <c r="Q10" s="15"/>
      <c r="R10" s="13"/>
      <c r="S10" s="13"/>
      <c r="T10" s="13"/>
      <c r="U10" s="13"/>
      <c r="V10" s="13"/>
      <c r="W10" s="19"/>
      <c r="X10" s="21"/>
    </row>
    <row r="11" spans="1:24" s="14" customFormat="1">
      <c r="B11" s="16">
        <v>8</v>
      </c>
      <c r="C11" s="17" t="s">
        <v>117</v>
      </c>
      <c r="D11" s="16" t="s">
        <v>13</v>
      </c>
      <c r="E11" s="17"/>
      <c r="F11" s="17"/>
      <c r="G11" s="62">
        <v>45786</v>
      </c>
      <c r="H11" s="18"/>
      <c r="I11" s="17"/>
      <c r="J11" s="16"/>
      <c r="K11" s="18"/>
      <c r="L11" s="18"/>
      <c r="M11" s="61" t="s">
        <v>118</v>
      </c>
      <c r="N11" s="17"/>
      <c r="O11" s="13"/>
      <c r="P11" s="11"/>
      <c r="Q11" s="15"/>
      <c r="R11" s="15">
        <v>120000000</v>
      </c>
      <c r="S11" s="15"/>
      <c r="T11" s="15">
        <v>120000000</v>
      </c>
      <c r="U11" s="13"/>
      <c r="V11" s="13"/>
      <c r="W11" s="19"/>
      <c r="X11" s="65" t="s">
        <v>130</v>
      </c>
    </row>
    <row r="12" spans="1:24" s="14" customFormat="1">
      <c r="B12" s="16"/>
      <c r="C12" s="17"/>
      <c r="D12" s="16"/>
      <c r="E12" s="17"/>
      <c r="F12" s="17"/>
      <c r="G12" s="16"/>
      <c r="H12" s="18"/>
      <c r="I12" s="17"/>
      <c r="J12" s="16"/>
      <c r="K12" s="18"/>
      <c r="L12" s="18"/>
      <c r="M12" s="17"/>
      <c r="N12" s="17"/>
      <c r="O12" s="13"/>
      <c r="P12" s="11"/>
      <c r="Q12" s="15"/>
      <c r="R12" s="13"/>
      <c r="S12" s="13"/>
      <c r="T12" s="13"/>
      <c r="U12" s="13"/>
      <c r="V12" s="13"/>
      <c r="W12" s="19"/>
      <c r="X12" s="17"/>
    </row>
    <row r="13" spans="1:24" s="14" customFormat="1">
      <c r="B13" s="16"/>
      <c r="C13" s="17"/>
      <c r="D13" s="16"/>
      <c r="E13" s="17"/>
      <c r="F13" s="17"/>
      <c r="G13" s="16"/>
      <c r="H13" s="18"/>
      <c r="I13" s="17"/>
      <c r="J13" s="16"/>
      <c r="K13" s="18"/>
      <c r="L13" s="18"/>
      <c r="M13" s="17"/>
      <c r="N13" s="17"/>
      <c r="O13" s="13"/>
      <c r="P13" s="11"/>
      <c r="Q13" s="15"/>
      <c r="R13" s="13"/>
      <c r="S13" s="13"/>
      <c r="T13" s="13"/>
      <c r="U13" s="13"/>
      <c r="V13" s="13"/>
      <c r="W13" s="19"/>
      <c r="X13" s="17"/>
    </row>
    <row r="14" spans="1:24" s="14" customFormat="1">
      <c r="B14" s="16"/>
      <c r="C14" s="17"/>
      <c r="D14" s="16"/>
      <c r="E14" s="17"/>
      <c r="F14" s="17"/>
      <c r="G14" s="16"/>
      <c r="H14" s="18"/>
      <c r="I14" s="17"/>
      <c r="J14" s="16"/>
      <c r="K14" s="18"/>
      <c r="L14" s="18"/>
      <c r="M14" s="17"/>
      <c r="N14" s="17"/>
      <c r="O14" s="13"/>
      <c r="P14" s="11"/>
      <c r="Q14" s="15"/>
      <c r="R14" s="13"/>
      <c r="S14" s="13"/>
      <c r="T14" s="13"/>
      <c r="U14" s="13"/>
      <c r="V14" s="13"/>
      <c r="W14" s="19"/>
      <c r="X14" s="17"/>
    </row>
    <row r="15" spans="1:24" s="14" customFormat="1">
      <c r="B15" s="16"/>
      <c r="C15" s="17"/>
      <c r="D15" s="16"/>
      <c r="E15" s="17"/>
      <c r="F15" s="17"/>
      <c r="G15" s="16"/>
      <c r="H15" s="18"/>
      <c r="I15" s="17"/>
      <c r="J15" s="16"/>
      <c r="K15" s="18"/>
      <c r="L15" s="18"/>
      <c r="M15" s="17"/>
      <c r="N15" s="17"/>
      <c r="O15" s="13"/>
      <c r="P15" s="11"/>
      <c r="Q15" s="15"/>
      <c r="R15" s="13"/>
      <c r="S15" s="13"/>
      <c r="T15" s="13"/>
      <c r="U15" s="13"/>
      <c r="V15" s="13"/>
      <c r="W15" s="19"/>
      <c r="X15" s="17"/>
    </row>
    <row r="16" spans="1:24" s="14" customFormat="1">
      <c r="B16" s="16"/>
      <c r="C16" s="17"/>
      <c r="D16" s="16"/>
      <c r="E16" s="17"/>
      <c r="F16" s="17"/>
      <c r="G16" s="16"/>
      <c r="H16" s="18"/>
      <c r="I16" s="17"/>
      <c r="J16" s="16"/>
      <c r="K16" s="18"/>
      <c r="L16" s="18"/>
      <c r="M16" s="17"/>
      <c r="N16" s="17"/>
      <c r="O16" s="13"/>
      <c r="P16" s="11"/>
      <c r="Q16" s="15"/>
      <c r="R16" s="13"/>
      <c r="S16" s="13"/>
      <c r="T16" s="13"/>
      <c r="U16" s="13"/>
      <c r="V16" s="13"/>
      <c r="W16" s="19"/>
      <c r="X16" s="17"/>
    </row>
    <row r="17" spans="2:24" s="14" customFormat="1">
      <c r="B17" s="16"/>
      <c r="C17" s="17"/>
      <c r="D17" s="16"/>
      <c r="E17" s="17"/>
      <c r="F17" s="17"/>
      <c r="G17" s="16"/>
      <c r="H17" s="18"/>
      <c r="I17" s="17"/>
      <c r="J17" s="16"/>
      <c r="K17" s="18"/>
      <c r="L17" s="18"/>
      <c r="M17" s="17"/>
      <c r="N17" s="17"/>
      <c r="O17" s="13"/>
      <c r="P17" s="11"/>
      <c r="Q17" s="15"/>
      <c r="R17" s="13"/>
      <c r="S17" s="13"/>
      <c r="T17" s="13"/>
      <c r="U17" s="13"/>
      <c r="V17" s="13"/>
      <c r="W17" s="19"/>
      <c r="X17" s="17"/>
    </row>
    <row r="18" spans="2:24" s="14" customFormat="1">
      <c r="B18" s="16"/>
      <c r="C18" s="17"/>
      <c r="D18" s="16"/>
      <c r="E18" s="17"/>
      <c r="F18" s="17"/>
      <c r="G18" s="16"/>
      <c r="H18" s="18"/>
      <c r="I18" s="17"/>
      <c r="J18" s="16"/>
      <c r="K18" s="18"/>
      <c r="L18" s="18"/>
      <c r="M18" s="17"/>
      <c r="N18" s="17"/>
      <c r="O18" s="13"/>
      <c r="P18" s="11"/>
      <c r="Q18" s="15"/>
      <c r="R18" s="13"/>
      <c r="S18" s="13"/>
      <c r="T18" s="13"/>
      <c r="U18" s="13"/>
      <c r="V18" s="13"/>
      <c r="W18" s="19"/>
      <c r="X18" s="17"/>
    </row>
    <row r="19" spans="2:24" s="14" customFormat="1">
      <c r="B19" s="16"/>
      <c r="C19" s="17"/>
      <c r="D19" s="16"/>
      <c r="E19" s="17"/>
      <c r="F19" s="17"/>
      <c r="G19" s="16"/>
      <c r="H19" s="18"/>
      <c r="I19" s="17"/>
      <c r="J19" s="16"/>
      <c r="K19" s="18"/>
      <c r="L19" s="18"/>
      <c r="M19" s="17"/>
      <c r="N19" s="17"/>
      <c r="O19" s="13"/>
      <c r="P19" s="11"/>
      <c r="Q19" s="15"/>
      <c r="R19" s="13"/>
      <c r="S19" s="13"/>
      <c r="T19" s="13"/>
      <c r="U19" s="13"/>
      <c r="V19" s="13"/>
      <c r="W19" s="19"/>
      <c r="X19" s="17"/>
    </row>
    <row r="20" spans="2:24" s="14" customFormat="1">
      <c r="B20" s="16"/>
      <c r="C20" s="17"/>
      <c r="D20" s="16"/>
      <c r="E20" s="17"/>
      <c r="F20" s="17"/>
      <c r="G20" s="16"/>
      <c r="H20" s="18"/>
      <c r="I20" s="17"/>
      <c r="J20" s="16"/>
      <c r="K20" s="18"/>
      <c r="L20" s="18"/>
      <c r="M20" s="17"/>
      <c r="N20" s="17"/>
      <c r="O20" s="13"/>
      <c r="P20" s="11"/>
      <c r="Q20" s="15"/>
      <c r="R20" s="13"/>
      <c r="S20" s="13"/>
      <c r="T20" s="13"/>
      <c r="U20" s="13"/>
      <c r="V20" s="13"/>
      <c r="W20" s="19"/>
      <c r="X20" s="17"/>
    </row>
    <row r="21" spans="2:24" s="14" customFormat="1">
      <c r="B21" s="16"/>
      <c r="C21" s="17"/>
      <c r="D21" s="16"/>
      <c r="E21" s="17"/>
      <c r="F21" s="17"/>
      <c r="G21" s="16"/>
      <c r="H21" s="18"/>
      <c r="I21" s="17"/>
      <c r="J21" s="16"/>
      <c r="K21" s="18"/>
      <c r="L21" s="18"/>
      <c r="M21" s="17"/>
      <c r="N21" s="17"/>
      <c r="O21" s="13"/>
      <c r="P21" s="11"/>
      <c r="Q21" s="15"/>
      <c r="R21" s="13"/>
      <c r="S21" s="13"/>
      <c r="T21" s="13"/>
      <c r="U21" s="13"/>
      <c r="V21" s="13"/>
      <c r="W21" s="19"/>
      <c r="X21" s="17"/>
    </row>
    <row r="22" spans="2:24" s="14" customFormat="1">
      <c r="B22" s="16"/>
      <c r="C22" s="17"/>
      <c r="D22" s="16"/>
      <c r="E22" s="17"/>
      <c r="F22" s="17"/>
      <c r="G22" s="16"/>
      <c r="H22" s="18"/>
      <c r="I22" s="17"/>
      <c r="J22" s="16"/>
      <c r="K22" s="18"/>
      <c r="L22" s="18"/>
      <c r="M22" s="17"/>
      <c r="N22" s="17"/>
      <c r="O22" s="13"/>
      <c r="P22" s="11"/>
      <c r="Q22" s="15"/>
      <c r="R22" s="13"/>
      <c r="S22" s="13"/>
      <c r="T22" s="13"/>
      <c r="U22" s="13"/>
      <c r="V22" s="13"/>
      <c r="W22" s="19"/>
      <c r="X22" s="17"/>
    </row>
    <row r="23" spans="2:24" s="14" customFormat="1">
      <c r="B23" s="16"/>
      <c r="C23" s="17"/>
      <c r="D23" s="16"/>
      <c r="E23" s="17"/>
      <c r="F23" s="17"/>
      <c r="G23" s="16"/>
      <c r="H23" s="18"/>
      <c r="I23" s="17"/>
      <c r="J23" s="16"/>
      <c r="K23" s="18"/>
      <c r="L23" s="18"/>
      <c r="M23" s="17"/>
      <c r="N23" s="17"/>
      <c r="O23" s="13"/>
      <c r="P23" s="11"/>
      <c r="Q23" s="15"/>
      <c r="R23" s="13"/>
      <c r="S23" s="13"/>
      <c r="T23" s="13"/>
      <c r="U23" s="13"/>
      <c r="V23" s="13"/>
      <c r="W23" s="19"/>
      <c r="X23" s="17"/>
    </row>
    <row r="24" spans="2:24" s="14" customFormat="1">
      <c r="B24" s="16"/>
      <c r="C24" s="17"/>
      <c r="D24" s="16"/>
      <c r="E24" s="17"/>
      <c r="F24" s="17"/>
      <c r="G24" s="16"/>
      <c r="H24" s="18"/>
      <c r="I24" s="17"/>
      <c r="J24" s="16"/>
      <c r="K24" s="18"/>
      <c r="L24" s="18"/>
      <c r="M24" s="17"/>
      <c r="N24" s="17"/>
      <c r="O24" s="13"/>
      <c r="P24" s="11"/>
      <c r="Q24" s="15"/>
      <c r="R24" s="13"/>
      <c r="S24" s="13"/>
      <c r="T24" s="13"/>
      <c r="U24" s="13"/>
      <c r="V24" s="13"/>
      <c r="W24" s="19"/>
      <c r="X24" s="17"/>
    </row>
    <row r="25" spans="2:24" s="14" customFormat="1">
      <c r="B25" s="16"/>
      <c r="C25" s="17"/>
      <c r="D25" s="16"/>
      <c r="E25" s="17"/>
      <c r="F25" s="17"/>
      <c r="G25" s="16"/>
      <c r="H25" s="18"/>
      <c r="I25" s="17"/>
      <c r="J25" s="16"/>
      <c r="K25" s="18"/>
      <c r="L25" s="18"/>
      <c r="M25" s="17"/>
      <c r="N25" s="17"/>
      <c r="O25" s="13"/>
      <c r="P25" s="11"/>
      <c r="Q25" s="15"/>
      <c r="R25" s="13"/>
      <c r="S25" s="13"/>
      <c r="T25" s="13"/>
      <c r="U25" s="13"/>
      <c r="V25" s="13"/>
      <c r="W25" s="19"/>
      <c r="X25" s="17"/>
    </row>
    <row r="26" spans="2:24" s="14" customFormat="1">
      <c r="B26" s="16"/>
      <c r="C26" s="17"/>
      <c r="D26" s="16"/>
      <c r="E26" s="17"/>
      <c r="F26" s="17"/>
      <c r="G26" s="16"/>
      <c r="H26" s="18"/>
      <c r="I26" s="17"/>
      <c r="J26" s="16"/>
      <c r="K26" s="18"/>
      <c r="L26" s="18"/>
      <c r="M26" s="17"/>
      <c r="N26" s="17"/>
      <c r="O26" s="13"/>
      <c r="P26" s="11"/>
      <c r="Q26" s="15"/>
      <c r="R26" s="13"/>
      <c r="S26" s="13"/>
      <c r="T26" s="13"/>
      <c r="U26" s="13"/>
      <c r="V26" s="13"/>
      <c r="W26" s="19"/>
      <c r="X26" s="17"/>
    </row>
    <row r="27" spans="2:24" s="14" customFormat="1">
      <c r="B27" s="16"/>
      <c r="C27" s="17"/>
      <c r="D27" s="16"/>
      <c r="E27" s="17"/>
      <c r="F27" s="17"/>
      <c r="G27" s="16"/>
      <c r="H27" s="18"/>
      <c r="I27" s="17"/>
      <c r="J27" s="16"/>
      <c r="K27" s="18"/>
      <c r="L27" s="18"/>
      <c r="M27" s="17"/>
      <c r="N27" s="17"/>
      <c r="O27" s="13"/>
      <c r="P27" s="11"/>
      <c r="Q27" s="15"/>
      <c r="R27" s="13"/>
      <c r="S27" s="13"/>
      <c r="T27" s="13"/>
      <c r="U27" s="13"/>
      <c r="V27" s="13"/>
      <c r="W27" s="19"/>
      <c r="X27" s="17"/>
    </row>
    <row r="28" spans="2:24" s="14" customFormat="1">
      <c r="B28" s="16"/>
      <c r="C28" s="17"/>
      <c r="D28" s="16"/>
      <c r="E28" s="17"/>
      <c r="F28" s="17"/>
      <c r="G28" s="16"/>
      <c r="H28" s="18"/>
      <c r="I28" s="17"/>
      <c r="J28" s="16"/>
      <c r="K28" s="18"/>
      <c r="L28" s="18"/>
      <c r="M28" s="17"/>
      <c r="N28" s="17"/>
      <c r="O28" s="13"/>
      <c r="P28" s="11"/>
      <c r="Q28" s="15"/>
      <c r="R28" s="13"/>
      <c r="S28" s="13"/>
      <c r="T28" s="13"/>
      <c r="U28" s="13"/>
      <c r="V28" s="13"/>
      <c r="W28" s="19"/>
      <c r="X28" s="17"/>
    </row>
    <row r="29" spans="2:24" s="14" customFormat="1">
      <c r="B29" s="16"/>
      <c r="C29" s="17"/>
      <c r="D29" s="16"/>
      <c r="E29" s="17"/>
      <c r="F29" s="17"/>
      <c r="G29" s="16"/>
      <c r="H29" s="18"/>
      <c r="I29" s="17"/>
      <c r="J29" s="16"/>
      <c r="K29" s="18"/>
      <c r="L29" s="18"/>
      <c r="M29" s="17"/>
      <c r="N29" s="17"/>
      <c r="O29" s="13"/>
      <c r="P29" s="11"/>
      <c r="Q29" s="15"/>
      <c r="R29" s="13"/>
      <c r="S29" s="13"/>
      <c r="T29" s="13"/>
      <c r="U29" s="13"/>
      <c r="V29" s="13"/>
      <c r="W29" s="19"/>
      <c r="X29" s="17"/>
    </row>
    <row r="30" spans="2:24" s="14" customFormat="1">
      <c r="B30" s="16"/>
      <c r="C30" s="17"/>
      <c r="D30" s="16"/>
      <c r="E30" s="17"/>
      <c r="F30" s="17"/>
      <c r="G30" s="16"/>
      <c r="H30" s="18"/>
      <c r="I30" s="17"/>
      <c r="J30" s="16"/>
      <c r="K30" s="18"/>
      <c r="L30" s="18"/>
      <c r="M30" s="17"/>
      <c r="N30" s="17"/>
      <c r="O30" s="13"/>
      <c r="P30" s="11"/>
      <c r="Q30" s="15"/>
      <c r="R30" s="13"/>
      <c r="S30" s="13"/>
      <c r="T30" s="13"/>
      <c r="U30" s="13"/>
      <c r="V30" s="13"/>
      <c r="W30" s="19"/>
      <c r="X30" s="17"/>
    </row>
    <row r="31" spans="2:24" s="14" customFormat="1">
      <c r="B31" s="16"/>
      <c r="C31" s="17"/>
      <c r="D31" s="16"/>
      <c r="E31" s="17"/>
      <c r="F31" s="17"/>
      <c r="G31" s="16"/>
      <c r="H31" s="18"/>
      <c r="I31" s="17"/>
      <c r="J31" s="16"/>
      <c r="K31" s="18"/>
      <c r="L31" s="18"/>
      <c r="M31" s="17"/>
      <c r="N31" s="17"/>
      <c r="O31" s="13"/>
      <c r="P31" s="11"/>
      <c r="Q31" s="15"/>
      <c r="R31" s="13"/>
      <c r="S31" s="13"/>
      <c r="T31" s="13"/>
      <c r="U31" s="13"/>
      <c r="V31" s="13"/>
      <c r="W31" s="19"/>
      <c r="X31" s="17"/>
    </row>
    <row r="32" spans="2:24" s="14" customFormat="1">
      <c r="B32" s="16"/>
      <c r="C32" s="17"/>
      <c r="D32" s="16"/>
      <c r="E32" s="17"/>
      <c r="F32" s="17"/>
      <c r="G32" s="16"/>
      <c r="H32" s="18"/>
      <c r="I32" s="17"/>
      <c r="J32" s="16"/>
      <c r="K32" s="18"/>
      <c r="L32" s="18"/>
      <c r="M32" s="17"/>
      <c r="N32" s="17"/>
      <c r="O32" s="13"/>
      <c r="P32" s="11"/>
      <c r="Q32" s="15"/>
      <c r="R32" s="13"/>
      <c r="S32" s="13"/>
      <c r="T32" s="13"/>
      <c r="U32" s="13"/>
      <c r="V32" s="13"/>
      <c r="W32" s="19"/>
      <c r="X32" s="17"/>
    </row>
    <row r="33" spans="2:24" s="14" customFormat="1">
      <c r="B33" s="16"/>
      <c r="C33" s="17"/>
      <c r="D33" s="16"/>
      <c r="E33" s="17"/>
      <c r="F33" s="17"/>
      <c r="G33" s="16"/>
      <c r="H33" s="18"/>
      <c r="I33" s="17"/>
      <c r="J33" s="16"/>
      <c r="K33" s="18"/>
      <c r="L33" s="18"/>
      <c r="M33" s="17"/>
      <c r="N33" s="17"/>
      <c r="O33" s="13"/>
      <c r="P33" s="11"/>
      <c r="Q33" s="15"/>
      <c r="R33" s="13"/>
      <c r="S33" s="13"/>
      <c r="T33" s="13"/>
      <c r="U33" s="13"/>
      <c r="V33" s="13"/>
      <c r="W33" s="19"/>
      <c r="X33" s="17"/>
    </row>
    <row r="34" spans="2:24">
      <c r="B34" s="22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23"/>
      <c r="N34" s="23"/>
      <c r="O34" s="13">
        <f t="shared" ref="O34:W34" si="0">SUM(O4:O33)</f>
        <v>0</v>
      </c>
      <c r="P34" s="13">
        <f t="shared" si="0"/>
        <v>0</v>
      </c>
      <c r="Q34" s="13">
        <f t="shared" si="0"/>
        <v>0</v>
      </c>
      <c r="R34" s="13">
        <f t="shared" si="0"/>
        <v>128000000</v>
      </c>
      <c r="S34" s="13">
        <f t="shared" si="0"/>
        <v>0</v>
      </c>
      <c r="T34" s="13">
        <f t="shared" si="0"/>
        <v>128000000</v>
      </c>
      <c r="U34" s="13">
        <f t="shared" si="0"/>
        <v>0</v>
      </c>
      <c r="V34" s="13">
        <f t="shared" si="0"/>
        <v>0</v>
      </c>
      <c r="W34" s="13">
        <f t="shared" si="0"/>
        <v>0</v>
      </c>
      <c r="X34" s="24"/>
    </row>
    <row r="35" spans="2:24">
      <c r="O35" s="20"/>
      <c r="P35" s="20"/>
      <c r="Q35" s="20"/>
      <c r="R35" s="20"/>
      <c r="S35" s="20"/>
      <c r="T35" s="20"/>
      <c r="U35" s="20"/>
      <c r="V35" s="20"/>
    </row>
  </sheetData>
  <mergeCells count="1">
    <mergeCell ref="C34:L34"/>
  </mergeCells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Total</vt:lpstr>
      <vt:lpstr>1.지아이씨</vt:lpstr>
      <vt:lpstr>2.현대로템</vt:lpstr>
      <vt:lpstr>3.인터모빌리티</vt:lpstr>
      <vt:lpstr>4.다원시스</vt:lpstr>
      <vt:lpstr>5.서울교통공사</vt:lpstr>
      <vt:lpstr>6.고구려엔지니어링</vt:lpstr>
      <vt:lpstr>7.GMTECH</vt:lpstr>
      <vt:lpstr>8.기타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성필 최</dc:creator>
  <cp:lastModifiedBy>user602</cp:lastModifiedBy>
  <dcterms:created xsi:type="dcterms:W3CDTF">2024-12-31T06:54:11Z</dcterms:created>
  <dcterms:modified xsi:type="dcterms:W3CDTF">2025-12-30T17:40:48Z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2025-03-20T14:49:32Z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61c35015-9fa4-4651-922d-4136e5bbd99f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
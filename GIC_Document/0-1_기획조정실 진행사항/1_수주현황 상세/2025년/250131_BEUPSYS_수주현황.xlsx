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CE84A295-4D76-4744-8926-481E7725ABEA}" xr6:coauthVersionLast="47" xr6:coauthVersionMax="47" xr10:uidLastSave="{00000000-0000-0000-0000-000000000000}"/>
  <bookViews>
    <workbookView xWindow="2868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인천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네이버시스템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F17" i="1"/>
  <c r="F16" i="1"/>
  <c r="W34" i="14" l="1"/>
  <c r="V34" i="14"/>
  <c r="U34" i="14"/>
  <c r="T34" i="14"/>
  <c r="S34" i="14"/>
  <c r="E16" i="1" s="1"/>
  <c r="R34" i="14"/>
  <c r="D16" i="1" s="1"/>
  <c r="Q34" i="14"/>
  <c r="I16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D15" i="1" s="1"/>
  <c r="Q34" i="13"/>
  <c r="I15" i="1" s="1"/>
  <c r="P34" i="13"/>
  <c r="H15" i="1" s="1"/>
  <c r="O34" i="13"/>
  <c r="G15" i="1" s="1"/>
  <c r="O34" i="2"/>
  <c r="G4" i="1" s="1"/>
  <c r="G17" i="1" s="1"/>
  <c r="P34" i="2"/>
  <c r="H4" i="1" s="1"/>
  <c r="H17" i="1" s="1"/>
  <c r="Q34" i="2"/>
  <c r="I4" i="1" s="1"/>
  <c r="J15" i="1" l="1"/>
  <c r="W34" i="12"/>
  <c r="V34" i="12"/>
  <c r="U34" i="12"/>
  <c r="T34" i="12"/>
  <c r="F14" i="1" s="1"/>
  <c r="S34" i="12"/>
  <c r="E14" i="1" s="1"/>
  <c r="R34" i="12"/>
  <c r="D14" i="1" s="1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D13" i="1" s="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D12" i="1" s="1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D11" i="1" s="1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D10" i="1" s="1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D9" i="1" s="1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D8" i="1" s="1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D7" i="1" s="1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R34" i="4"/>
  <c r="D6" i="1" s="1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D5" i="1" s="1"/>
  <c r="Q34" i="3"/>
  <c r="I5" i="1" s="1"/>
  <c r="P34" i="3"/>
  <c r="H5" i="1" s="1"/>
  <c r="W34" i="2"/>
  <c r="T34" i="2"/>
  <c r="F4" i="1" s="1"/>
  <c r="S34" i="2"/>
  <c r="E4" i="1" s="1"/>
  <c r="E17" i="1" s="1"/>
  <c r="O34" i="3"/>
  <c r="G5" i="1" s="1"/>
  <c r="U34" i="2"/>
  <c r="V34" i="2"/>
  <c r="J9" i="1" l="1"/>
  <c r="J8" i="1"/>
  <c r="J11" i="1"/>
  <c r="J10" i="1"/>
  <c r="J7" i="1"/>
  <c r="J6" i="1"/>
  <c r="J5" i="1"/>
  <c r="R34" i="2"/>
  <c r="D4" i="1" s="1"/>
  <c r="D17" i="1" s="1"/>
  <c r="J4" i="1" l="1"/>
  <c r="J17" i="1"/>
</calcChain>
</file>

<file path=xl/sharedStrings.xml><?xml version="1.0" encoding="utf-8"?>
<sst xmlns="http://schemas.openxmlformats.org/spreadsheetml/2006/main" count="437" uniqueCount="108">
  <si>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</si>
  <si>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</si>
  <si>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</si>
  <si>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</si>
  <si>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</si>
  <si>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</si>
  <si>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</si>
  <si>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</si>
  <si>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</si>
  <si>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</si>
  <si>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</si>
  <si>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</si>
  <si>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</si>
  <si>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</si>
  <si>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</si>
  <si>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</si>
  <si>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</si>
  <si>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</si>
  <si>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</si>
  <si>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</si>
  <si>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</si>
  <si>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</si>
  <si>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</si>
  <si>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</si>
  <si>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</si>
  <si>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</si>
  <si>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</si>
  <si>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</si>
  <si>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</si>
  <si>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</si>
  <si>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</si>
  <si>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</si>
  <si>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</si>
  <si>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</si>
  <si>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</si>
  <si>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</si>
  <si>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</si>
  <si>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</si>
  <si>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</si>
  <si>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</si>
  <si>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</si>
  <si>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</si>
  <si>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</si>
  <si>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</si>
  <si>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</si>
  <si>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</si>
  <si>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LCD CONTROL BOARD. FOR MOP.</t>
    <phoneticPr fontId="3" type="noConversion"/>
  </si>
  <si>
    <t>250430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</si>
  <si>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</si>
  <si>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</si>
  <si>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</si>
  <si>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</si>
  <si>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</si>
  <si>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</si>
  <si>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</si>
  <si>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</si>
  <si>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</si>
  <si>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</si>
  <si>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</si>
  <si>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</si>
  <si>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</si>
  <si>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</si>
  <si>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</si>
  <si>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</si>
  <si>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</si>
  <si>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</si>
  <si>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</si>
  <si>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</si>
  <si>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</si>
  <si>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</si>
  <si>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</si>
  <si>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</si>
  <si>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</si>
  <si>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</si>
  <si>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</si>
  <si>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</si>
  <si>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서울7호선 3차분 TCMS 개조</t>
  </si>
  <si>
    <t>4호선 방송편집기 소프트웨어개발</t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</si>
  <si>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</si>
  <si>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</si>
  <si>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</si>
  <si>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</si>
  <si>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</si>
  <si>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</si>
  <si>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</si>
  <si>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</si>
  <si>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</si>
  <si>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</si>
  <si>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</si>
  <si>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</si>
  <si>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</si>
  <si>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</si>
  <si>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</si>
  <si>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</si>
  <si>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</si>
  <si>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</si>
  <si>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</si>
  <si>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</si>
  <si>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</si>
  <si>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</si>
  <si>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인천교통공사</t>
    <phoneticPr fontId="3" type="noConversion"/>
  </si>
  <si>
    <t>GMTECH</t>
    <phoneticPr fontId="3" type="noConversion"/>
  </si>
  <si>
    <t>20250123-1</t>
    <phoneticPr fontId="3" type="noConversion"/>
  </si>
  <si>
    <t>250207</t>
    <phoneticPr fontId="3" type="noConversion"/>
  </si>
  <si>
    <t>네이버시스템</t>
    <phoneticPr fontId="3" type="noConversion"/>
  </si>
  <si>
    <t>코레일 EMU-150 TCMS 기반 통합편집기</t>
  </si>
  <si>
    <t>7호선 3차분 PIS-CSC 장치 개조</t>
  </si>
  <si>
    <t>2025년 1월 31일 수정계약 (사급 금액 제외)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</si>
</sst>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42" fontId="14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2" fontId="15" fillId="0" borderId="5" xfId="0" applyNumberFormat="1" applyFont="1" applyBorder="1">
      <alignment vertical="center"/>
    </xf>
    <xf numFmtId="42" fontId="15" fillId="0" borderId="1" xfId="0" applyNumberFormat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 x14ac:dyDescent="0.3">
      <c r="C2" s="1"/>
      <c r="D2" s="51" t="s">
        <v>89</v>
      </c>
      <c r="E2" s="52"/>
      <c r="F2" s="53"/>
      <c r="G2" s="52" t="s">
        <v>93</v>
      </c>
      <c r="H2" s="52"/>
      <c r="I2" s="52"/>
      <c r="J2" s="52"/>
      <c r="K2" s="52"/>
      <c r="L2" s="54"/>
    </row>
    <row r="3" spans="2:13" x14ac:dyDescent="0.3">
      <c r="B3" s="44" t="s">
        <v>87</v>
      </c>
      <c r="C3" s="37" t="s">
        <v>88</v>
      </c>
      <c r="D3" s="37" t="s">
        <v>92</v>
      </c>
      <c r="E3" s="37" t="s">
        <v>90</v>
      </c>
      <c r="F3" s="40" t="s">
        <v>91</v>
      </c>
      <c r="G3" s="39" t="s">
        <v>92</v>
      </c>
      <c r="H3" s="37" t="s">
        <v>98</v>
      </c>
      <c r="I3" s="37" t="s">
        <v>99</v>
      </c>
      <c r="J3" s="37" t="s">
        <v>95</v>
      </c>
      <c r="K3" s="37" t="s">
        <v>58</v>
      </c>
      <c r="L3" s="37" t="s">
        <v>59</v>
      </c>
      <c r="M3" s="37" t="s">
        <v>12</v>
      </c>
    </row>
    <row r="4" spans="2:13" x14ac:dyDescent="0.3">
      <c r="B4" s="44">
        <v>1</v>
      </c>
      <c r="C4" s="44" t="s">
        <v>94</v>
      </c>
      <c r="D4" s="58">
        <f>'1.지아이씨'!R34</f>
        <v>395235675.69999993</v>
      </c>
      <c r="E4" s="58">
        <f>'1.지아이씨'!S34</f>
        <v>395235675.69999993</v>
      </c>
      <c r="F4" s="41">
        <f>'1.지아이씨'!T34</f>
        <v>0</v>
      </c>
      <c r="G4" s="57">
        <f>'1.지아이씨'!O34</f>
        <v>395235675.69999999</v>
      </c>
      <c r="H4" s="58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 t="s">
        <v>107</v>
      </c>
    </row>
    <row r="5" spans="2:13" x14ac:dyDescent="0.3">
      <c r="B5" s="44">
        <v>2</v>
      </c>
      <c r="C5" s="44" t="s">
        <v>60</v>
      </c>
      <c r="D5" s="38">
        <f>'2.김포골드라인'!R34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0">G5/D5</f>
        <v>#DIV/0!</v>
      </c>
      <c r="K5" s="43"/>
      <c r="L5" s="43"/>
      <c r="M5" s="43"/>
    </row>
    <row r="6" spans="2:13" x14ac:dyDescent="0.3">
      <c r="B6" s="44">
        <v>3</v>
      </c>
      <c r="C6" s="44" t="s">
        <v>100</v>
      </c>
      <c r="D6" s="38">
        <f>'3.인천교통공사'!R34</f>
        <v>182000000</v>
      </c>
      <c r="E6" s="38">
        <f>'3.인천교통공사'!S34</f>
        <v>182000000</v>
      </c>
      <c r="F6" s="41">
        <f>'3.인천교통공사'!T34</f>
        <v>0</v>
      </c>
      <c r="G6" s="45">
        <f>'3.인천교통공사'!O34</f>
        <v>0</v>
      </c>
      <c r="H6" s="46">
        <f>'3.인천교통공사'!P34</f>
        <v>0</v>
      </c>
      <c r="I6" s="47">
        <f>'3.인천교통공사'!Q34</f>
        <v>0</v>
      </c>
      <c r="J6" s="42">
        <f t="shared" si="0"/>
        <v>0</v>
      </c>
      <c r="K6" s="43"/>
      <c r="L6" s="43"/>
      <c r="M6" s="43"/>
    </row>
    <row r="7" spans="2:13" x14ac:dyDescent="0.3">
      <c r="B7" s="44">
        <v>4</v>
      </c>
      <c r="C7" s="44" t="s">
        <v>62</v>
      </c>
      <c r="D7" s="38">
        <f>'4.현대로템'!R34</f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0"/>
        <v>0</v>
      </c>
      <c r="K7" s="43"/>
      <c r="L7" s="43"/>
      <c r="M7" s="43"/>
    </row>
    <row r="8" spans="2:13" x14ac:dyDescent="0.3">
      <c r="B8" s="44">
        <v>5</v>
      </c>
      <c r="C8" s="44" t="s">
        <v>66</v>
      </c>
      <c r="D8" s="38">
        <f>'5.실리콘큐브'!R34</f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0"/>
        <v>#DIV/0!</v>
      </c>
      <c r="K8" s="43"/>
      <c r="L8" s="43"/>
      <c r="M8" s="43"/>
    </row>
    <row r="9" spans="2:13" x14ac:dyDescent="0.3">
      <c r="B9" s="44">
        <v>6</v>
      </c>
      <c r="C9" s="44" t="s">
        <v>68</v>
      </c>
      <c r="D9" s="38">
        <f>'6.무한테크'!R34</f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0"/>
        <v>#DIV/0!</v>
      </c>
      <c r="K9" s="43"/>
      <c r="L9" s="43"/>
      <c r="M9" s="43"/>
    </row>
    <row r="10" spans="2:13" x14ac:dyDescent="0.3">
      <c r="B10" s="44">
        <v>7</v>
      </c>
      <c r="C10" s="44" t="s">
        <v>70</v>
      </c>
      <c r="D10" s="38">
        <f>'7.다원시스'!R34</f>
        <v>567731048</v>
      </c>
      <c r="E10" s="38">
        <f>'7.다원시스'!S34</f>
        <v>567731048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0"/>
        <v>0.50552105792177848</v>
      </c>
      <c r="K10" s="43"/>
      <c r="L10" s="43"/>
      <c r="M10" s="43"/>
    </row>
    <row r="11" spans="2:13" x14ac:dyDescent="0.3">
      <c r="B11" s="44">
        <v>8</v>
      </c>
      <c r="C11" s="44" t="s">
        <v>80</v>
      </c>
      <c r="D11" s="38">
        <f>'8.티랩'!R34</f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0"/>
        <v>#DIV/0!</v>
      </c>
      <c r="K11" s="43"/>
      <c r="L11" s="43"/>
      <c r="M11" s="43"/>
    </row>
    <row r="12" spans="2:13" x14ac:dyDescent="0.3">
      <c r="B12" s="44">
        <v>9</v>
      </c>
      <c r="C12" s="44" t="s">
        <v>82</v>
      </c>
      <c r="D12" s="38">
        <f>'9.마루소프트'!R34</f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0"/>
        <v>#DIV/0!</v>
      </c>
      <c r="K12" s="43"/>
      <c r="L12" s="43"/>
      <c r="M12" s="43"/>
    </row>
    <row r="13" spans="2:13" x14ac:dyDescent="0.3">
      <c r="B13" s="44">
        <v>10</v>
      </c>
      <c r="C13" s="44" t="s">
        <v>84</v>
      </c>
      <c r="D13" s="38">
        <f>'10.신진금고'!R34</f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0"/>
        <v>#DIV/0!</v>
      </c>
      <c r="K13" s="43"/>
      <c r="L13" s="43"/>
      <c r="M13" s="43"/>
    </row>
    <row r="14" spans="2:13" x14ac:dyDescent="0.3">
      <c r="B14" s="44">
        <v>11</v>
      </c>
      <c r="C14" s="44" t="s">
        <v>86</v>
      </c>
      <c r="D14" s="38">
        <f>'11.인터모빌리티'!R34</f>
        <v>0</v>
      </c>
      <c r="E14" s="38">
        <f>'11.인터모빌리티'!S34</f>
        <v>0</v>
      </c>
      <c r="F14" s="41">
        <f>'11.인터모빌리티'!T34</f>
        <v>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 t="e">
        <f t="shared" si="0"/>
        <v>#DIV/0!</v>
      </c>
      <c r="K14" s="43"/>
      <c r="L14" s="43"/>
      <c r="M14" s="43"/>
    </row>
    <row r="15" spans="2:13" x14ac:dyDescent="0.3">
      <c r="B15" s="44">
        <v>12</v>
      </c>
      <c r="C15" s="44" t="s">
        <v>101</v>
      </c>
      <c r="D15" s="38">
        <f>'12.GMTECH'!R34</f>
        <v>0</v>
      </c>
      <c r="E15" s="38">
        <f>'12.GMTECH'!S34</f>
        <v>0</v>
      </c>
      <c r="F15" s="41">
        <f>'12.GMTECH'!T34</f>
        <v>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 t="e">
        <f t="shared" ref="J15:J16" si="1">G15/D15</f>
        <v>#DIV/0!</v>
      </c>
      <c r="K15" s="43"/>
      <c r="L15" s="43"/>
      <c r="M15" s="43"/>
    </row>
    <row r="16" spans="2:13" x14ac:dyDescent="0.3">
      <c r="B16" s="44">
        <v>13</v>
      </c>
      <c r="C16" s="44" t="s">
        <v>104</v>
      </c>
      <c r="D16" s="38">
        <f>'13.네이버시스템'!R34</f>
        <v>1300000</v>
      </c>
      <c r="E16" s="38">
        <f>'13.네이버시스템'!S34</f>
        <v>1300000</v>
      </c>
      <c r="F16" s="41">
        <f>'13.네이버시스템'!T34</f>
        <v>0</v>
      </c>
      <c r="G16" s="45">
        <f>'13.네이버시스템'!O34</f>
        <v>0</v>
      </c>
      <c r="H16" s="45">
        <f>'13.네이버시스템'!P34</f>
        <v>0</v>
      </c>
      <c r="I16" s="47">
        <f>'13.네이버시스템'!Q34</f>
        <v>0</v>
      </c>
      <c r="J16" s="42">
        <f t="shared" si="1"/>
        <v>0</v>
      </c>
      <c r="K16" s="43"/>
      <c r="L16" s="43"/>
      <c r="M16" s="43"/>
    </row>
    <row r="17" spans="2:13" x14ac:dyDescent="0.3">
      <c r="B17" s="44"/>
      <c r="C17" s="44" t="s">
        <v>96</v>
      </c>
      <c r="D17" s="38">
        <f>SUM(D4:D16)</f>
        <v>1156250063.6999998</v>
      </c>
      <c r="E17" s="38">
        <f t="shared" ref="E17:I17" si="2">SUM(E4:E16)</f>
        <v>1156250063.6999998</v>
      </c>
      <c r="F17" s="41">
        <f t="shared" si="2"/>
        <v>0</v>
      </c>
      <c r="G17" s="45">
        <f t="shared" si="2"/>
        <v>682235675.70000005</v>
      </c>
      <c r="H17" s="46">
        <f t="shared" si="2"/>
        <v>682235675.70000005</v>
      </c>
      <c r="I17" s="47">
        <f t="shared" si="2"/>
        <v>0</v>
      </c>
      <c r="J17" s="42">
        <f t="shared" si="0"/>
        <v>0.59004163296376055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 x14ac:dyDescent="0.3">
      <c r="B2" s="7"/>
      <c r="C2" s="7"/>
    </row>
    <row r="3" spans="2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2:24" s="14" customFormat="1" ht="33" x14ac:dyDescent="0.3">
      <c r="B4" s="8">
        <v>1</v>
      </c>
      <c r="C4" s="8" t="s">
        <v>13</v>
      </c>
      <c r="D4" s="9" t="s">
        <v>14</v>
      </c>
      <c r="E4" s="9"/>
      <c r="F4" s="9"/>
      <c r="G4" s="8">
        <v>240524</v>
      </c>
      <c r="H4" s="10" t="s">
        <v>20</v>
      </c>
      <c r="I4" s="9" t="s">
        <v>19</v>
      </c>
      <c r="J4" s="8">
        <v>240524</v>
      </c>
      <c r="K4" s="10" t="s">
        <v>20</v>
      </c>
      <c r="L4" s="10"/>
      <c r="M4" s="9" t="s">
        <v>21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 x14ac:dyDescent="0.3">
      <c r="B5" s="8">
        <v>2</v>
      </c>
      <c r="C5" s="8" t="s">
        <v>13</v>
      </c>
      <c r="D5" s="9" t="s">
        <v>14</v>
      </c>
      <c r="E5" s="9"/>
      <c r="F5" s="9"/>
      <c r="G5" s="8">
        <v>240913</v>
      </c>
      <c r="H5" s="10" t="s">
        <v>29</v>
      </c>
      <c r="I5" s="9" t="s">
        <v>28</v>
      </c>
      <c r="J5" s="8">
        <v>240913</v>
      </c>
      <c r="K5" s="10" t="s">
        <v>29</v>
      </c>
      <c r="L5" s="10" t="s">
        <v>15</v>
      </c>
      <c r="M5" s="9" t="s">
        <v>30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 x14ac:dyDescent="0.3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31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 x14ac:dyDescent="0.3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32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 x14ac:dyDescent="0.3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33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 x14ac:dyDescent="0.3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22</v>
      </c>
      <c r="M9" s="9" t="s">
        <v>34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 x14ac:dyDescent="0.3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23</v>
      </c>
      <c r="M10" s="9" t="s">
        <v>35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 x14ac:dyDescent="0.3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24</v>
      </c>
      <c r="M11" s="9" t="s">
        <v>36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 x14ac:dyDescent="0.3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25</v>
      </c>
      <c r="M12" s="9" t="s">
        <v>37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 x14ac:dyDescent="0.3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26</v>
      </c>
      <c r="M13" s="9" t="s">
        <v>38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 x14ac:dyDescent="0.3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27</v>
      </c>
      <c r="M14" s="9" t="s">
        <v>39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 x14ac:dyDescent="0.3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40</v>
      </c>
      <c r="M15" s="9" t="s">
        <v>41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 x14ac:dyDescent="0.3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42</v>
      </c>
      <c r="M16" s="9" t="s">
        <v>43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 x14ac:dyDescent="0.3">
      <c r="B17" s="8">
        <v>3</v>
      </c>
      <c r="C17" s="8" t="s">
        <v>13</v>
      </c>
      <c r="D17" s="9" t="s">
        <v>14</v>
      </c>
      <c r="E17" s="9"/>
      <c r="F17" s="9"/>
      <c r="G17" s="8">
        <v>240923</v>
      </c>
      <c r="H17" s="10" t="s">
        <v>45</v>
      </c>
      <c r="I17" s="9" t="s">
        <v>44</v>
      </c>
      <c r="J17" s="8">
        <v>240923</v>
      </c>
      <c r="K17" s="10" t="s">
        <v>45</v>
      </c>
      <c r="L17" s="10" t="s">
        <v>16</v>
      </c>
      <c r="M17" s="9" t="s">
        <v>46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 x14ac:dyDescent="0.3">
      <c r="B18" s="8"/>
      <c r="C18" s="8"/>
      <c r="D18" s="9"/>
      <c r="E18" s="9"/>
      <c r="F18" s="9"/>
      <c r="G18" s="8"/>
      <c r="H18" s="10" t="s">
        <v>47</v>
      </c>
      <c r="I18" s="9"/>
      <c r="J18" s="8"/>
      <c r="K18" s="10" t="s">
        <v>47</v>
      </c>
      <c r="L18" s="10" t="s">
        <v>25</v>
      </c>
      <c r="M18" s="9" t="s">
        <v>48</v>
      </c>
      <c r="N18" s="9">
        <v>10</v>
      </c>
      <c r="O18" s="49">
        <v>12435200</v>
      </c>
      <c r="P18" s="49">
        <v>12435200</v>
      </c>
      <c r="Q18" s="50">
        <v>0</v>
      </c>
      <c r="R18" s="49">
        <v>12435200</v>
      </c>
      <c r="S18" s="49">
        <v>12435200</v>
      </c>
      <c r="T18" s="11"/>
      <c r="U18" s="11"/>
      <c r="V18" s="11"/>
      <c r="W18" s="12">
        <v>0</v>
      </c>
      <c r="X18" s="48" t="s">
        <v>107</v>
      </c>
    </row>
    <row r="19" spans="2:24" s="14" customFormat="1" x14ac:dyDescent="0.3">
      <c r="B19" s="8"/>
      <c r="C19" s="8"/>
      <c r="D19" s="9"/>
      <c r="E19" s="9"/>
      <c r="F19" s="9"/>
      <c r="G19" s="8"/>
      <c r="H19" s="10" t="s">
        <v>45</v>
      </c>
      <c r="I19" s="9"/>
      <c r="J19" s="8"/>
      <c r="K19" s="10" t="s">
        <v>45</v>
      </c>
      <c r="L19" s="10" t="s">
        <v>40</v>
      </c>
      <c r="M19" s="9" t="s">
        <v>49</v>
      </c>
      <c r="N19" s="9">
        <v>20</v>
      </c>
      <c r="O19" s="49">
        <v>23809600</v>
      </c>
      <c r="P19" s="49">
        <v>23809600</v>
      </c>
      <c r="Q19" s="50">
        <v>0</v>
      </c>
      <c r="R19" s="49">
        <v>23809600</v>
      </c>
      <c r="S19" s="49">
        <v>23809600</v>
      </c>
      <c r="T19" s="11"/>
      <c r="U19" s="11"/>
      <c r="V19" s="35"/>
      <c r="W19" s="12">
        <v>0</v>
      </c>
      <c r="X19" s="48" t="s">
        <v>107</v>
      </c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395235675.69999999</v>
      </c>
      <c r="P34" s="13">
        <f t="shared" si="0"/>
        <v>395235675.69999999</v>
      </c>
      <c r="Q34" s="13">
        <f t="shared" si="0"/>
        <v>0</v>
      </c>
      <c r="R34" s="13">
        <f t="shared" si="0"/>
        <v>395235675.69999993</v>
      </c>
      <c r="S34" s="13">
        <f t="shared" si="0"/>
        <v>395235675.69999993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61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100</v>
      </c>
      <c r="E4" s="17"/>
      <c r="F4" s="17"/>
      <c r="G4" s="16"/>
      <c r="H4" s="18"/>
      <c r="I4" s="17"/>
      <c r="J4" s="16"/>
      <c r="K4" s="18"/>
      <c r="L4" s="18"/>
      <c r="M4" s="18" t="s">
        <v>106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 x14ac:dyDescent="0.3">
      <c r="A5" s="1"/>
      <c r="B5" s="8"/>
      <c r="C5" s="8"/>
      <c r="D5" s="9"/>
      <c r="E5" s="9"/>
      <c r="F5" s="9"/>
      <c r="G5" s="8"/>
      <c r="H5" s="10"/>
      <c r="I5" s="9"/>
      <c r="J5" s="8"/>
      <c r="K5" s="10"/>
      <c r="L5" s="10"/>
      <c r="M5" s="9"/>
      <c r="N5" s="9"/>
      <c r="O5" s="11"/>
      <c r="P5" s="11"/>
      <c r="Q5" s="36"/>
      <c r="R5" s="11"/>
      <c r="S5" s="11"/>
      <c r="T5" s="11"/>
      <c r="U5" s="11"/>
      <c r="V5" s="11"/>
      <c r="W5" s="11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182000000</v>
      </c>
      <c r="S34" s="13">
        <f t="shared" si="0"/>
        <v>182000000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63</v>
      </c>
      <c r="E4" s="17">
        <v>2024122401</v>
      </c>
      <c r="F4" s="17"/>
      <c r="G4" s="16">
        <v>241224</v>
      </c>
      <c r="H4" s="18" t="s">
        <v>65</v>
      </c>
      <c r="I4" s="17"/>
      <c r="J4" s="16"/>
      <c r="K4" s="18"/>
      <c r="L4" s="18"/>
      <c r="M4" s="18" t="s">
        <v>64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8">
        <v>1</v>
      </c>
      <c r="C4" s="8" t="s">
        <v>13</v>
      </c>
      <c r="D4" s="9" t="s">
        <v>67</v>
      </c>
      <c r="E4" s="9"/>
      <c r="F4" s="9"/>
      <c r="G4" s="8"/>
      <c r="H4" s="10"/>
      <c r="I4" s="9"/>
      <c r="J4" s="8"/>
      <c r="K4" s="1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8">
        <v>1</v>
      </c>
      <c r="C4" s="8" t="s">
        <v>13</v>
      </c>
      <c r="D4" s="9" t="s">
        <v>69</v>
      </c>
      <c r="E4" s="9"/>
      <c r="F4" s="9"/>
      <c r="G4" s="8"/>
      <c r="H4" s="10"/>
      <c r="I4" s="9"/>
      <c r="J4" s="8"/>
      <c r="K4" s="1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ht="33" x14ac:dyDescent="0.3">
      <c r="B4" s="8">
        <v>1</v>
      </c>
      <c r="C4" s="8" t="s">
        <v>13</v>
      </c>
      <c r="D4" s="9" t="s">
        <v>71</v>
      </c>
      <c r="E4" s="9"/>
      <c r="F4" s="9"/>
      <c r="G4" s="8">
        <v>240611</v>
      </c>
      <c r="H4" s="10" t="s">
        <v>74</v>
      </c>
      <c r="I4" s="9" t="s">
        <v>72</v>
      </c>
      <c r="J4" s="8"/>
      <c r="K4" s="10"/>
      <c r="L4" s="10"/>
      <c r="M4" s="10" t="s">
        <v>76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 x14ac:dyDescent="0.3">
      <c r="A5" s="1"/>
      <c r="B5" s="8">
        <v>2</v>
      </c>
      <c r="C5" s="8" t="s">
        <v>13</v>
      </c>
      <c r="D5" s="9" t="s">
        <v>70</v>
      </c>
      <c r="E5" s="9">
        <v>202406241</v>
      </c>
      <c r="F5" s="9"/>
      <c r="G5" s="8">
        <v>240829</v>
      </c>
      <c r="H5" s="10" t="s">
        <v>75</v>
      </c>
      <c r="I5" s="9" t="s">
        <v>73</v>
      </c>
      <c r="J5" s="8"/>
      <c r="K5" s="10"/>
      <c r="L5" s="10"/>
      <c r="M5" s="9" t="s">
        <v>77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 x14ac:dyDescent="0.3">
      <c r="B6" s="16">
        <v>3</v>
      </c>
      <c r="C6" s="16" t="s">
        <v>13</v>
      </c>
      <c r="D6" s="17" t="s">
        <v>71</v>
      </c>
      <c r="E6" s="17">
        <v>2024121901</v>
      </c>
      <c r="F6" s="17"/>
      <c r="G6" s="16">
        <v>241219</v>
      </c>
      <c r="H6" s="18" t="s">
        <v>78</v>
      </c>
      <c r="I6" s="17"/>
      <c r="J6" s="16"/>
      <c r="K6" s="18"/>
      <c r="L6" s="18"/>
      <c r="M6" s="17" t="s">
        <v>79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 x14ac:dyDescent="0.3">
      <c r="B7" s="16">
        <v>4</v>
      </c>
      <c r="C7" s="16" t="s">
        <v>13</v>
      </c>
      <c r="D7" s="17" t="s">
        <v>71</v>
      </c>
      <c r="E7" s="17" t="s">
        <v>102</v>
      </c>
      <c r="F7" s="17"/>
      <c r="G7" s="16">
        <v>250123</v>
      </c>
      <c r="H7" s="18" t="s">
        <v>103</v>
      </c>
      <c r="I7" s="17"/>
      <c r="J7" s="16"/>
      <c r="K7" s="18"/>
      <c r="L7" s="18"/>
      <c r="M7" s="17" t="s">
        <v>105</v>
      </c>
      <c r="N7" s="17"/>
      <c r="O7" s="13"/>
      <c r="P7" s="11"/>
      <c r="Q7" s="26"/>
      <c r="R7" s="13">
        <v>210731048</v>
      </c>
      <c r="S7" s="13">
        <v>210731048</v>
      </c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287000000</v>
      </c>
      <c r="P34" s="13">
        <f t="shared" si="0"/>
        <v>287000000</v>
      </c>
      <c r="Q34" s="13">
        <f t="shared" si="0"/>
        <v>0</v>
      </c>
      <c r="R34" s="13">
        <f t="shared" si="0"/>
        <v>567731048</v>
      </c>
      <c r="S34" s="13">
        <f t="shared" si="0"/>
        <v>567731048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81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83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85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86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101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C2" s="7"/>
    </row>
    <row r="3" spans="1:24" s="27" customFormat="1" x14ac:dyDescent="0.3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6" t="s">
        <v>13</v>
      </c>
      <c r="D4" s="17" t="s">
        <v>104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 x14ac:dyDescent="0.3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55" t="s">
        <v>50</v>
      </c>
      <c r="D34" s="56"/>
      <c r="E34" s="56"/>
      <c r="F34" s="56"/>
      <c r="G34" s="56"/>
      <c r="H34" s="56"/>
      <c r="I34" s="56"/>
      <c r="J34" s="56"/>
      <c r="K34" s="56"/>
      <c r="L34" s="5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13.네이버시스템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2025-02-04T03:14:35Z</dcterms:modified>
</cp:coreProperties>
</file>
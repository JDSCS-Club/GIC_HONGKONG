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및생산회의_장부문장주관\1_수주현황 상세\2025년\"/>
    </mc:Choice>
  </mc:AlternateContent>
  <xr:revisionPtr revIDLastSave="0" documentId="13_ncr:1_{88B50FD9-AE2A-4FB5-B8B8-1A10C423EB02}" xr6:coauthVersionLast="47" xr6:coauthVersionMax="47" xr10:uidLastSave="{00000000-0000-0000-0000-000000000000}"/>
  <bookViews>
    <workbookView xWindow="-120" yWindow="-120" windowWidth="29040" windowHeight="1584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12" l="1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<sst xmlns="http://schemas.openxmlformats.org/spreadsheetml/2006/main" count="392" uniqueCount="169">
  <si>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</si>
  <si>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</si>
  <si>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</si>
  <si>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</si>
  <si>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</si>
  <si>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</si>
  <si>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</si>
  <si>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</si>
  <si>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</si>
  <si>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</si>
  <si>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</si>
  <si>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</si>
  <si>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</si>
  <si>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</si>
  <si>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</si>
  <si>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</si>
  <si>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</si>
  <si>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</si>
  <si>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</si>
  <si>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</si>
  <si>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</si>
  <si>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</si>
  <si>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</si>
  <si>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</si>
  <si>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</si>
  <si>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</si>
  <si>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</si>
  <si>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</si>
  <si>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</si>
  <si>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</si>
  <si>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</si>
  <si>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</si>
  <si>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</si>
  <si>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</si>
  <si>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</si>
  <si>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</si>
  <si>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</si>
  <si>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</si>
  <si>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</si>
  <si>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</si>
  <si>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</si>
  <si>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</si>
  <si>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</si>
  <si>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</si>
  <si>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</si>
  <si>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</si>
  <si>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</si>
  <si>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</si>
  <si>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</si>
  <si>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</si>
  <si>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</si>
  <si>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</si>
  <si>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</si>
  <si>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</si>
  <si>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</si>
  <si>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</si>
  <si>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</si>
  <si>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</si>
  <si>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</si>
  <si>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</si>
  <si>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</si>
  <si>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</si>
  <si>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</si>
  <si>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</si>
  <si>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</si>
  <si>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</si>
  <si>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</si>
  <si>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</si>
  <si>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</si>
  <si>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</si>
  <si>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</si>
  <si>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</si>
  <si>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</si>
  <si>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</si>
  <si>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</si>
  <si>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</si>
  <si>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</si>
  <si>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</si>
  <si>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</si>
  <si>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</si>
  <si>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</si>
  <si>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</si>
  <si>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</si>
  <si>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</si>
  <si>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</si>
  <si>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</si>
  <si>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</si>
  <si>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</si>
  <si>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</si>
  <si>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</si>
  <si>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</si>
  <si>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</si>
  <si>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</si>
  <si>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</si>
  <si>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</si>
  <si>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</si>
  <si>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</si>
  <si>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</si>
  <si>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</si>
  <si>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</si>
  <si>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</si>
  <si>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</si>
  <si>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</si>
  <si>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</si>
  <si>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</si>
  <si>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</si>
  <si>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</si>
  <si>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</si>
  <si>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</si>
  <si>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</si>
  <si>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</si>
  <si>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</si>
  <si>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</si>
  <si>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</si>
  <si>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</si>
  <si>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</si>
  <si>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</si>
  <si>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</si>
  <si>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</si>
  <si>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위플랫</t>
    <phoneticPr fontId="3" type="noConversion"/>
  </si>
  <si>
    <t>GPR 시스템 개발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</si>
  <si>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</si>
  <si>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</si>
  <si>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</si>
  <si>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</si>
  <si>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</si>
  <si>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</si>
  <si>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</si>
  <si>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</si>
  <si>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</si>
  <si>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</si>
  <si>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</si>
  <si>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</si>
  <si>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</si>
  <si>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</si>
  <si>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</si>
  <si>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</si>
  <si>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</si>
  <si>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</si>
  <si>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</si>
  <si>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e-mail</t>
    <phoneticPr fontId="3" type="noConversion"/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</si>
  <si>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</si>
  <si>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</si>
  <si>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</si>
  <si>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7호선 3차분 PIS-CSC 장치 보수품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</si>
  <si>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</si>
  <si>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</si>
  <si>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</si>
  <si>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</si>
  <si>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</si>
  <si>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</si>
  <si>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</si>
  <si>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</si>
  <si>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250808 대금 30%(\105,304,551) 입금 / 프로젝트 종료</t>
    <phoneticPr fontId="3" type="noConversion"/>
  </si>
  <si>
    <t>2024년 수주 이월 / 프로젝트 종료</t>
    <phoneticPr fontId="3" type="noConversion"/>
  </si>
  <si>
    <t>250702 e-mail로 PO 대체 /
250724 예비품 개발 가능 여부 검토 중</t>
    <phoneticPr fontId="3" type="noConversion"/>
  </si>
  <si>
    <t>자카르타 경전철 TCMS 신규 개발</t>
    <phoneticPr fontId="3" type="noConversion"/>
  </si>
  <si>
    <t>마흐믓베이 SENSOR_NOISE 포함 6종</t>
  </si>
  <si>
    <t>250808 수정견적 제출</t>
    <phoneticPr fontId="3" type="noConversion"/>
  </si>
  <si>
    <t>20250211-01_rev.3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</si>
  <si>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250808 중도금 30%(\81,000,000) 전자세금계산서 발급</t>
    </r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</si>
  <si>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</si>
  <si>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</si>
  <si>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</si>
  <si>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</si>
  <si>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250801 선금(30%) 지급 완료</t>
    <phoneticPr fontId="3" type="noConversion"/>
  </si>
  <si>
    <t>개발 자재대금 보전 성격 / 지급 완료</t>
    <phoneticPr fontId="3" type="noConversion"/>
  </si>
  <si>
    <t>250801 대금 지급 완료</t>
    <phoneticPr fontId="3" type="noConversion"/>
  </si>
  <si>
    <t>250818 [KTU 신역사] 라이선스 리스크 비용 책정 검토
250702 [9호선 열차번호표시기 SW] e-mail로 PO 대체 /
250724 예비품 개발 가능 여부 검토 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</si>
</sst>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2" t="s">
        <v>75</v>
      </c>
      <c r="F2" s="73"/>
      <c r="G2" s="74"/>
      <c r="H2" s="73" t="s">
        <v>79</v>
      </c>
      <c r="I2" s="73"/>
      <c r="J2" s="73"/>
      <c r="K2" s="73"/>
      <c r="L2" s="73"/>
      <c r="M2" s="75"/>
    </row>
    <row r="3" spans="2:14">
      <c r="B3" s="62" t="s">
        <v>73</v>
      </c>
      <c r="C3" s="76" t="s">
        <v>74</v>
      </c>
      <c r="D3" s="75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80</v>
      </c>
      <c r="D4" s="75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9"/>
    </row>
    <row r="5" spans="2:14" ht="49.5">
      <c r="B5" s="44">
        <v>2</v>
      </c>
      <c r="C5" s="72" t="s">
        <v>55</v>
      </c>
      <c r="D5" s="75"/>
      <c r="E5" s="49">
        <f>SUM(F5:G5)</f>
        <v>527373790</v>
      </c>
      <c r="F5" s="38">
        <f>'2.현대로템'!S34</f>
        <v>527373790</v>
      </c>
      <c r="G5" s="41">
        <f>'2.현대로템'!T34</f>
        <v>0</v>
      </c>
      <c r="H5" s="45">
        <f>'2.현대로템'!O34</f>
        <v>28567790</v>
      </c>
      <c r="I5" s="46">
        <f>'2.현대로템'!P34</f>
        <v>28567790</v>
      </c>
      <c r="J5" s="47">
        <f>'2.현대로템'!Q34</f>
        <v>0</v>
      </c>
      <c r="K5" s="42">
        <f>H5/E5</f>
        <v>5.4169908595571276E-2</v>
      </c>
      <c r="L5" s="43"/>
      <c r="M5" s="43"/>
      <c r="N5" s="69" t="s">
        <v>168</v>
      </c>
    </row>
    <row r="6" spans="2:14">
      <c r="B6" s="44">
        <v>3</v>
      </c>
      <c r="C6" s="72" t="s">
        <v>72</v>
      </c>
      <c r="D6" s="75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70"/>
    </row>
    <row r="7" spans="2:14">
      <c r="B7" s="44">
        <v>4</v>
      </c>
      <c r="C7" s="72" t="s">
        <v>61</v>
      </c>
      <c r="D7" s="75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44">
        <v>5</v>
      </c>
      <c r="C8" s="72" t="s">
        <v>94</v>
      </c>
      <c r="D8" s="75"/>
      <c r="E8" s="49">
        <f t="shared" ref="E8:E20" si="0">SUM(F8:G8)</f>
        <v>186300000</v>
      </c>
      <c r="F8" s="38">
        <f>'5.서울교통공사'!S34</f>
        <v>0</v>
      </c>
      <c r="G8" s="41">
        <f>'5.서울교통공사'!T34</f>
        <v>186300000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6.4412238325281803E-3</v>
      </c>
      <c r="L8" s="43"/>
      <c r="M8" s="43"/>
      <c r="N8" s="56"/>
    </row>
    <row r="9" spans="2:14">
      <c r="B9" s="44">
        <v>6</v>
      </c>
      <c r="C9" s="72" t="s">
        <v>123</v>
      </c>
      <c r="D9" s="75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9"/>
    </row>
    <row r="10" spans="2:14">
      <c r="B10" s="44">
        <v>7</v>
      </c>
      <c r="C10" s="72" t="s">
        <v>86</v>
      </c>
      <c r="D10" s="75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70"/>
    </row>
    <row r="11" spans="2:14">
      <c r="B11" s="62" t="s">
        <v>145</v>
      </c>
      <c r="C11" s="77" t="s">
        <v>107</v>
      </c>
      <c r="D11" s="44" t="s">
        <v>122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70"/>
    </row>
    <row r="12" spans="2:14">
      <c r="B12" s="62" t="s">
        <v>146</v>
      </c>
      <c r="C12" s="78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147</v>
      </c>
      <c r="C13" s="78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148</v>
      </c>
      <c r="C14" s="78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149</v>
      </c>
      <c r="C15" s="78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150</v>
      </c>
      <c r="C16" s="78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151</v>
      </c>
      <c r="C17" s="78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152</v>
      </c>
      <c r="C18" s="79"/>
      <c r="D18" s="44" t="s">
        <v>119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7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2178219841.6999998</v>
      </c>
      <c r="F20" s="38">
        <f>SUM(F4:F19)</f>
        <v>1312237374.6999998</v>
      </c>
      <c r="G20" s="41">
        <f>SUM(G4:G19)</f>
        <v>865982467</v>
      </c>
      <c r="H20" s="45">
        <f>SUM(H4:H19)</f>
        <v>783840374.70000005</v>
      </c>
      <c r="I20" s="46">
        <f>SUM(I4:I19)</f>
        <v>783840374.70000005</v>
      </c>
      <c r="J20" s="47">
        <f>SUM(J4:J19)</f>
        <v>0</v>
      </c>
      <c r="K20" s="42">
        <f t="shared" si="1"/>
        <v>0.3598536565015627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1" t="s">
        <v>153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2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2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2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2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2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2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2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2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2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2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3"/>
    </row>
    <row r="17" spans="2:24" s="14" customFormat="1" ht="33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1" t="s">
        <v>154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2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3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S4" activePane="bottomRight" state="frozen"/>
      <selection pane="topRight" activeCell="L1" sqref="L1"/>
      <selection pane="bottomLeft" activeCell="A4" sqref="A4"/>
      <selection pane="bottomRight" activeCell="X8" sqref="X8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115</v>
      </c>
    </row>
    <row r="6" spans="1:24" s="14" customFormat="1" ht="33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63">
        <v>6875</v>
      </c>
    </row>
    <row r="7" spans="1:24" s="14" customFormat="1" ht="33">
      <c r="B7" s="16">
        <v>4</v>
      </c>
      <c r="C7" s="17" t="s">
        <v>56</v>
      </c>
      <c r="D7" s="16" t="s">
        <v>104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112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121</v>
      </c>
    </row>
    <row r="8" spans="1:24" s="14" customFormat="1" ht="33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45772</v>
      </c>
      <c r="H8" s="52">
        <f>G8+15</f>
        <v>45787</v>
      </c>
      <c r="I8" s="71" t="s">
        <v>140</v>
      </c>
      <c r="J8" s="51">
        <v>45840</v>
      </c>
      <c r="K8" s="18"/>
      <c r="L8" s="18"/>
      <c r="M8" s="9" t="s">
        <v>118</v>
      </c>
      <c r="N8" s="17"/>
      <c r="O8" s="11">
        <v>8684450</v>
      </c>
      <c r="P8" s="11">
        <v>8684450</v>
      </c>
      <c r="Q8" s="26"/>
      <c r="R8" s="13">
        <v>10217000</v>
      </c>
      <c r="S8" s="53">
        <v>8684450</v>
      </c>
      <c r="T8" s="13"/>
      <c r="U8" s="13"/>
      <c r="V8" s="13"/>
      <c r="W8" s="19"/>
      <c r="X8" s="48" t="s">
        <v>155</v>
      </c>
    </row>
    <row r="9" spans="1:24" s="14" customFormat="1">
      <c r="B9" s="16">
        <v>6</v>
      </c>
      <c r="C9" s="17" t="s">
        <v>56</v>
      </c>
      <c r="D9" s="16" t="s">
        <v>131</v>
      </c>
      <c r="E9" s="17"/>
      <c r="F9" s="17"/>
      <c r="G9" s="16"/>
      <c r="H9" s="18"/>
      <c r="I9" s="17"/>
      <c r="J9" s="16"/>
      <c r="K9" s="18"/>
      <c r="L9" s="18"/>
      <c r="M9" s="17" t="s">
        <v>134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>
        <v>7</v>
      </c>
      <c r="C10" s="17" t="s">
        <v>56</v>
      </c>
      <c r="D10" s="16" t="s">
        <v>132</v>
      </c>
      <c r="E10" s="17"/>
      <c r="F10" s="17"/>
      <c r="G10" s="16"/>
      <c r="H10" s="18"/>
      <c r="I10" s="17"/>
      <c r="J10" s="16"/>
      <c r="K10" s="18"/>
      <c r="L10" s="18"/>
      <c r="M10" s="17" t="s">
        <v>156</v>
      </c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>
        <v>8</v>
      </c>
      <c r="C11" s="17" t="s">
        <v>56</v>
      </c>
      <c r="D11" s="16" t="s">
        <v>133</v>
      </c>
      <c r="E11" s="17"/>
      <c r="F11" s="17"/>
      <c r="G11" s="16"/>
      <c r="H11" s="18"/>
      <c r="I11" s="17"/>
      <c r="J11" s="16"/>
      <c r="K11" s="18"/>
      <c r="L11" s="18"/>
      <c r="M11" s="17" t="s">
        <v>135</v>
      </c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ht="33">
      <c r="B12" s="16">
        <v>9</v>
      </c>
      <c r="C12" s="17" t="s">
        <v>56</v>
      </c>
      <c r="D12" s="16" t="s">
        <v>133</v>
      </c>
      <c r="E12" s="17"/>
      <c r="F12" s="17"/>
      <c r="G12" s="16"/>
      <c r="H12" s="18"/>
      <c r="I12" s="17"/>
      <c r="J12" s="16"/>
      <c r="K12" s="18"/>
      <c r="L12" s="18"/>
      <c r="M12" s="17" t="s">
        <v>136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ht="33">
      <c r="B13" s="16">
        <v>10</v>
      </c>
      <c r="C13" s="17" t="s">
        <v>56</v>
      </c>
      <c r="D13" s="16" t="s">
        <v>133</v>
      </c>
      <c r="E13" s="17"/>
      <c r="F13" s="17"/>
      <c r="G13" s="16"/>
      <c r="H13" s="18"/>
      <c r="I13" s="17"/>
      <c r="J13" s="16"/>
      <c r="K13" s="18"/>
      <c r="L13" s="18"/>
      <c r="M13" s="17" t="s">
        <v>137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133</v>
      </c>
      <c r="E14" s="17"/>
      <c r="F14" s="17"/>
      <c r="G14" s="16"/>
      <c r="H14" s="18"/>
      <c r="I14" s="17"/>
      <c r="J14" s="16"/>
      <c r="K14" s="18"/>
      <c r="L14" s="18"/>
      <c r="M14" s="17" t="s">
        <v>138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>
        <v>12</v>
      </c>
      <c r="C15" s="17" t="s">
        <v>56</v>
      </c>
      <c r="D15" s="16" t="s">
        <v>133</v>
      </c>
      <c r="E15" s="17"/>
      <c r="F15" s="17"/>
      <c r="G15" s="16"/>
      <c r="H15" s="18"/>
      <c r="I15" s="17"/>
      <c r="J15" s="16"/>
      <c r="K15" s="18"/>
      <c r="L15" s="18"/>
      <c r="M15" s="17" t="s">
        <v>139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>
        <v>13</v>
      </c>
      <c r="C16" s="17" t="s">
        <v>56</v>
      </c>
      <c r="D16" s="16" t="s">
        <v>133</v>
      </c>
      <c r="E16" s="17"/>
      <c r="F16" s="17"/>
      <c r="G16" s="16"/>
      <c r="H16" s="18"/>
      <c r="I16" s="17"/>
      <c r="J16" s="16"/>
      <c r="K16" s="18"/>
      <c r="L16" s="18"/>
      <c r="M16" s="17" t="s">
        <v>157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28567790</v>
      </c>
      <c r="P34" s="13">
        <f t="shared" si="0"/>
        <v>28567790</v>
      </c>
      <c r="Q34" s="13">
        <f t="shared" si="0"/>
        <v>0</v>
      </c>
      <c r="R34" s="13">
        <f t="shared" si="0"/>
        <v>528906340</v>
      </c>
      <c r="S34" s="13">
        <f t="shared" si="0"/>
        <v>527373790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142</v>
      </c>
      <c r="F4" s="9"/>
      <c r="G4" s="51">
        <v>45793</v>
      </c>
      <c r="H4" s="51">
        <f>G4+15</f>
        <v>45808</v>
      </c>
      <c r="I4" s="71"/>
      <c r="J4" s="51">
        <v>45849</v>
      </c>
      <c r="K4" s="18"/>
      <c r="L4" s="18"/>
      <c r="M4" s="17" t="s">
        <v>162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48" t="s">
        <v>167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142</v>
      </c>
      <c r="F5" s="9"/>
      <c r="G5" s="51">
        <v>45793</v>
      </c>
      <c r="H5" s="51">
        <f>G5+15</f>
        <v>45808</v>
      </c>
      <c r="I5" s="71"/>
      <c r="J5" s="51">
        <v>45876</v>
      </c>
      <c r="K5" s="18"/>
      <c r="L5" s="18"/>
      <c r="M5" s="17" t="s">
        <v>163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48" t="s">
        <v>166</v>
      </c>
    </row>
    <row r="6" spans="1:24" s="14" customFormat="1" ht="33">
      <c r="B6" s="16">
        <v>3</v>
      </c>
      <c r="C6" s="9" t="s">
        <v>72</v>
      </c>
      <c r="D6" s="8" t="s">
        <v>13</v>
      </c>
      <c r="E6" s="9" t="s">
        <v>142</v>
      </c>
      <c r="F6" s="9"/>
      <c r="G6" s="51">
        <v>45793</v>
      </c>
      <c r="H6" s="51">
        <f>G6+15</f>
        <v>45808</v>
      </c>
      <c r="I6" s="71"/>
      <c r="J6" s="51">
        <v>45840</v>
      </c>
      <c r="K6" s="18"/>
      <c r="L6" s="18"/>
      <c r="M6" s="17" t="s">
        <v>164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165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49.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9" t="s">
        <v>160</v>
      </c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161</v>
      </c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141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42000000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102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8" t="s">
        <v>144</v>
      </c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A4" sqref="A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124</v>
      </c>
      <c r="D4" s="16" t="s">
        <v>13</v>
      </c>
      <c r="E4" s="17" t="s">
        <v>127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125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126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128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129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R4" sqref="R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114</v>
      </c>
      <c r="E4" s="17" t="s">
        <v>159</v>
      </c>
      <c r="F4" s="17"/>
      <c r="G4" s="57">
        <v>45877</v>
      </c>
      <c r="H4" s="57">
        <v>45900</v>
      </c>
      <c r="I4" s="17"/>
      <c r="J4" s="50"/>
      <c r="K4" s="50"/>
      <c r="L4" s="18"/>
      <c r="M4" s="17" t="s">
        <v>91</v>
      </c>
      <c r="N4" s="17"/>
      <c r="O4" s="13"/>
      <c r="P4" s="11"/>
      <c r="Q4" s="15"/>
      <c r="R4" s="13">
        <v>575270000</v>
      </c>
      <c r="S4" s="53">
        <v>30791000</v>
      </c>
      <c r="T4" s="53"/>
      <c r="U4" s="13"/>
      <c r="V4" s="13"/>
      <c r="W4" s="19"/>
      <c r="X4" s="48" t="s">
        <v>158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G44" sqref="G4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122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130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119</v>
      </c>
      <c r="D11" s="16" t="s">
        <v>13</v>
      </c>
      <c r="E11" s="17"/>
      <c r="F11" s="17"/>
      <c r="G11" s="68">
        <v>45786</v>
      </c>
      <c r="H11" s="18"/>
      <c r="I11" s="17"/>
      <c r="J11" s="16"/>
      <c r="K11" s="18"/>
      <c r="L11" s="18"/>
      <c r="M11" s="66" t="s">
        <v>120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71" t="s">
        <v>143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2025-08-18T15:53:29Z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
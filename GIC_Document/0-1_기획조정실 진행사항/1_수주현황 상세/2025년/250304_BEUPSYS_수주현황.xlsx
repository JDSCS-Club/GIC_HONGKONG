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7E040D32-C3BE-4E39-93A8-95E5A4DCBB16}" xr6:coauthVersionLast="47" xr6:coauthVersionMax="47" xr10:uidLastSave="{00000000-0000-0000-0000-000000000000}"/>
  <bookViews>
    <workbookView xWindow="28680" yWindow="-120" windowWidth="29040" windowHeight="17640" activeTab="4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ONsemi" sheetId="15" r:id="rId14"/>
    <sheet name="14.아이디넷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H16" i="1"/>
  <c r="G16" i="1"/>
  <c r="F16" i="1"/>
  <c r="E16" i="1"/>
  <c r="W34" i="15"/>
  <c r="V34" i="15"/>
  <c r="U34" i="15"/>
  <c r="T34" i="15"/>
  <c r="S34" i="15"/>
  <c r="R34" i="15"/>
  <c r="Q34" i="15"/>
  <c r="P34" i="15"/>
  <c r="O34" i="15"/>
  <c r="D16" i="1" l="1"/>
  <c r="H5" i="4"/>
  <c r="H4" i="13" l="1"/>
  <c r="K5" i="8" l="1"/>
  <c r="J5" i="8"/>
  <c r="K4" i="8"/>
  <c r="J4" i="8"/>
  <c r="H4" i="4"/>
  <c r="H4" i="5" l="1"/>
  <c r="H7" i="8"/>
  <c r="H6" i="8"/>
  <c r="K4" i="14"/>
  <c r="J4" i="14"/>
  <c r="H4" i="14"/>
  <c r="K19" i="2"/>
  <c r="K18" i="2"/>
  <c r="K17" i="2"/>
  <c r="K5" i="2"/>
  <c r="K4" i="2"/>
  <c r="J17" i="2"/>
  <c r="J5" i="2"/>
  <c r="J4" i="2"/>
  <c r="H4" i="12"/>
  <c r="F17" i="1" l="1"/>
  <c r="W34" i="14" l="1"/>
  <c r="V34" i="14"/>
  <c r="U34" i="14"/>
  <c r="T34" i="14"/>
  <c r="S34" i="14"/>
  <c r="E17" i="1" s="1"/>
  <c r="D17" i="1" s="1"/>
  <c r="R34" i="14"/>
  <c r="Q34" i="14"/>
  <c r="I17" i="1" s="1"/>
  <c r="P34" i="14"/>
  <c r="H17" i="1" s="1"/>
  <c r="O34" i="14"/>
  <c r="G17" i="1" s="1"/>
  <c r="W34" i="13"/>
  <c r="V34" i="13"/>
  <c r="U34" i="13"/>
  <c r="T34" i="13"/>
  <c r="F15" i="1" s="1"/>
  <c r="S34" i="13"/>
  <c r="E15" i="1" s="1"/>
  <c r="D15" i="1" s="1"/>
  <c r="R34" i="13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J17" i="1" l="1"/>
  <c r="J15" i="1"/>
  <c r="W34" i="12"/>
  <c r="V34" i="12"/>
  <c r="U34" i="12"/>
  <c r="T34" i="12"/>
  <c r="F14" i="1" s="1"/>
  <c r="S34" i="12"/>
  <c r="E14" i="1" s="1"/>
  <c r="D14" i="1" s="1"/>
  <c r="R34" i="12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D13" i="1" s="1"/>
  <c r="R34" i="1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Q34" i="10"/>
  <c r="I12" i="1" s="1"/>
  <c r="P34" i="10"/>
  <c r="H12" i="1" s="1"/>
  <c r="O34" i="10"/>
  <c r="G12" i="1" s="1"/>
  <c r="D12" i="1" l="1"/>
  <c r="J12" i="1" s="1"/>
  <c r="J13" i="1"/>
  <c r="J14" i="1"/>
  <c r="W34" i="9"/>
  <c r="V34" i="9"/>
  <c r="U34" i="9"/>
  <c r="T34" i="9"/>
  <c r="F11" i="1" s="1"/>
  <c r="S34" i="9"/>
  <c r="E11" i="1" s="1"/>
  <c r="D11" i="1" s="1"/>
  <c r="R34" i="9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D10" i="1" s="1"/>
  <c r="R34" i="8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D9" i="1" s="1"/>
  <c r="R34" i="7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D7" i="1" s="1"/>
  <c r="R34" i="5"/>
  <c r="Q34" i="5"/>
  <c r="I7" i="1" s="1"/>
  <c r="I18" i="1" s="1"/>
  <c r="P34" i="5"/>
  <c r="H7" i="1" s="1"/>
  <c r="O34" i="5"/>
  <c r="G7" i="1" s="1"/>
  <c r="W34" i="4"/>
  <c r="V34" i="4"/>
  <c r="U34" i="4"/>
  <c r="T34" i="4"/>
  <c r="F6" i="1" s="1"/>
  <c r="S34" i="4"/>
  <c r="E6" i="1" s="1"/>
  <c r="D6" i="1" s="1"/>
  <c r="R34" i="4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D5" i="1" s="1"/>
  <c r="R34" i="3"/>
  <c r="Q34" i="3"/>
  <c r="I5" i="1" s="1"/>
  <c r="P34" i="3"/>
  <c r="H5" i="1" s="1"/>
  <c r="W34" i="2"/>
  <c r="T34" i="2"/>
  <c r="F4" i="1" s="1"/>
  <c r="F18" i="1" s="1"/>
  <c r="S34" i="2"/>
  <c r="E4" i="1" s="1"/>
  <c r="D4" i="1" s="1"/>
  <c r="O34" i="3"/>
  <c r="G5" i="1" s="1"/>
  <c r="U34" i="2"/>
  <c r="V34" i="2"/>
  <c r="G18" i="1" l="1"/>
  <c r="H18" i="1"/>
  <c r="D8" i="1"/>
  <c r="E18" i="1"/>
  <c r="D18" i="1" s="1"/>
  <c r="J9" i="1"/>
  <c r="J8" i="1"/>
  <c r="J11" i="1"/>
  <c r="J10" i="1"/>
  <c r="J7" i="1"/>
  <c r="J6" i="1"/>
  <c r="J5" i="1"/>
  <c r="R34" i="2"/>
  <c r="J4" i="1" l="1"/>
  <c r="J18" i="1"/>
</calcChain>
</file>

<file path=xl/sharedStrings.xml><?xml version="1.0" encoding="utf-8"?>
<sst xmlns="http://schemas.openxmlformats.org/spreadsheetml/2006/main" count="459" uniqueCount="110">
  <si>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</si>
  <si>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</si>
  <si>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</si>
  <si>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</si>
  <si>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</si>
  <si>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</si>
  <si>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</si>
  <si>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</si>
  <si>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</si>
  <si>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</si>
  <si>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</si>
  <si>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</si>
  <si>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</si>
  <si>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</si>
  <si>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</si>
  <si>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</si>
  <si>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</si>
  <si>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</si>
  <si>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</si>
  <si>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</si>
  <si>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</si>
  <si>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</si>
  <si>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</si>
  <si>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</si>
  <si>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</si>
  <si>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</si>
  <si>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</si>
  <si>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</si>
  <si>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</si>
  <si>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</si>
  <si>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</si>
  <si>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</si>
  <si>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</si>
  <si>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</si>
  <si>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</si>
  <si>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</si>
  <si>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</si>
  <si>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</si>
  <si>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</si>
  <si>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</si>
  <si>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</si>
  <si>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</si>
  <si>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</si>
  <si>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</si>
  <si>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</si>
  <si>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</si>
  <si>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</si>
  <si>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</si>
  <si>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</si>
  <si>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</si>
  <si>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</si>
  <si>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</si>
  <si>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</si>
  <si>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</si>
  <si>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</si>
  <si>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</si>
  <si>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</si>
  <si>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</si>
  <si>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</si>
  <si>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</si>
  <si>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</si>
  <si>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</si>
  <si>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</si>
  <si>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</si>
  <si>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</si>
  <si>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</si>
  <si>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</si>
  <si>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</si>
  <si>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</si>
  <si>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</si>
  <si>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</si>
  <si>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</si>
  <si>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</si>
  <si>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</si>
  <si>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</si>
  <si>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</si>
  <si>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</si>
  <si>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</si>
  <si>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</si>
  <si>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</si>
  <si>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</si>
  <si>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</si>
  <si>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</si>
  <si>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</si>
  <si>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</si>
  <si>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</si>
  <si>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</si>
  <si>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</si>
  <si>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</si>
  <si>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</si>
  <si>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</si>
  <si>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</si>
  <si>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</si>
  <si>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</si>
  <si>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</si>
  <si>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</si>
  <si>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</si>
  <si>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</si>
  <si>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</si>
  <si>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</si>
  <si>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</si>
  <si>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</si>
  <si>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</si>
  <si>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</si>
  <si>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</si>
  <si>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250228 계약해제 세금계산서 발행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</si>
  <si>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</si>
  <si>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</si>
  <si>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</si>
  <si>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EIDS 수리비 및 보수품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</si>
</sst>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8"/>
  <sheetViews>
    <sheetView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 x14ac:dyDescent="0.3">
      <c r="C2" s="1"/>
      <c r="D2" s="57" t="s">
        <v>80</v>
      </c>
      <c r="E2" s="58"/>
      <c r="F2" s="59"/>
      <c r="G2" s="58" t="s">
        <v>84</v>
      </c>
      <c r="H2" s="58"/>
      <c r="I2" s="58"/>
      <c r="J2" s="58"/>
      <c r="K2" s="58"/>
      <c r="L2" s="60"/>
    </row>
    <row r="3" spans="2:13" x14ac:dyDescent="0.3">
      <c r="B3" s="44" t="s">
        <v>78</v>
      </c>
      <c r="C3" s="37" t="s">
        <v>79</v>
      </c>
      <c r="D3" s="37" t="s">
        <v>83</v>
      </c>
      <c r="E3" s="37" t="s">
        <v>81</v>
      </c>
      <c r="F3" s="40" t="s">
        <v>82</v>
      </c>
      <c r="G3" s="39" t="s">
        <v>83</v>
      </c>
      <c r="H3" s="37" t="s">
        <v>89</v>
      </c>
      <c r="I3" s="37" t="s">
        <v>90</v>
      </c>
      <c r="J3" s="37" t="s">
        <v>86</v>
      </c>
      <c r="K3" s="37" t="s">
        <v>54</v>
      </c>
      <c r="L3" s="37" t="s">
        <v>55</v>
      </c>
      <c r="M3" s="37" t="s">
        <v>12</v>
      </c>
    </row>
    <row r="4" spans="2:13" x14ac:dyDescent="0.3">
      <c r="B4" s="44">
        <v>1</v>
      </c>
      <c r="C4" s="44" t="s">
        <v>85</v>
      </c>
      <c r="D4" s="49">
        <f>SUM(E4:F4)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 x14ac:dyDescent="0.3">
      <c r="B5" s="44">
        <v>2</v>
      </c>
      <c r="C5" s="44" t="s">
        <v>56</v>
      </c>
      <c r="D5" s="49">
        <f t="shared" ref="D5:D18" si="0">SUM(E5:F5)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8" si="1">G5/D5</f>
        <v>#DIV/0!</v>
      </c>
      <c r="K5" s="43"/>
      <c r="L5" s="43"/>
      <c r="M5" s="43"/>
    </row>
    <row r="6" spans="2:13" x14ac:dyDescent="0.3">
      <c r="B6" s="44">
        <v>3</v>
      </c>
      <c r="C6" s="44" t="s">
        <v>101</v>
      </c>
      <c r="D6" s="49">
        <f t="shared" si="0"/>
        <v>185000000</v>
      </c>
      <c r="E6" s="38">
        <f>'3.서울교통공사'!S34</f>
        <v>185000000</v>
      </c>
      <c r="F6" s="41">
        <f>'3.서울교통공사'!T34</f>
        <v>0</v>
      </c>
      <c r="G6" s="45">
        <f>'3.서울교통공사'!O34</f>
        <v>0</v>
      </c>
      <c r="H6" s="46">
        <f>'3.서울교통공사'!P34</f>
        <v>0</v>
      </c>
      <c r="I6" s="47">
        <f>'3.서울교통공사'!Q34</f>
        <v>0</v>
      </c>
      <c r="J6" s="42">
        <f t="shared" si="1"/>
        <v>0</v>
      </c>
      <c r="K6" s="43"/>
      <c r="L6" s="43"/>
      <c r="M6" s="43"/>
    </row>
    <row r="7" spans="2:13" x14ac:dyDescent="0.3">
      <c r="B7" s="44">
        <v>4</v>
      </c>
      <c r="C7" s="44" t="s">
        <v>58</v>
      </c>
      <c r="D7" s="49">
        <f t="shared" si="0"/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9983340</v>
      </c>
      <c r="H7" s="46">
        <f>'4.현대로템'!P34</f>
        <v>9983340</v>
      </c>
      <c r="I7" s="47">
        <f>'4.현대로템'!Q34</f>
        <v>0</v>
      </c>
      <c r="J7" s="42">
        <f t="shared" si="1"/>
        <v>1</v>
      </c>
      <c r="K7" s="43"/>
      <c r="L7" s="43"/>
      <c r="M7" s="43"/>
    </row>
    <row r="8" spans="2:13" x14ac:dyDescent="0.3">
      <c r="B8" s="44">
        <v>5</v>
      </c>
      <c r="C8" s="44" t="s">
        <v>60</v>
      </c>
      <c r="D8" s="49">
        <f t="shared" si="0"/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1"/>
        <v>#DIV/0!</v>
      </c>
      <c r="K8" s="43"/>
      <c r="L8" s="43"/>
      <c r="M8" s="43"/>
    </row>
    <row r="9" spans="2:13" x14ac:dyDescent="0.3">
      <c r="B9" s="44">
        <v>6</v>
      </c>
      <c r="C9" s="44" t="s">
        <v>62</v>
      </c>
      <c r="D9" s="49">
        <f t="shared" si="0"/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1"/>
        <v>#DIV/0!</v>
      </c>
      <c r="K9" s="43"/>
      <c r="L9" s="43"/>
      <c r="M9" s="43"/>
    </row>
    <row r="10" spans="2:13" x14ac:dyDescent="0.3">
      <c r="B10" s="44">
        <v>7</v>
      </c>
      <c r="C10" s="44" t="s">
        <v>64</v>
      </c>
      <c r="D10" s="49">
        <f t="shared" si="0"/>
        <v>540623467</v>
      </c>
      <c r="E10" s="38">
        <f>'7.다원시스'!S34</f>
        <v>540623467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1"/>
        <v>0.53086855735768501</v>
      </c>
      <c r="K10" s="43"/>
      <c r="L10" s="43"/>
      <c r="M10" s="43"/>
    </row>
    <row r="11" spans="2:13" x14ac:dyDescent="0.3">
      <c r="B11" s="44">
        <v>8</v>
      </c>
      <c r="C11" s="44" t="s">
        <v>71</v>
      </c>
      <c r="D11" s="49">
        <f t="shared" si="0"/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1"/>
        <v>#DIV/0!</v>
      </c>
      <c r="K11" s="43"/>
      <c r="L11" s="43"/>
      <c r="M11" s="43"/>
    </row>
    <row r="12" spans="2:13" x14ac:dyDescent="0.3">
      <c r="B12" s="44">
        <v>9</v>
      </c>
      <c r="C12" s="44" t="s">
        <v>73</v>
      </c>
      <c r="D12" s="49">
        <f t="shared" si="0"/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1"/>
        <v>#DIV/0!</v>
      </c>
      <c r="K12" s="43"/>
      <c r="L12" s="43"/>
      <c r="M12" s="43"/>
    </row>
    <row r="13" spans="2:13" x14ac:dyDescent="0.3">
      <c r="B13" s="44">
        <v>10</v>
      </c>
      <c r="C13" s="44" t="s">
        <v>75</v>
      </c>
      <c r="D13" s="49">
        <f t="shared" si="0"/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1"/>
        <v>#DIV/0!</v>
      </c>
      <c r="K13" s="43"/>
      <c r="L13" s="43"/>
      <c r="M13" s="43"/>
    </row>
    <row r="14" spans="2:13" x14ac:dyDescent="0.3">
      <c r="B14" s="44">
        <v>11</v>
      </c>
      <c r="C14" s="44" t="s">
        <v>77</v>
      </c>
      <c r="D14" s="49">
        <f t="shared" si="0"/>
        <v>82990000</v>
      </c>
      <c r="E14" s="38">
        <f>'11.인터모빌리티'!S34</f>
        <v>0</v>
      </c>
      <c r="F14" s="41">
        <f>'11.인터모빌리티'!T34</f>
        <v>82990000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1"/>
        <v>0</v>
      </c>
      <c r="K14" s="43"/>
      <c r="L14" s="43"/>
      <c r="M14" s="43"/>
    </row>
    <row r="15" spans="2:13" x14ac:dyDescent="0.3">
      <c r="B15" s="44">
        <v>12</v>
      </c>
      <c r="C15" s="44" t="s">
        <v>91</v>
      </c>
      <c r="D15" s="49">
        <f t="shared" si="0"/>
        <v>575270000</v>
      </c>
      <c r="E15" s="38">
        <f>'12.GMTECH'!S34</f>
        <v>0</v>
      </c>
      <c r="F15" s="41">
        <f>'12.GMTECH'!T34</f>
        <v>575270000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>
        <f t="shared" ref="J15:J17" si="2">G15/D15</f>
        <v>0</v>
      </c>
      <c r="K15" s="43"/>
      <c r="L15" s="43"/>
      <c r="M15" s="43"/>
    </row>
    <row r="16" spans="2:13" x14ac:dyDescent="0.3">
      <c r="B16" s="44">
        <v>13</v>
      </c>
      <c r="C16" s="44" t="s">
        <v>106</v>
      </c>
      <c r="D16" s="49">
        <f t="shared" si="0"/>
        <v>8000000</v>
      </c>
      <c r="E16" s="38">
        <f>'13.ONsemi'!S34</f>
        <v>0</v>
      </c>
      <c r="F16" s="41">
        <f>'13.ONsemi'!T34</f>
        <v>8000000</v>
      </c>
      <c r="G16" s="45">
        <f>'13.ONsemi'!O34</f>
        <v>0</v>
      </c>
      <c r="H16" s="45">
        <f>'13.ONsemi'!P34</f>
        <v>0</v>
      </c>
      <c r="I16" s="47">
        <f>'13.ONsemi'!Q34</f>
        <v>0</v>
      </c>
      <c r="J16" s="42">
        <f t="shared" si="2"/>
        <v>0</v>
      </c>
      <c r="K16" s="43"/>
      <c r="L16" s="43"/>
      <c r="M16" s="43"/>
    </row>
    <row r="17" spans="2:13" x14ac:dyDescent="0.3">
      <c r="B17" s="44">
        <v>14</v>
      </c>
      <c r="C17" s="44" t="s">
        <v>94</v>
      </c>
      <c r="D17" s="49">
        <f t="shared" si="0"/>
        <v>1300000</v>
      </c>
      <c r="E17" s="38">
        <f>'14.아이디넷'!S34</f>
        <v>1300000</v>
      </c>
      <c r="F17" s="41">
        <f>'14.아이디넷'!T34</f>
        <v>0</v>
      </c>
      <c r="G17" s="45">
        <f>'14.아이디넷'!O34</f>
        <v>1200000</v>
      </c>
      <c r="H17" s="45">
        <f>'14.아이디넷'!P34</f>
        <v>1200000</v>
      </c>
      <c r="I17" s="47">
        <f>'14.아이디넷'!Q34</f>
        <v>0</v>
      </c>
      <c r="J17" s="42">
        <f t="shared" si="2"/>
        <v>0.92307692307692313</v>
      </c>
      <c r="K17" s="43"/>
      <c r="L17" s="43"/>
      <c r="M17" s="55" t="s">
        <v>105</v>
      </c>
    </row>
    <row r="18" spans="2:13" x14ac:dyDescent="0.3">
      <c r="B18" s="44"/>
      <c r="C18" s="44" t="s">
        <v>87</v>
      </c>
      <c r="D18" s="49">
        <f t="shared" si="0"/>
        <v>1798402482.6999998</v>
      </c>
      <c r="E18" s="38">
        <f t="shared" ref="E18:I18" si="3">SUM(E4:E17)</f>
        <v>1132142482.6999998</v>
      </c>
      <c r="F18" s="41">
        <f t="shared" si="3"/>
        <v>666260000</v>
      </c>
      <c r="G18" s="45">
        <f t="shared" si="3"/>
        <v>693419015.70000005</v>
      </c>
      <c r="H18" s="46">
        <f t="shared" si="3"/>
        <v>693419015.70000005</v>
      </c>
      <c r="I18" s="47">
        <f t="shared" si="3"/>
        <v>0</v>
      </c>
      <c r="J18" s="42">
        <f t="shared" si="1"/>
        <v>0.38557498800766093</v>
      </c>
      <c r="K18" s="43"/>
      <c r="L18" s="43"/>
      <c r="M18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 x14ac:dyDescent="0.3">
      <c r="B2" s="7"/>
      <c r="C2" s="7"/>
    </row>
    <row r="3" spans="2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 x14ac:dyDescent="0.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 x14ac:dyDescent="0.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 x14ac:dyDescent="0.3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 x14ac:dyDescent="0.3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 x14ac:dyDescent="0.3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 x14ac:dyDescent="0.3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 x14ac:dyDescent="0.3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 x14ac:dyDescent="0.3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 x14ac:dyDescent="0.3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 x14ac:dyDescent="0.3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 x14ac:dyDescent="0.3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 x14ac:dyDescent="0.3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 x14ac:dyDescent="0.3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 x14ac:dyDescent="0.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 x14ac:dyDescent="0.3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 x14ac:dyDescent="0.3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101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93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 x14ac:dyDescent="0.3">
      <c r="A5" s="1"/>
      <c r="B5" s="8"/>
      <c r="C5" s="8"/>
      <c r="D5" s="17" t="s">
        <v>101</v>
      </c>
      <c r="E5" s="17" t="s">
        <v>102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103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185000000</v>
      </c>
      <c r="S34" s="13">
        <f t="shared" si="0"/>
        <v>185000000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tabSelected="1"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K4" sqref="K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 x14ac:dyDescent="0.3">
      <c r="B4" s="8">
        <v>1</v>
      </c>
      <c r="C4" s="8" t="s">
        <v>13</v>
      </c>
      <c r="D4" s="9" t="s">
        <v>59</v>
      </c>
      <c r="E4" s="9">
        <v>2024122401</v>
      </c>
      <c r="F4" s="9"/>
      <c r="G4" s="51">
        <v>45650</v>
      </c>
      <c r="H4" s="52">
        <f>G4+15</f>
        <v>45665</v>
      </c>
      <c r="I4" s="9" t="s">
        <v>104</v>
      </c>
      <c r="J4" s="51">
        <v>45714</v>
      </c>
      <c r="K4" s="51">
        <v>45741</v>
      </c>
      <c r="L4" s="10"/>
      <c r="M4" s="10" t="s">
        <v>109</v>
      </c>
      <c r="N4" s="9"/>
      <c r="O4" s="11">
        <v>9983340</v>
      </c>
      <c r="P4" s="13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9983340</v>
      </c>
      <c r="P34" s="13">
        <f t="shared" si="0"/>
        <v>9983340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8">
        <v>1</v>
      </c>
      <c r="C4" s="8" t="s">
        <v>13</v>
      </c>
      <c r="D4" s="9" t="s">
        <v>61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8">
        <v>1</v>
      </c>
      <c r="C4" s="8" t="s">
        <v>13</v>
      </c>
      <c r="D4" s="9" t="s">
        <v>63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 x14ac:dyDescent="0.3">
      <c r="B4" s="8">
        <v>1</v>
      </c>
      <c r="C4" s="8" t="s">
        <v>13</v>
      </c>
      <c r="D4" s="9" t="s">
        <v>65</v>
      </c>
      <c r="E4" s="9"/>
      <c r="F4" s="9"/>
      <c r="G4" s="51">
        <v>45454</v>
      </c>
      <c r="H4" s="51">
        <v>45747</v>
      </c>
      <c r="I4" s="9" t="s">
        <v>66</v>
      </c>
      <c r="J4" s="51">
        <f>G4</f>
        <v>45454</v>
      </c>
      <c r="K4" s="51">
        <f t="shared" ref="K4:K5" si="0">H4</f>
        <v>45747</v>
      </c>
      <c r="L4" s="10"/>
      <c r="M4" s="10" t="s">
        <v>68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 x14ac:dyDescent="0.3">
      <c r="A5" s="1"/>
      <c r="B5" s="8">
        <v>2</v>
      </c>
      <c r="C5" s="8" t="s">
        <v>13</v>
      </c>
      <c r="D5" s="9" t="s">
        <v>64</v>
      </c>
      <c r="E5" s="9">
        <v>202406241</v>
      </c>
      <c r="F5" s="9"/>
      <c r="G5" s="51">
        <v>45533</v>
      </c>
      <c r="H5" s="51">
        <v>45838</v>
      </c>
      <c r="I5" s="9" t="s">
        <v>67</v>
      </c>
      <c r="J5" s="51">
        <f t="shared" ref="J5" si="1">G5</f>
        <v>45533</v>
      </c>
      <c r="K5" s="51">
        <f t="shared" si="0"/>
        <v>45838</v>
      </c>
      <c r="L5" s="10"/>
      <c r="M5" s="9" t="s">
        <v>69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 x14ac:dyDescent="0.3">
      <c r="B6" s="16">
        <v>3</v>
      </c>
      <c r="C6" s="16" t="s">
        <v>13</v>
      </c>
      <c r="D6" s="17" t="s">
        <v>65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70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 x14ac:dyDescent="0.3">
      <c r="B7" s="16">
        <v>4</v>
      </c>
      <c r="C7" s="16" t="s">
        <v>13</v>
      </c>
      <c r="D7" s="17" t="s">
        <v>65</v>
      </c>
      <c r="E7" s="48" t="s">
        <v>99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92</v>
      </c>
      <c r="N7" s="17"/>
      <c r="O7" s="13"/>
      <c r="P7" s="11"/>
      <c r="Q7" s="26"/>
      <c r="R7" s="13">
        <v>210731048</v>
      </c>
      <c r="S7" s="54">
        <v>183623467</v>
      </c>
      <c r="T7" s="13"/>
      <c r="U7" s="13"/>
      <c r="V7" s="13"/>
      <c r="W7" s="19"/>
      <c r="X7" s="48" t="s">
        <v>98</v>
      </c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540623467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72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74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76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77</v>
      </c>
      <c r="E4" s="17" t="s">
        <v>96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97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91</v>
      </c>
      <c r="E4" s="17" t="s">
        <v>100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97</v>
      </c>
      <c r="N4" s="17"/>
      <c r="O4" s="13"/>
      <c r="P4" s="11"/>
      <c r="Q4" s="15"/>
      <c r="R4" s="13">
        <v>575270000</v>
      </c>
      <c r="S4" s="13"/>
      <c r="T4" s="13">
        <v>575270000</v>
      </c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575270000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ED4C-5A45-4B0F-87A8-4C5843C50F67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106</v>
      </c>
      <c r="E4" s="17"/>
      <c r="F4" s="17"/>
      <c r="G4" s="50"/>
      <c r="H4" s="50"/>
      <c r="I4" s="17"/>
      <c r="J4" s="50"/>
      <c r="K4" s="50"/>
      <c r="L4" s="18"/>
      <c r="M4" s="17" t="s">
        <v>107</v>
      </c>
      <c r="N4" s="17"/>
      <c r="O4" s="13"/>
      <c r="P4" s="11"/>
      <c r="Q4" s="15"/>
      <c r="R4" s="13">
        <v>8000000</v>
      </c>
      <c r="S4" s="13"/>
      <c r="T4" s="13">
        <v>8000000</v>
      </c>
      <c r="U4" s="13"/>
      <c r="V4" s="13"/>
      <c r="W4" s="19"/>
      <c r="X4" s="56" t="s">
        <v>108</v>
      </c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8000000</v>
      </c>
      <c r="S34" s="13">
        <f t="shared" si="0"/>
        <v>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88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94</v>
      </c>
      <c r="E4" s="17">
        <v>202501071</v>
      </c>
      <c r="F4" s="17"/>
      <c r="G4" s="50">
        <v>45664</v>
      </c>
      <c r="H4" s="53">
        <f>G4+15</f>
        <v>45679</v>
      </c>
      <c r="I4" s="17"/>
      <c r="J4" s="50">
        <f>G4</f>
        <v>45664</v>
      </c>
      <c r="K4" s="53">
        <f>G4</f>
        <v>45664</v>
      </c>
      <c r="L4" s="18"/>
      <c r="M4" s="17" t="s">
        <v>95</v>
      </c>
      <c r="N4" s="17">
        <v>2</v>
      </c>
      <c r="O4" s="13">
        <v>1200000</v>
      </c>
      <c r="P4" s="11">
        <v>1200000</v>
      </c>
      <c r="Q4" s="15">
        <v>0</v>
      </c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61" t="s">
        <v>46</v>
      </c>
      <c r="D34" s="62"/>
      <c r="E34" s="62"/>
      <c r="F34" s="62"/>
      <c r="G34" s="62"/>
      <c r="H34" s="62"/>
      <c r="I34" s="62"/>
      <c r="J34" s="62"/>
      <c r="K34" s="62"/>
      <c r="L34" s="62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13.ONsemi</vt:lpstr>
      <vt:lpstr>14.아이디넷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2025-03-06T00:42:39Z</dcterms:modified>
</cp:coreProperties>
</file>
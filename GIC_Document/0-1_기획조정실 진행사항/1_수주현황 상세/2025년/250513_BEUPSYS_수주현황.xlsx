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_Top Management\1_기획실_홍성준실장주관\1_수주현황\2025년\"/>
    </mc:Choice>
  </mc:AlternateContent>
  <xr:revisionPtr revIDLastSave="0" documentId="13_ncr:1_{E4E6E308-FF21-46EF-801D-1DB409C66560}" xr6:coauthVersionLast="47" xr6:coauthVersionMax="47" xr10:uidLastSave="{00000000-0000-0000-0000-000000000000}"/>
  <bookViews>
    <workbookView xWindow="28680" yWindow="-120" windowWidth="29040" windowHeight="17640" tabRatio="948" xr2:uid="{94AEEC11-5145-4BB5-83E0-0258373AD203}"/>
  </bookViews>
  <sheets>
    <sheet name="Total" sheetId="1" r:id="rId1"/>
    <sheet name="1.지아이씨" sheetId="2" r:id="rId2"/>
    <sheet name="2.서울교통공사" sheetId="4" r:id="rId3"/>
    <sheet name="3.현대로템" sheetId="5" r:id="rId4"/>
    <sheet name="4.다원시스" sheetId="8" r:id="rId5"/>
    <sheet name="5.인터모빌리티" sheetId="12" r:id="rId6"/>
    <sheet name="6.GMTECH" sheetId="13" r:id="rId7"/>
    <sheet name="7.기타" sheetId="3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7" i="1" l="1"/>
  <c r="I17" i="1"/>
  <c r="H17" i="1"/>
  <c r="K17" i="1" s="1"/>
  <c r="E17" i="1"/>
  <c r="G17" i="1"/>
  <c r="F17" i="1"/>
  <c r="H7" i="5" l="1"/>
  <c r="H8" i="5"/>
  <c r="W4" i="2"/>
  <c r="H6" i="5" l="1"/>
  <c r="J16" i="1" l="1"/>
  <c r="I16" i="1"/>
  <c r="H16" i="1"/>
  <c r="G16" i="1"/>
  <c r="F16" i="1"/>
  <c r="E16" i="1" s="1"/>
  <c r="J15" i="1"/>
  <c r="I15" i="1"/>
  <c r="H15" i="1"/>
  <c r="G15" i="1"/>
  <c r="F15" i="1"/>
  <c r="E15" i="1" s="1"/>
  <c r="J14" i="1"/>
  <c r="I14" i="1"/>
  <c r="H14" i="1"/>
  <c r="G14" i="1"/>
  <c r="F14" i="1"/>
  <c r="J13" i="1"/>
  <c r="I13" i="1"/>
  <c r="H13" i="1"/>
  <c r="G13" i="1"/>
  <c r="F13" i="1"/>
  <c r="J12" i="1"/>
  <c r="I12" i="1"/>
  <c r="H12" i="1"/>
  <c r="G12" i="1"/>
  <c r="F12" i="1"/>
  <c r="J11" i="1"/>
  <c r="I11" i="1"/>
  <c r="H11" i="1"/>
  <c r="G11" i="1"/>
  <c r="F11" i="1"/>
  <c r="E11" i="1" s="1"/>
  <c r="J10" i="1"/>
  <c r="I10" i="1"/>
  <c r="H10" i="1"/>
  <c r="G10" i="1"/>
  <c r="F10" i="1"/>
  <c r="H5" i="5"/>
  <c r="E14" i="1" l="1"/>
  <c r="E13" i="1"/>
  <c r="E12" i="1"/>
  <c r="K6" i="4"/>
  <c r="J6" i="4"/>
  <c r="H6" i="4"/>
  <c r="K11" i="1" l="1"/>
  <c r="H5" i="4"/>
  <c r="K5" i="8" l="1"/>
  <c r="J5" i="8"/>
  <c r="K4" i="8"/>
  <c r="J4" i="8"/>
  <c r="H4" i="4"/>
  <c r="H4" i="5" l="1"/>
  <c r="H7" i="8"/>
  <c r="H6" i="8"/>
  <c r="K19" i="2"/>
  <c r="K18" i="2"/>
  <c r="K17" i="2"/>
  <c r="K5" i="2"/>
  <c r="K4" i="2"/>
  <c r="J17" i="2"/>
  <c r="J5" i="2"/>
  <c r="J4" i="2"/>
  <c r="H4" i="12"/>
  <c r="W34" i="13" l="1"/>
  <c r="V34" i="13"/>
  <c r="U34" i="13"/>
  <c r="T34" i="13"/>
  <c r="G9" i="1" s="1"/>
  <c r="S34" i="13"/>
  <c r="F9" i="1" s="1"/>
  <c r="R34" i="13"/>
  <c r="Q34" i="13"/>
  <c r="J9" i="1" s="1"/>
  <c r="P34" i="13"/>
  <c r="I9" i="1" s="1"/>
  <c r="O34" i="13"/>
  <c r="H9" i="1" s="1"/>
  <c r="O34" i="2"/>
  <c r="H4" i="1" s="1"/>
  <c r="P34" i="2"/>
  <c r="I4" i="1" s="1"/>
  <c r="Q34" i="2"/>
  <c r="J4" i="1" s="1"/>
  <c r="E9" i="1" l="1"/>
  <c r="K9" i="1" s="1"/>
  <c r="W34" i="12"/>
  <c r="V34" i="12"/>
  <c r="U34" i="12"/>
  <c r="T34" i="12"/>
  <c r="G8" i="1" s="1"/>
  <c r="S34" i="12"/>
  <c r="F8" i="1" s="1"/>
  <c r="R34" i="12"/>
  <c r="Q34" i="12"/>
  <c r="J8" i="1" s="1"/>
  <c r="P34" i="12"/>
  <c r="I8" i="1" s="1"/>
  <c r="O34" i="12"/>
  <c r="H8" i="1" s="1"/>
  <c r="E8" i="1" l="1"/>
  <c r="K8" i="1" s="1"/>
  <c r="K15" i="1"/>
  <c r="K16" i="1"/>
  <c r="W34" i="8"/>
  <c r="V34" i="8"/>
  <c r="U34" i="8"/>
  <c r="T34" i="8"/>
  <c r="G7" i="1" s="1"/>
  <c r="S34" i="8"/>
  <c r="F7" i="1" s="1"/>
  <c r="R34" i="8"/>
  <c r="Q34" i="8"/>
  <c r="J7" i="1" s="1"/>
  <c r="P34" i="8"/>
  <c r="I7" i="1" s="1"/>
  <c r="O34" i="8"/>
  <c r="H7" i="1" s="1"/>
  <c r="W34" i="5"/>
  <c r="V34" i="5"/>
  <c r="U34" i="5"/>
  <c r="T34" i="5"/>
  <c r="G6" i="1" s="1"/>
  <c r="S34" i="5"/>
  <c r="F6" i="1" s="1"/>
  <c r="R34" i="5"/>
  <c r="Q34" i="5"/>
  <c r="J6" i="1" s="1"/>
  <c r="P34" i="5"/>
  <c r="I6" i="1" s="1"/>
  <c r="O34" i="5"/>
  <c r="H6" i="1" s="1"/>
  <c r="W34" i="4"/>
  <c r="V34" i="4"/>
  <c r="U34" i="4"/>
  <c r="T34" i="4"/>
  <c r="G5" i="1" s="1"/>
  <c r="S34" i="4"/>
  <c r="F5" i="1" s="1"/>
  <c r="R34" i="4"/>
  <c r="Q34" i="4"/>
  <c r="J5" i="1" s="1"/>
  <c r="P34" i="4"/>
  <c r="I5" i="1" s="1"/>
  <c r="O34" i="4"/>
  <c r="H5" i="1" s="1"/>
  <c r="W34" i="3"/>
  <c r="V34" i="3"/>
  <c r="U34" i="3"/>
  <c r="T34" i="3"/>
  <c r="S34" i="3"/>
  <c r="R34" i="3"/>
  <c r="Q34" i="3"/>
  <c r="P34" i="3"/>
  <c r="W34" i="2"/>
  <c r="T34" i="2"/>
  <c r="G4" i="1" s="1"/>
  <c r="S34" i="2"/>
  <c r="F4" i="1" s="1"/>
  <c r="E4" i="1" s="1"/>
  <c r="O34" i="3"/>
  <c r="U34" i="2"/>
  <c r="V34" i="2"/>
  <c r="E5" i="1" l="1"/>
  <c r="K5" i="1" s="1"/>
  <c r="E7" i="1"/>
  <c r="K7" i="1" s="1"/>
  <c r="E10" i="1"/>
  <c r="K10" i="1" s="1"/>
  <c r="E6" i="1"/>
  <c r="K6" i="1" s="1"/>
  <c r="G19" i="1"/>
  <c r="J19" i="1"/>
  <c r="H19" i="1"/>
  <c r="I19" i="1"/>
  <c r="K12" i="1"/>
  <c r="F19" i="1"/>
  <c r="K13" i="1"/>
  <c r="K14" i="1"/>
  <c r="R34" i="2"/>
  <c r="E19" i="1" l="1"/>
  <c r="K19" i="1" s="1"/>
  <c r="K4" i="1"/>
</calcChain>
</file>

<file path=xl/sharedStrings.xml><?xml version="1.0" encoding="utf-8"?>
<sst xmlns="http://schemas.openxmlformats.org/spreadsheetml/2006/main" count="324" uniqueCount="142">
  <si>
    <t>순</t>
    <phoneticPr fontId="4" type="noConversion"/>
  </si>
  <si>
    <t>국가</t>
    <phoneticPr fontId="3" type="noConversion"/>
  </si>
  <si>
    <t>고객</t>
  </si>
  <si>
    <t>RFQ no.</t>
    <phoneticPr fontId="3" type="noConversion"/>
  </si>
  <si>
    <t>수주일</t>
    <phoneticPr fontId="3" type="noConversion"/>
  </si>
  <si>
    <t>납기</t>
    <phoneticPr fontId="3" type="noConversion"/>
  </si>
  <si>
    <t>Item</t>
    <phoneticPr fontId="3" type="noConversion"/>
  </si>
  <si>
    <t>구분</t>
    <phoneticPr fontId="3" type="noConversion"/>
  </si>
  <si>
    <t>수량</t>
    <phoneticPr fontId="3" type="noConversion"/>
  </si>
  <si>
    <t>수주금액 (전체)</t>
    <phoneticPr fontId="3" type="noConversion"/>
  </si>
  <si>
    <t>수주금액 (2025년)</t>
    <phoneticPr fontId="3" type="noConversion"/>
  </si>
  <si>
    <t>입금 총액</t>
    <phoneticPr fontId="3" type="noConversion"/>
  </si>
  <si>
    <t>비고</t>
    <phoneticPr fontId="3" type="noConversion"/>
  </si>
  <si>
    <t>한국</t>
    <phoneticPr fontId="3" type="noConversion"/>
  </si>
  <si>
    <t>지아이씨</t>
    <phoneticPr fontId="3" type="noConversion"/>
  </si>
  <si>
    <t>1</t>
    <phoneticPr fontId="3" type="noConversion"/>
  </si>
  <si>
    <t>2</t>
    <phoneticPr fontId="3" type="noConversion"/>
  </si>
  <si>
    <t>3</t>
    <phoneticPr fontId="3" type="noConversion"/>
  </si>
  <si>
    <t>4</t>
    <phoneticPr fontId="3" type="noConversion"/>
  </si>
  <si>
    <t>CSP24-0524-1</t>
    <phoneticPr fontId="3" type="noConversion"/>
  </si>
  <si>
    <t>MOP, MSR, CTM 생산</t>
    <phoneticPr fontId="3" type="noConversion"/>
  </si>
  <si>
    <t>5</t>
    <phoneticPr fontId="3" type="noConversion"/>
  </si>
  <si>
    <t>6</t>
    <phoneticPr fontId="3" type="noConversion"/>
  </si>
  <si>
    <t>7</t>
    <phoneticPr fontId="3" type="noConversion"/>
  </si>
  <si>
    <t>8</t>
    <phoneticPr fontId="3" type="noConversion"/>
  </si>
  <si>
    <t>9</t>
    <phoneticPr fontId="3" type="noConversion"/>
  </si>
  <si>
    <t>10</t>
    <phoneticPr fontId="3" type="noConversion"/>
  </si>
  <si>
    <t>CSP24-0913-1</t>
    <phoneticPr fontId="3" type="noConversion"/>
  </si>
  <si>
    <t>MSR NVR</t>
    <phoneticPr fontId="3" type="noConversion"/>
  </si>
  <si>
    <t>MSR HUB</t>
    <phoneticPr fontId="3" type="noConversion"/>
  </si>
  <si>
    <t>MSR MTX</t>
    <phoneticPr fontId="3" type="noConversion"/>
  </si>
  <si>
    <t>MSR TCIU HUB</t>
    <phoneticPr fontId="3" type="noConversion"/>
  </si>
  <si>
    <t>MSR TCIU CTL</t>
    <phoneticPr fontId="3" type="noConversion"/>
  </si>
  <si>
    <t>MSR PBX</t>
    <phoneticPr fontId="3" type="noConversion"/>
  </si>
  <si>
    <t>MSR SSD</t>
    <phoneticPr fontId="3" type="noConversion"/>
  </si>
  <si>
    <t>MSR ETX</t>
    <phoneticPr fontId="3" type="noConversion"/>
  </si>
  <si>
    <t>MSR Back Plane</t>
    <phoneticPr fontId="3" type="noConversion"/>
  </si>
  <si>
    <t>MOP CTL</t>
    <phoneticPr fontId="3" type="noConversion"/>
  </si>
  <si>
    <t>11</t>
    <phoneticPr fontId="3" type="noConversion"/>
  </si>
  <si>
    <t>MOP LCD</t>
    <phoneticPr fontId="3" type="noConversion"/>
  </si>
  <si>
    <t>12</t>
    <phoneticPr fontId="3" type="noConversion"/>
  </si>
  <si>
    <t>CTM CTL</t>
    <phoneticPr fontId="3" type="noConversion"/>
  </si>
  <si>
    <t>CSP24-0923-1</t>
    <phoneticPr fontId="3" type="noConversion"/>
  </si>
  <si>
    <t>LCD CONTROL BOARD. FOR MOP.</t>
    <phoneticPr fontId="3" type="noConversion"/>
  </si>
  <si>
    <t>MSR NVR BOARD. FOR MSR.</t>
    <phoneticPr fontId="3" type="noConversion"/>
  </si>
  <si>
    <t>CONTROL BOARD. FOR CTM.</t>
    <phoneticPr fontId="3" type="noConversion"/>
  </si>
  <si>
    <t>견적번호</t>
    <phoneticPr fontId="3" type="noConversion"/>
  </si>
  <si>
    <t>PO no.</t>
    <phoneticPr fontId="3" type="noConversion"/>
  </si>
  <si>
    <t>견적일</t>
    <phoneticPr fontId="3" type="noConversion"/>
  </si>
  <si>
    <t>유효일</t>
    <phoneticPr fontId="3" type="noConversion"/>
  </si>
  <si>
    <t>견적가(AB)</t>
    <phoneticPr fontId="3" type="noConversion"/>
  </si>
  <si>
    <t>목표가</t>
    <phoneticPr fontId="3" type="noConversion"/>
  </si>
  <si>
    <t>견적가(CD)</t>
    <phoneticPr fontId="3" type="noConversion"/>
  </si>
  <si>
    <t>제조원가</t>
    <phoneticPr fontId="3" type="noConversion"/>
  </si>
  <si>
    <t>손익(%)</t>
    <phoneticPr fontId="3" type="noConversion"/>
  </si>
  <si>
    <t>김포골드라인</t>
  </si>
  <si>
    <t>김포골드라인</t>
    <phoneticPr fontId="3" type="noConversion"/>
  </si>
  <si>
    <t>현대로템</t>
  </si>
  <si>
    <t>현대로템</t>
    <phoneticPr fontId="3" type="noConversion"/>
  </si>
  <si>
    <t>실리콘큐브</t>
  </si>
  <si>
    <t>실리콘큐브</t>
    <phoneticPr fontId="3" type="noConversion"/>
  </si>
  <si>
    <t>무한테크</t>
  </si>
  <si>
    <t>무한테크</t>
    <phoneticPr fontId="3" type="noConversion"/>
  </si>
  <si>
    <t>다원시스</t>
  </si>
  <si>
    <t>다원시스</t>
    <phoneticPr fontId="3" type="noConversion"/>
  </si>
  <si>
    <t>DWE-2024-JUN-11-001</t>
  </si>
  <si>
    <t>서울7호선 3차분 TCMS 개조</t>
  </si>
  <si>
    <t>4호선 방송편집기 소프트웨어개발</t>
  </si>
  <si>
    <t>티랩</t>
  </si>
  <si>
    <t>티랩</t>
    <phoneticPr fontId="3" type="noConversion"/>
  </si>
  <si>
    <t>마루소프트</t>
  </si>
  <si>
    <t>마루소프트</t>
    <phoneticPr fontId="3" type="noConversion"/>
  </si>
  <si>
    <t>신진금고</t>
  </si>
  <si>
    <t>신진금고</t>
    <phoneticPr fontId="3" type="noConversion"/>
  </si>
  <si>
    <t>인터모빌리티</t>
    <phoneticPr fontId="3" type="noConversion"/>
  </si>
  <si>
    <t>순</t>
    <phoneticPr fontId="3" type="noConversion"/>
  </si>
  <si>
    <t>고객명</t>
    <phoneticPr fontId="3" type="noConversion"/>
  </si>
  <si>
    <t>견적가</t>
    <phoneticPr fontId="3" type="noConversion"/>
  </si>
  <si>
    <t>AB등급</t>
    <phoneticPr fontId="3" type="noConversion"/>
  </si>
  <si>
    <t>CD등급</t>
    <phoneticPr fontId="3" type="noConversion"/>
  </si>
  <si>
    <t>전체</t>
    <phoneticPr fontId="3" type="noConversion"/>
  </si>
  <si>
    <t>수주가</t>
    <phoneticPr fontId="3" type="noConversion"/>
  </si>
  <si>
    <t>지아이씨</t>
  </si>
  <si>
    <t>수주율(%)</t>
    <phoneticPr fontId="3" type="noConversion"/>
  </si>
  <si>
    <t>합계</t>
    <phoneticPr fontId="3" type="noConversion"/>
  </si>
  <si>
    <t>수주금액 (2026년)</t>
    <phoneticPr fontId="3" type="noConversion"/>
  </si>
  <si>
    <t>2025년</t>
    <phoneticPr fontId="3" type="noConversion"/>
  </si>
  <si>
    <t>2026년 이월</t>
    <phoneticPr fontId="3" type="noConversion"/>
  </si>
  <si>
    <t>GMTECH</t>
    <phoneticPr fontId="3" type="noConversion"/>
  </si>
  <si>
    <t>코레일 EMU-150 TCMS 기반 통합편집기</t>
  </si>
  <si>
    <t>7호선 3차분 PIS-CSC 장치 개조</t>
  </si>
  <si>
    <t>아이디넷</t>
    <phoneticPr fontId="3" type="noConversion"/>
  </si>
  <si>
    <t>7호선 표시기(객실서버) 수리</t>
  </si>
  <si>
    <t>20250205-01</t>
    <phoneticPr fontId="3" type="noConversion"/>
  </si>
  <si>
    <t>인도네시아 경전철 차량유지보수 부품</t>
    <phoneticPr fontId="3" type="noConversion"/>
  </si>
  <si>
    <t>20250123-1 (\210,731,048)에 대한 수정견적</t>
    <phoneticPr fontId="3" type="noConversion"/>
  </si>
  <si>
    <t>20250210-1</t>
    <phoneticPr fontId="3" type="noConversion"/>
  </si>
  <si>
    <t>20250211-01</t>
    <phoneticPr fontId="3" type="noConversion"/>
  </si>
  <si>
    <t>서울교통공사</t>
    <phoneticPr fontId="3" type="noConversion"/>
  </si>
  <si>
    <t>20250207-1</t>
    <phoneticPr fontId="3" type="noConversion"/>
  </si>
  <si>
    <t>7호선 3차분 표시기 업데이트</t>
  </si>
  <si>
    <t>HRCPO20250226-001</t>
    <phoneticPr fontId="3" type="noConversion"/>
  </si>
  <si>
    <t>Onsemi</t>
    <phoneticPr fontId="3" type="noConversion"/>
  </si>
  <si>
    <t>게이트 스위치 개발</t>
    <phoneticPr fontId="3" type="noConversion"/>
  </si>
  <si>
    <t>구두 견적 통보</t>
    <phoneticPr fontId="3" type="noConversion"/>
  </si>
  <si>
    <t>DWE-2024-AUG-29-001</t>
    <phoneticPr fontId="3" type="noConversion"/>
  </si>
  <si>
    <t>네이버시스템 법정관리로 아이디넷 수주 정보 통합</t>
    <phoneticPr fontId="3" type="noConversion"/>
  </si>
  <si>
    <t>말레이시아 예비품</t>
    <phoneticPr fontId="3" type="noConversion"/>
  </si>
  <si>
    <t>홍콩</t>
    <phoneticPr fontId="3" type="noConversion"/>
  </si>
  <si>
    <t>말레이시아</t>
    <phoneticPr fontId="3" type="noConversion"/>
  </si>
  <si>
    <t>EIDS 수리비 및 보수품</t>
    <phoneticPr fontId="3" type="noConversion"/>
  </si>
  <si>
    <t>7-1</t>
    <phoneticPr fontId="3" type="noConversion"/>
  </si>
  <si>
    <t>7-2</t>
    <phoneticPr fontId="3" type="noConversion"/>
  </si>
  <si>
    <t>7-3</t>
    <phoneticPr fontId="3" type="noConversion"/>
  </si>
  <si>
    <t>7-4</t>
    <phoneticPr fontId="3" type="noConversion"/>
  </si>
  <si>
    <t>7-5</t>
    <phoneticPr fontId="3" type="noConversion"/>
  </si>
  <si>
    <t>7-6</t>
    <phoneticPr fontId="3" type="noConversion"/>
  </si>
  <si>
    <t>7-7</t>
    <phoneticPr fontId="3" type="noConversion"/>
  </si>
  <si>
    <t>기타</t>
    <phoneticPr fontId="3" type="noConversion"/>
  </si>
  <si>
    <t>2024121901 (\70,000,000)에 대한 수정견적</t>
    <phoneticPr fontId="3" type="noConversion"/>
  </si>
  <si>
    <t>4호선210량 소프트웨어 1년 개선비 + 기존 업데이트 비용</t>
    <phoneticPr fontId="3" type="noConversion"/>
  </si>
  <si>
    <t>홍콩 SW 및 AP, WIFI 점검 출장</t>
    <phoneticPr fontId="3" type="noConversion"/>
  </si>
  <si>
    <t>20250325-1</t>
    <phoneticPr fontId="3" type="noConversion"/>
  </si>
  <si>
    <t>HRCPO20250326-001</t>
    <phoneticPr fontId="3" type="noConversion"/>
  </si>
  <si>
    <t>신역사 KTU 추가
방송소프트웨어 업데이트</t>
    <phoneticPr fontId="3" type="noConversion"/>
  </si>
  <si>
    <t>20240225-1</t>
    <phoneticPr fontId="3" type="noConversion"/>
  </si>
  <si>
    <t>인도네시아</t>
    <phoneticPr fontId="3" type="noConversion"/>
  </si>
  <si>
    <t>US$ 6875.00 / 4월 15일 이내 입금 예정</t>
    <phoneticPr fontId="3" type="noConversion"/>
  </si>
  <si>
    <t>LED 품목 2종 포함 20250415 재견적</t>
    <phoneticPr fontId="3" type="noConversion"/>
  </si>
  <si>
    <t>20250211-01 (\575,270,000)에 대한 수정견적</t>
    <phoneticPr fontId="3" type="noConversion"/>
  </si>
  <si>
    <t>HSJ20250425-01</t>
    <phoneticPr fontId="3" type="noConversion"/>
  </si>
  <si>
    <t>대한민국</t>
    <phoneticPr fontId="3" type="noConversion"/>
  </si>
  <si>
    <t>250408 견적서 제출 완료</t>
    <phoneticPr fontId="3" type="noConversion"/>
  </si>
  <si>
    <t>9호선열차번호표시기SW업데이트</t>
    <phoneticPr fontId="3" type="noConversion"/>
  </si>
  <si>
    <t>250425 견적서 제출 완료</t>
    <phoneticPr fontId="3" type="noConversion"/>
  </si>
  <si>
    <t>MAIN CTL. BD 개발</t>
  </si>
  <si>
    <t>위플랫</t>
    <phoneticPr fontId="3" type="noConversion"/>
  </si>
  <si>
    <t>GPR 시스템 개발</t>
    <phoneticPr fontId="3" type="noConversion"/>
  </si>
  <si>
    <t>K-water (한국수자원공사) 개방형 혁신 R&amp;D 연구과제 참여</t>
  </si>
  <si>
    <t>7-8</t>
    <phoneticPr fontId="3" type="noConversion"/>
  </si>
  <si>
    <t>250514 MAIN CTL. BD 개발 견적 예정 (\40,000,000)</t>
    <phoneticPr fontId="3" type="noConversion"/>
  </si>
  <si>
    <t>250509 K-water (한국수자원공사) R&amp;D 연구과제 공동 참여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</si>
</sst>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₩&quot;* #,##0_-;\-&quot;₩&quot;* #,##0_-;_-&quot;₩&quot;* &quot;-&quot;_-;_-@_-"/>
    <numFmt numFmtId="176" formatCode="#,##0_ "/>
    <numFmt numFmtId="177" formatCode="yymmdd"/>
    <numFmt numFmtId="178" formatCode="&quot;US$&quot;#,##0.00_);\(&quot;US$&quot;#,##0.00\)"/>
  </numFmts>
  <fonts count="1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1"/>
      <color rgb="FF00B05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2"/>
      <name val="바탕"/>
      <family val="1"/>
      <charset val="129"/>
    </font>
    <font>
      <sz val="11"/>
      <color rgb="FF00B050"/>
      <name val="맑은 고딕"/>
      <family val="2"/>
      <charset val="129"/>
      <scheme val="minor"/>
    </font>
    <font>
      <sz val="11"/>
      <color rgb="FF0070C0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color rgb="FF0070C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7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42" fontId="0" fillId="0" borderId="0" xfId="0" applyNumberFormat="1" applyAlignment="1">
      <alignment horizontal="center" vertical="center"/>
    </xf>
    <xf numFmtId="42" fontId="0" fillId="0" borderId="0" xfId="0" applyNumberFormat="1" applyAlignment="1">
      <alignment horizontal="center" vertical="center" wrapText="1"/>
    </xf>
    <xf numFmtId="176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2" fontId="5" fillId="0" borderId="1" xfId="0" applyNumberFormat="1" applyFont="1" applyBorder="1" applyAlignment="1">
      <alignment horizontal="center" vertical="center"/>
    </xf>
    <xf numFmtId="42" fontId="5" fillId="0" borderId="1" xfId="0" applyNumberFormat="1" applyFont="1" applyBorder="1" applyAlignment="1">
      <alignment horizontal="center" vertical="center" wrapText="1"/>
    </xf>
    <xf numFmtId="42" fontId="6" fillId="0" borderId="1" xfId="0" applyNumberFormat="1" applyFont="1" applyBorder="1" applyAlignment="1">
      <alignment horizontal="center" vertical="center"/>
    </xf>
    <xf numFmtId="0" fontId="6" fillId="0" borderId="0" xfId="0" applyFont="1">
      <alignment vertical="center"/>
    </xf>
    <xf numFmtId="42" fontId="7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2" fontId="6" fillId="0" borderId="1" xfId="0" applyNumberFormat="1" applyFont="1" applyBorder="1" applyAlignment="1">
      <alignment horizontal="center" vertical="center" wrapText="1"/>
    </xf>
    <xf numFmtId="42" fontId="9" fillId="0" borderId="0" xfId="0" applyNumberFormat="1" applyFont="1" applyAlignment="1">
      <alignment horizontal="center" vertical="center"/>
    </xf>
    <xf numFmtId="3" fontId="6" fillId="0" borderId="1" xfId="0" applyNumberFormat="1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176" fontId="10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42" fontId="7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2" fontId="2" fillId="0" borderId="1" xfId="0" applyNumberFormat="1" applyFont="1" applyBorder="1" applyAlignment="1">
      <alignment horizontal="center" vertical="center" wrapText="1"/>
    </xf>
    <xf numFmtId="42" fontId="7" fillId="0" borderId="1" xfId="0" applyNumberFormat="1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42" fontId="5" fillId="0" borderId="0" xfId="0" applyNumberFormat="1" applyFont="1">
      <alignment vertical="center"/>
    </xf>
    <xf numFmtId="42" fontId="5" fillId="0" borderId="2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2" fontId="0" fillId="0" borderId="1" xfId="0" applyNumberFormat="1" applyBorder="1">
      <alignment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42" fontId="0" fillId="0" borderId="6" xfId="0" applyNumberFormat="1" applyBorder="1">
      <alignment vertical="center"/>
    </xf>
    <xf numFmtId="10" fontId="0" fillId="0" borderId="1" xfId="1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42" fontId="12" fillId="0" borderId="5" xfId="0" applyNumberFormat="1" applyFont="1" applyBorder="1">
      <alignment vertical="center"/>
    </xf>
    <xf numFmtId="42" fontId="12" fillId="0" borderId="1" xfId="0" applyNumberFormat="1" applyFont="1" applyBorder="1">
      <alignment vertical="center"/>
    </xf>
    <xf numFmtId="42" fontId="13" fillId="0" borderId="1" xfId="0" applyNumberFormat="1" applyFont="1" applyBorder="1">
      <alignment vertical="center"/>
    </xf>
    <xf numFmtId="0" fontId="14" fillId="0" borderId="1" xfId="0" applyFont="1" applyBorder="1" applyAlignment="1">
      <alignment horizontal="center" vertical="center" wrapText="1"/>
    </xf>
    <xf numFmtId="42" fontId="15" fillId="0" borderId="1" xfId="0" applyNumberFormat="1" applyFont="1" applyBorder="1">
      <alignment vertical="center"/>
    </xf>
    <xf numFmtId="177" fontId="6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 wrapText="1"/>
    </xf>
    <xf numFmtId="42" fontId="1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3" fontId="14" fillId="0" borderId="1" xfId="0" applyNumberFormat="1" applyFont="1" applyBorder="1" applyAlignment="1">
      <alignment horizontal="left" vertical="center" wrapText="1"/>
    </xf>
    <xf numFmtId="3" fontId="14" fillId="0" borderId="1" xfId="0" applyNumberFormat="1" applyFont="1" applyBorder="1" applyAlignment="1">
      <alignment horizontal="center" vertical="center" wrapText="1"/>
    </xf>
    <xf numFmtId="177" fontId="14" fillId="0" borderId="1" xfId="0" applyNumberFormat="1" applyFont="1" applyBorder="1" applyAlignment="1">
      <alignment horizontal="center" vertical="center"/>
    </xf>
    <xf numFmtId="177" fontId="14" fillId="0" borderId="1" xfId="0" applyNumberFormat="1" applyFont="1" applyBorder="1" applyAlignment="1">
      <alignment horizontal="center" vertical="center" wrapText="1"/>
    </xf>
    <xf numFmtId="49" fontId="14" fillId="0" borderId="1" xfId="0" applyNumberFormat="1" applyFont="1" applyBorder="1" applyAlignment="1">
      <alignment horizontal="center" vertical="center" wrapText="1"/>
    </xf>
    <xf numFmtId="42" fontId="14" fillId="0" borderId="1" xfId="0" applyNumberFormat="1" applyFont="1" applyBorder="1" applyAlignment="1">
      <alignment horizontal="center" vertical="center" wrapText="1"/>
    </xf>
    <xf numFmtId="49" fontId="0" fillId="0" borderId="0" xfId="0" applyNumberFormat="1">
      <alignment vertical="center"/>
    </xf>
    <xf numFmtId="49" fontId="0" fillId="0" borderId="1" xfId="0" applyNumberFormat="1" applyBorder="1" applyAlignment="1">
      <alignment horizontal="center" vertical="center"/>
    </xf>
    <xf numFmtId="178" fontId="14" fillId="0" borderId="1" xfId="0" applyNumberFormat="1" applyFont="1" applyBorder="1" applyAlignment="1">
      <alignment horizontal="center" vertical="center" wrapText="1"/>
    </xf>
    <xf numFmtId="177" fontId="6" fillId="0" borderId="1" xfId="0" applyNumberFormat="1" applyFont="1" applyBorder="1" applyAlignment="1">
      <alignment horizontal="center" vertical="center" wrapText="1"/>
    </xf>
    <xf numFmtId="42" fontId="6" fillId="0" borderId="2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177" fontId="7" fillId="0" borderId="1" xfId="0" applyNumberFormat="1" applyFont="1" applyBorder="1" applyAlignment="1">
      <alignment horizontal="center"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EF8D2-3B23-49B2-BD89-E34880020EA2}">
  <dimension ref="B2:N19"/>
  <sheetViews>
    <sheetView tabSelected="1" workbookViewId="0"/>
  </sheetViews>
  <sheetFormatPr defaultRowHeight="16.5"/>
  <cols>
    <col min="1" max="1" width="3.5" customWidth="1"/>
    <col min="2" max="2" width="3.5" style="61" bestFit="1" customWidth="1"/>
    <col min="3" max="3" width="5.25" bestFit="1" customWidth="1"/>
    <col min="4" max="4" width="13" customWidth="1"/>
    <col min="5" max="6" width="16.125" bestFit="1" customWidth="1"/>
    <col min="7" max="7" width="14.625" bestFit="1" customWidth="1"/>
    <col min="8" max="9" width="16.125" bestFit="1" customWidth="1"/>
    <col min="10" max="10" width="14.625" bestFit="1" customWidth="1"/>
    <col min="11" max="11" width="10.25" bestFit="1" customWidth="1"/>
    <col min="12" max="13" width="16.125" customWidth="1"/>
    <col min="14" max="14" width="55.25" bestFit="1" customWidth="1"/>
  </cols>
  <sheetData>
    <row r="2" spans="2:14">
      <c r="C2" s="1"/>
      <c r="D2" s="1"/>
      <c r="E2" s="69" t="s">
        <v>77</v>
      </c>
      <c r="F2" s="74"/>
      <c r="G2" s="75"/>
      <c r="H2" s="74" t="s">
        <v>81</v>
      </c>
      <c r="I2" s="74"/>
      <c r="J2" s="74"/>
      <c r="K2" s="74"/>
      <c r="L2" s="74"/>
      <c r="M2" s="70"/>
    </row>
    <row r="3" spans="2:14">
      <c r="B3" s="62" t="s">
        <v>75</v>
      </c>
      <c r="C3" s="76" t="s">
        <v>76</v>
      </c>
      <c r="D3" s="70"/>
      <c r="E3" s="37" t="s">
        <v>80</v>
      </c>
      <c r="F3" s="37" t="s">
        <v>78</v>
      </c>
      <c r="G3" s="40" t="s">
        <v>79</v>
      </c>
      <c r="H3" s="39" t="s">
        <v>80</v>
      </c>
      <c r="I3" s="37" t="s">
        <v>86</v>
      </c>
      <c r="J3" s="37" t="s">
        <v>87</v>
      </c>
      <c r="K3" s="37" t="s">
        <v>83</v>
      </c>
      <c r="L3" s="37" t="s">
        <v>53</v>
      </c>
      <c r="M3" s="37" t="s">
        <v>54</v>
      </c>
      <c r="N3" s="37" t="s">
        <v>12</v>
      </c>
    </row>
    <row r="4" spans="2:14">
      <c r="B4" s="62">
        <v>1</v>
      </c>
      <c r="C4" s="69" t="s">
        <v>82</v>
      </c>
      <c r="D4" s="70"/>
      <c r="E4" s="49">
        <f>SUM(F4:G4)</f>
        <v>395235675.69999993</v>
      </c>
      <c r="F4" s="49">
        <f>'1.지아이씨'!S34</f>
        <v>395235675.69999993</v>
      </c>
      <c r="G4" s="41">
        <f>'1.지아이씨'!T34</f>
        <v>0</v>
      </c>
      <c r="H4" s="45">
        <f>'1.지아이씨'!O34</f>
        <v>395235675.69999999</v>
      </c>
      <c r="I4" s="46">
        <f>'1.지아이씨'!P34</f>
        <v>395235675.69999999</v>
      </c>
      <c r="J4" s="47">
        <f>'1.지아이씨'!Q34</f>
        <v>0</v>
      </c>
      <c r="K4" s="42">
        <f>H4/E4</f>
        <v>1.0000000000000002</v>
      </c>
      <c r="L4" s="43"/>
      <c r="M4" s="43"/>
      <c r="N4" s="48"/>
    </row>
    <row r="5" spans="2:14">
      <c r="B5" s="62">
        <v>2</v>
      </c>
      <c r="C5" s="69" t="s">
        <v>98</v>
      </c>
      <c r="D5" s="70"/>
      <c r="E5" s="49">
        <f t="shared" ref="E5:E19" si="0">SUM(F5:G5)</f>
        <v>186300000</v>
      </c>
      <c r="F5" s="38">
        <f>'2.서울교통공사'!S34</f>
        <v>0</v>
      </c>
      <c r="G5" s="41">
        <f>'2.서울교통공사'!T34</f>
        <v>186300000</v>
      </c>
      <c r="H5" s="45">
        <f>'2.서울교통공사'!O34</f>
        <v>1200000</v>
      </c>
      <c r="I5" s="46">
        <f>'2.서울교통공사'!P34</f>
        <v>1200000</v>
      </c>
      <c r="J5" s="47">
        <f>'2.서울교통공사'!Q34</f>
        <v>0</v>
      </c>
      <c r="K5" s="42">
        <f t="shared" ref="K5:K19" si="1">H5/E5</f>
        <v>6.4412238325281803E-3</v>
      </c>
      <c r="L5" s="43"/>
      <c r="M5" s="43"/>
      <c r="N5" s="56"/>
    </row>
    <row r="6" spans="2:14">
      <c r="B6" s="62">
        <v>3</v>
      </c>
      <c r="C6" s="69" t="s">
        <v>57</v>
      </c>
      <c r="D6" s="70"/>
      <c r="E6" s="49">
        <f t="shared" si="0"/>
        <v>479539165</v>
      </c>
      <c r="F6" s="38">
        <f>'3.현대로템'!S34</f>
        <v>469322165</v>
      </c>
      <c r="G6" s="41">
        <f>'3.현대로템'!T34</f>
        <v>10217000</v>
      </c>
      <c r="H6" s="45">
        <f>'3.현대로템'!O34</f>
        <v>19883340</v>
      </c>
      <c r="I6" s="46">
        <f>'3.현대로템'!P34</f>
        <v>19883340</v>
      </c>
      <c r="J6" s="47">
        <f>'3.현대로템'!Q34</f>
        <v>0</v>
      </c>
      <c r="K6" s="42">
        <f t="shared" si="1"/>
        <v>4.1463432918977534E-2</v>
      </c>
      <c r="L6" s="43"/>
      <c r="M6" s="43"/>
      <c r="N6" s="48"/>
    </row>
    <row r="7" spans="2:14">
      <c r="B7" s="62">
        <v>4</v>
      </c>
      <c r="C7" s="69" t="s">
        <v>63</v>
      </c>
      <c r="D7" s="70"/>
      <c r="E7" s="49">
        <f>SUM(F7:G7)</f>
        <v>510623467</v>
      </c>
      <c r="F7" s="38">
        <f>'4.다원시스'!S34</f>
        <v>287000000</v>
      </c>
      <c r="G7" s="41">
        <f>'4.다원시스'!T34</f>
        <v>223623467</v>
      </c>
      <c r="H7" s="45">
        <f>'4.다원시스'!O34</f>
        <v>287000000</v>
      </c>
      <c r="I7" s="46">
        <f>'4.다원시스'!P34</f>
        <v>287000000</v>
      </c>
      <c r="J7" s="47">
        <f>'4.다원시스'!Q34</f>
        <v>0</v>
      </c>
      <c r="K7" s="42">
        <f>H7/E7</f>
        <v>0.56205799096186071</v>
      </c>
      <c r="L7" s="43"/>
      <c r="M7" s="43"/>
      <c r="N7" s="43"/>
    </row>
    <row r="8" spans="2:14">
      <c r="B8" s="62">
        <v>5</v>
      </c>
      <c r="C8" s="69" t="s">
        <v>74</v>
      </c>
      <c r="D8" s="70"/>
      <c r="E8" s="49">
        <f>SUM(F8:G8)</f>
        <v>82990000</v>
      </c>
      <c r="F8" s="38">
        <f>'5.인터모빌리티'!S34</f>
        <v>0</v>
      </c>
      <c r="G8" s="41">
        <f>'5.인터모빌리티'!T34</f>
        <v>82990000</v>
      </c>
      <c r="H8" s="45">
        <f>'5.인터모빌리티'!O34</f>
        <v>0</v>
      </c>
      <c r="I8" s="46">
        <f>'5.인터모빌리티'!P34</f>
        <v>0</v>
      </c>
      <c r="J8" s="47">
        <f>'5.인터모빌리티'!Q34</f>
        <v>0</v>
      </c>
      <c r="K8" s="42">
        <f>H8/E8</f>
        <v>0</v>
      </c>
      <c r="L8" s="43"/>
      <c r="M8" s="43"/>
      <c r="N8" s="68" t="s">
        <v>140</v>
      </c>
    </row>
    <row r="9" spans="2:14">
      <c r="B9" s="62">
        <v>6</v>
      </c>
      <c r="C9" s="69" t="s">
        <v>88</v>
      </c>
      <c r="D9" s="70"/>
      <c r="E9" s="49">
        <f>SUM(F9:G9)</f>
        <v>560588000</v>
      </c>
      <c r="F9" s="38">
        <f>'6.GMTECH'!S34</f>
        <v>560588000</v>
      </c>
      <c r="G9" s="41">
        <f>'6.GMTECH'!T34</f>
        <v>0</v>
      </c>
      <c r="H9" s="45">
        <f>'6.GMTECH'!O34</f>
        <v>0</v>
      </c>
      <c r="I9" s="45">
        <f>'6.GMTECH'!P34</f>
        <v>0</v>
      </c>
      <c r="J9" s="47">
        <f>'6.GMTECH'!Q34</f>
        <v>0</v>
      </c>
      <c r="K9" s="42">
        <f>H9/E9</f>
        <v>0</v>
      </c>
      <c r="L9" s="43"/>
      <c r="M9" s="43"/>
      <c r="N9" s="43"/>
    </row>
    <row r="10" spans="2:14">
      <c r="B10" s="62" t="s">
        <v>111</v>
      </c>
      <c r="C10" s="71" t="s">
        <v>118</v>
      </c>
      <c r="D10" s="44" t="s">
        <v>55</v>
      </c>
      <c r="E10" s="49">
        <f>SUM(F10:G10)</f>
        <v>0</v>
      </c>
      <c r="F10" s="38">
        <f>SUMIF('7.기타'!$C$4:$C$33, Total!D10, '7.기타'!$S$4:$S$33)</f>
        <v>0</v>
      </c>
      <c r="G10" s="41">
        <f>SUMIF('7.기타'!$C$4:$C$33, Total!D10, '7.기타'!$T$4:$T$33)</f>
        <v>0</v>
      </c>
      <c r="H10" s="45">
        <f>SUMIF('7.기타'!$C$4:$C$33, Total!D10, '7.기타'!$O$4:$O$33)</f>
        <v>0</v>
      </c>
      <c r="I10" s="46">
        <f>SUMIF('7.기타'!$C$4:$C$33, Total!D10, '7.기타'!$P$4:$P$33)</f>
        <v>0</v>
      </c>
      <c r="J10" s="47">
        <f>SUMIF('7.기타'!$C$4:$C$33, Total!D10, '7.기타'!$Q$4:$Q$33)</f>
        <v>0</v>
      </c>
      <c r="K10" s="42" t="e">
        <f>H10/E10</f>
        <v>#DIV/0!</v>
      </c>
      <c r="L10" s="43"/>
      <c r="M10" s="43"/>
      <c r="N10" s="43"/>
    </row>
    <row r="11" spans="2:14">
      <c r="B11" s="62" t="s">
        <v>112</v>
      </c>
      <c r="C11" s="72"/>
      <c r="D11" s="44" t="s">
        <v>102</v>
      </c>
      <c r="E11" s="49">
        <f t="shared" ref="E11:E17" si="2">SUM(F11:G11)</f>
        <v>8000000</v>
      </c>
      <c r="F11" s="38">
        <f>SUMIF('7.기타'!$C$4:$C$33, Total!D11, '7.기타'!$S$4:$S$33)</f>
        <v>0</v>
      </c>
      <c r="G11" s="41">
        <f>SUMIF('7.기타'!$C$4:$C$33, Total!D11, '7.기타'!$T$4:$T$33)</f>
        <v>8000000</v>
      </c>
      <c r="H11" s="45">
        <f>SUMIF('7.기타'!$C$4:$C$33, Total!D11, '7.기타'!$O$4:$O$33)</f>
        <v>0</v>
      </c>
      <c r="I11" s="46">
        <f>SUMIF('7.기타'!$C$4:$C$33, Total!D11, '7.기타'!$P$4:$P$33)</f>
        <v>0</v>
      </c>
      <c r="J11" s="47">
        <f>SUMIF('7.기타'!$C$4:$C$33, Total!D11, '7.기타'!$Q$4:$Q$33)</f>
        <v>0</v>
      </c>
      <c r="K11" s="42">
        <f t="shared" ref="K11" si="3">H11/E11</f>
        <v>0</v>
      </c>
      <c r="L11" s="43"/>
      <c r="M11" s="43"/>
      <c r="N11" s="43"/>
    </row>
    <row r="12" spans="2:14">
      <c r="B12" s="62" t="s">
        <v>113</v>
      </c>
      <c r="C12" s="72"/>
      <c r="D12" s="44" t="s">
        <v>59</v>
      </c>
      <c r="E12" s="49">
        <f t="shared" si="2"/>
        <v>0</v>
      </c>
      <c r="F12" s="38">
        <f>SUMIF('7.기타'!$C$4:$C$33, Total!D12, '7.기타'!$S$4:$S$33)</f>
        <v>0</v>
      </c>
      <c r="G12" s="41">
        <f>SUMIF('7.기타'!$C$4:$C$33, Total!D12, '7.기타'!$T$4:$T$33)</f>
        <v>0</v>
      </c>
      <c r="H12" s="45">
        <f>SUMIF('7.기타'!$C$4:$C$33, Total!D12, '7.기타'!$O$4:$O$33)</f>
        <v>0</v>
      </c>
      <c r="I12" s="46">
        <f>SUMIF('7.기타'!$C$4:$C$33, Total!D12, '7.기타'!$P$4:$P$33)</f>
        <v>0</v>
      </c>
      <c r="J12" s="47">
        <f>SUMIF('7.기타'!$C$4:$C$33, Total!D12, '7.기타'!$Q$4:$Q$33)</f>
        <v>0</v>
      </c>
      <c r="K12" s="42" t="e">
        <f t="shared" si="1"/>
        <v>#DIV/0!</v>
      </c>
      <c r="L12" s="43"/>
      <c r="M12" s="43"/>
      <c r="N12" s="43"/>
    </row>
    <row r="13" spans="2:14">
      <c r="B13" s="62" t="s">
        <v>114</v>
      </c>
      <c r="C13" s="72"/>
      <c r="D13" s="44" t="s">
        <v>61</v>
      </c>
      <c r="E13" s="49">
        <f t="shared" si="2"/>
        <v>0</v>
      </c>
      <c r="F13" s="38">
        <f>SUMIF('7.기타'!$C$4:$C$33, Total!D13, '7.기타'!$S$4:$S$33)</f>
        <v>0</v>
      </c>
      <c r="G13" s="41">
        <f>SUMIF('7.기타'!$C$4:$C$33, Total!D13, '7.기타'!$T$4:$T$33)</f>
        <v>0</v>
      </c>
      <c r="H13" s="45">
        <f>SUMIF('7.기타'!$C$4:$C$33, Total!D13, '7.기타'!$O$4:$O$33)</f>
        <v>0</v>
      </c>
      <c r="I13" s="46">
        <f>SUMIF('7.기타'!$C$4:$C$33, Total!D13, '7.기타'!$P$4:$P$33)</f>
        <v>0</v>
      </c>
      <c r="J13" s="47">
        <f>SUMIF('7.기타'!$C$4:$C$33, Total!D13, '7.기타'!$Q$4:$Q$33)</f>
        <v>0</v>
      </c>
      <c r="K13" s="42" t="e">
        <f t="shared" si="1"/>
        <v>#DIV/0!</v>
      </c>
      <c r="L13" s="43"/>
      <c r="M13" s="43"/>
      <c r="N13" s="43"/>
    </row>
    <row r="14" spans="2:14">
      <c r="B14" s="62" t="s">
        <v>115</v>
      </c>
      <c r="C14" s="72"/>
      <c r="D14" s="44" t="s">
        <v>68</v>
      </c>
      <c r="E14" s="49">
        <f t="shared" si="2"/>
        <v>0</v>
      </c>
      <c r="F14" s="38">
        <f>SUMIF('7.기타'!$C$4:$C$33, Total!D14, '7.기타'!$S$4:$S$33)</f>
        <v>0</v>
      </c>
      <c r="G14" s="41">
        <f>SUMIF('7.기타'!$C$4:$C$33, Total!D14, '7.기타'!$T$4:$T$33)</f>
        <v>0</v>
      </c>
      <c r="H14" s="45">
        <f>SUMIF('7.기타'!$C$4:$C$33, Total!D14, '7.기타'!$O$4:$O$33)</f>
        <v>0</v>
      </c>
      <c r="I14" s="46">
        <f>SUMIF('7.기타'!$C$4:$C$33, Total!D14, '7.기타'!$P$4:$P$33)</f>
        <v>0</v>
      </c>
      <c r="J14" s="47">
        <f>SUMIF('7.기타'!$C$4:$C$33, Total!D14, '7.기타'!$Q$4:$Q$33)</f>
        <v>0</v>
      </c>
      <c r="K14" s="42" t="e">
        <f t="shared" si="1"/>
        <v>#DIV/0!</v>
      </c>
      <c r="L14" s="43"/>
      <c r="M14" s="43"/>
      <c r="N14" s="43"/>
    </row>
    <row r="15" spans="2:14">
      <c r="B15" s="62" t="s">
        <v>116</v>
      </c>
      <c r="C15" s="72"/>
      <c r="D15" s="44" t="s">
        <v>70</v>
      </c>
      <c r="E15" s="49">
        <f t="shared" si="2"/>
        <v>0</v>
      </c>
      <c r="F15" s="38">
        <f>SUMIF('7.기타'!$C$4:$C$33, Total!D15, '7.기타'!$S$4:$S$33)</f>
        <v>0</v>
      </c>
      <c r="G15" s="41">
        <f>SUMIF('7.기타'!$C$4:$C$33, Total!D15, '7.기타'!$T$4:$T$33)</f>
        <v>0</v>
      </c>
      <c r="H15" s="45">
        <f>SUMIF('7.기타'!$C$4:$C$33, Total!D15, '7.기타'!$O$4:$O$33)</f>
        <v>0</v>
      </c>
      <c r="I15" s="46">
        <f>SUMIF('7.기타'!$C$4:$C$33, Total!D15, '7.기타'!$P$4:$P$33)</f>
        <v>0</v>
      </c>
      <c r="J15" s="47">
        <f>SUMIF('7.기타'!$C$4:$C$33, Total!D15, '7.기타'!$Q$4:$Q$33)</f>
        <v>0</v>
      </c>
      <c r="K15" s="42" t="e">
        <f t="shared" si="1"/>
        <v>#DIV/0!</v>
      </c>
      <c r="L15" s="43"/>
      <c r="M15" s="43"/>
      <c r="N15" s="43"/>
    </row>
    <row r="16" spans="2:14">
      <c r="B16" s="62" t="s">
        <v>117</v>
      </c>
      <c r="C16" s="72"/>
      <c r="D16" s="44" t="s">
        <v>72</v>
      </c>
      <c r="E16" s="49">
        <f t="shared" si="2"/>
        <v>0</v>
      </c>
      <c r="F16" s="38">
        <f>SUMIF('7.기타'!$C$4:$C$33, Total!D16, '7.기타'!$S$4:$S$33)</f>
        <v>0</v>
      </c>
      <c r="G16" s="41">
        <f>SUMIF('7.기타'!$C$4:$C$33, Total!D16, '7.기타'!$T$4:$T$33)</f>
        <v>0</v>
      </c>
      <c r="H16" s="45">
        <f>SUMIF('7.기타'!$C$4:$C$33, Total!D16, '7.기타'!$O$4:$O$33)</f>
        <v>0</v>
      </c>
      <c r="I16" s="46">
        <f>SUMIF('7.기타'!$C$4:$C$33, Total!D16, '7.기타'!$P$4:$P$33)</f>
        <v>0</v>
      </c>
      <c r="J16" s="47">
        <f>SUMIF('7.기타'!$C$4:$C$33, Total!D16, '7.기타'!$Q$4:$Q$33)</f>
        <v>0</v>
      </c>
      <c r="K16" s="42" t="e">
        <f t="shared" si="1"/>
        <v>#DIV/0!</v>
      </c>
      <c r="L16" s="43"/>
      <c r="M16" s="43"/>
      <c r="N16" s="43"/>
    </row>
    <row r="17" spans="2:14">
      <c r="B17" s="62" t="s">
        <v>139</v>
      </c>
      <c r="C17" s="73"/>
      <c r="D17" s="44" t="s">
        <v>136</v>
      </c>
      <c r="E17" s="49">
        <f t="shared" si="2"/>
        <v>120000000</v>
      </c>
      <c r="F17" s="38">
        <f>SUMIF('7.기타'!$C$4:$C$33, Total!D17, '7.기타'!$S$4:$S$33)</f>
        <v>120000000</v>
      </c>
      <c r="G17" s="41">
        <f>SUMIF('7.기타'!$C$4:$C$33, Total!D17, '7.기타'!$T$4:$T$33)</f>
        <v>0</v>
      </c>
      <c r="H17" s="45">
        <f>SUMIF('7.기타'!$C$4:$C$33, Total!D17, '7.기타'!$O$4:$O$33)</f>
        <v>0</v>
      </c>
      <c r="I17" s="46">
        <f>SUMIF('7.기타'!$C$4:$C$33, Total!D17, '7.기타'!$P$4:$P$33)</f>
        <v>0</v>
      </c>
      <c r="J17" s="47">
        <f>SUMIF('7.기타'!$C$4:$C$33, Total!D17, '7.기타'!$Q$4:$Q$33)</f>
        <v>0</v>
      </c>
      <c r="K17" s="42">
        <f t="shared" ref="K17" si="4">H17/E17</f>
        <v>0</v>
      </c>
      <c r="L17" s="43"/>
      <c r="M17" s="43"/>
      <c r="N17" s="68" t="s">
        <v>141</v>
      </c>
    </row>
    <row r="18" spans="2:14">
      <c r="B18" s="62"/>
      <c r="C18" s="44"/>
      <c r="D18" s="44"/>
      <c r="E18" s="49"/>
      <c r="F18" s="38"/>
      <c r="G18" s="41"/>
      <c r="H18" s="45"/>
      <c r="I18" s="45"/>
      <c r="J18" s="47"/>
      <c r="K18" s="42"/>
      <c r="L18" s="43"/>
      <c r="M18" s="43"/>
      <c r="N18" s="54"/>
    </row>
    <row r="19" spans="2:14">
      <c r="B19" s="62"/>
      <c r="C19" s="44" t="s">
        <v>84</v>
      </c>
      <c r="D19" s="44"/>
      <c r="E19" s="49">
        <f t="shared" si="0"/>
        <v>2343276307.6999998</v>
      </c>
      <c r="F19" s="38">
        <f>SUM(F4:F18)</f>
        <v>1832145840.6999998</v>
      </c>
      <c r="G19" s="41">
        <f>SUM(G4:G18)</f>
        <v>511130467</v>
      </c>
      <c r="H19" s="45">
        <f>SUM(H4:H18)</f>
        <v>703319015.70000005</v>
      </c>
      <c r="I19" s="46">
        <f>SUM(I4:I18)</f>
        <v>703319015.70000005</v>
      </c>
      <c r="J19" s="47">
        <f>SUM(J4:J18)</f>
        <v>0</v>
      </c>
      <c r="K19" s="42">
        <f t="shared" si="1"/>
        <v>0.30014344163720497</v>
      </c>
      <c r="L19" s="43"/>
      <c r="M19" s="43"/>
      <c r="N19" s="43"/>
    </row>
  </sheetData>
  <mergeCells count="10">
    <mergeCell ref="E2:G2"/>
    <mergeCell ref="H2:M2"/>
    <mergeCell ref="C3:D3"/>
    <mergeCell ref="C4:D4"/>
    <mergeCell ref="C5:D5"/>
    <mergeCell ref="C6:D6"/>
    <mergeCell ref="C7:D7"/>
    <mergeCell ref="C8:D8"/>
    <mergeCell ref="C9:D9"/>
    <mergeCell ref="C10:C17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7C031-0198-4FE5-BB10-7AD71E3D4A47}">
  <dimension ref="B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13.25" style="2" customWidth="1"/>
    <col min="4" max="4" width="5.25" style="1" bestFit="1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2:24">
      <c r="B2" s="7"/>
      <c r="D2" s="7"/>
    </row>
    <row r="3" spans="2:24" s="27" customFormat="1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85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2:24" s="14" customFormat="1" ht="33">
      <c r="B4" s="8">
        <v>1</v>
      </c>
      <c r="C4" s="9" t="s">
        <v>14</v>
      </c>
      <c r="D4" s="8" t="s">
        <v>108</v>
      </c>
      <c r="E4" s="9"/>
      <c r="F4" s="9"/>
      <c r="G4" s="51">
        <v>45436</v>
      </c>
      <c r="H4" s="51">
        <v>45804</v>
      </c>
      <c r="I4" s="9" t="s">
        <v>19</v>
      </c>
      <c r="J4" s="51">
        <f>G4</f>
        <v>45436</v>
      </c>
      <c r="K4" s="52">
        <f>H4</f>
        <v>45804</v>
      </c>
      <c r="L4" s="10"/>
      <c r="M4" s="9" t="s">
        <v>20</v>
      </c>
      <c r="N4" s="9"/>
      <c r="O4" s="11">
        <v>245497525</v>
      </c>
      <c r="P4" s="11">
        <v>245497525</v>
      </c>
      <c r="Q4" s="26">
        <v>0</v>
      </c>
      <c r="R4" s="11">
        <v>245497524.99999997</v>
      </c>
      <c r="S4" s="11">
        <v>245497524.99999997</v>
      </c>
      <c r="T4" s="11"/>
      <c r="U4" s="11"/>
      <c r="V4" s="11"/>
      <c r="W4" s="12">
        <f>4813677+105213225</f>
        <v>110026902</v>
      </c>
      <c r="X4" s="25"/>
    </row>
    <row r="5" spans="2:24" s="14" customFormat="1" ht="33">
      <c r="B5" s="8">
        <v>2</v>
      </c>
      <c r="C5" s="9" t="s">
        <v>14</v>
      </c>
      <c r="D5" s="8" t="s">
        <v>108</v>
      </c>
      <c r="E5" s="9"/>
      <c r="F5" s="9"/>
      <c r="G5" s="51">
        <v>45548</v>
      </c>
      <c r="H5" s="51">
        <v>45688</v>
      </c>
      <c r="I5" s="9" t="s">
        <v>27</v>
      </c>
      <c r="J5" s="51">
        <f>G5</f>
        <v>45548</v>
      </c>
      <c r="K5" s="52">
        <f>H5</f>
        <v>45688</v>
      </c>
      <c r="L5" s="10" t="s">
        <v>15</v>
      </c>
      <c r="M5" s="9" t="s">
        <v>28</v>
      </c>
      <c r="N5" s="9">
        <v>51</v>
      </c>
      <c r="O5" s="11">
        <v>13983023.1</v>
      </c>
      <c r="P5" s="11">
        <v>13983023.1</v>
      </c>
      <c r="Q5" s="26">
        <v>0</v>
      </c>
      <c r="R5" s="11">
        <v>13983023.1</v>
      </c>
      <c r="S5" s="11">
        <v>13983023.1</v>
      </c>
      <c r="T5" s="11"/>
      <c r="U5" s="11"/>
      <c r="V5" s="11"/>
      <c r="W5" s="12">
        <v>0</v>
      </c>
      <c r="X5" s="17"/>
    </row>
    <row r="6" spans="2:24" s="14" customFormat="1">
      <c r="B6" s="8"/>
      <c r="C6" s="9"/>
      <c r="D6" s="8"/>
      <c r="E6" s="9"/>
      <c r="F6" s="9"/>
      <c r="G6" s="8"/>
      <c r="H6" s="10"/>
      <c r="I6" s="9"/>
      <c r="J6" s="8"/>
      <c r="K6" s="10"/>
      <c r="L6" s="10" t="s">
        <v>16</v>
      </c>
      <c r="M6" s="9" t="s">
        <v>29</v>
      </c>
      <c r="N6" s="9">
        <v>51</v>
      </c>
      <c r="O6" s="11">
        <v>10164755.4</v>
      </c>
      <c r="P6" s="11">
        <v>10164755.4</v>
      </c>
      <c r="Q6" s="26">
        <v>0</v>
      </c>
      <c r="R6" s="11">
        <v>10164755.4</v>
      </c>
      <c r="S6" s="11">
        <v>10164755.4</v>
      </c>
      <c r="T6" s="11"/>
      <c r="U6" s="11"/>
      <c r="V6" s="11"/>
      <c r="W6" s="12">
        <v>0</v>
      </c>
      <c r="X6" s="17"/>
    </row>
    <row r="7" spans="2:24" s="14" customFormat="1">
      <c r="B7" s="8"/>
      <c r="C7" s="9"/>
      <c r="D7" s="8"/>
      <c r="E7" s="9"/>
      <c r="F7" s="9"/>
      <c r="G7" s="8"/>
      <c r="H7" s="10"/>
      <c r="I7" s="9"/>
      <c r="J7" s="8"/>
      <c r="K7" s="10"/>
      <c r="L7" s="10" t="s">
        <v>17</v>
      </c>
      <c r="M7" s="9" t="s">
        <v>30</v>
      </c>
      <c r="N7" s="9">
        <v>51</v>
      </c>
      <c r="O7" s="11">
        <v>9341652.2999999989</v>
      </c>
      <c r="P7" s="11">
        <v>9341652.2999999989</v>
      </c>
      <c r="Q7" s="26">
        <v>0</v>
      </c>
      <c r="R7" s="11">
        <v>9341652.2999999989</v>
      </c>
      <c r="S7" s="11">
        <v>9341652.2999999989</v>
      </c>
      <c r="T7" s="11"/>
      <c r="U7" s="11"/>
      <c r="V7" s="11"/>
      <c r="W7" s="12">
        <v>0</v>
      </c>
      <c r="X7" s="17"/>
    </row>
    <row r="8" spans="2:24" s="14" customFormat="1">
      <c r="B8" s="8"/>
      <c r="C8" s="9"/>
      <c r="D8" s="8"/>
      <c r="E8" s="9"/>
      <c r="F8" s="9"/>
      <c r="G8" s="8"/>
      <c r="H8" s="10"/>
      <c r="I8" s="9"/>
      <c r="J8" s="8"/>
      <c r="K8" s="10"/>
      <c r="L8" s="10" t="s">
        <v>18</v>
      </c>
      <c r="M8" s="9" t="s">
        <v>31</v>
      </c>
      <c r="N8" s="9">
        <v>51</v>
      </c>
      <c r="O8" s="11">
        <v>7854455.3999999994</v>
      </c>
      <c r="P8" s="11">
        <v>7854455.3999999994</v>
      </c>
      <c r="Q8" s="26">
        <v>0</v>
      </c>
      <c r="R8" s="11">
        <v>7854455.3999999994</v>
      </c>
      <c r="S8" s="11">
        <v>7854455.3999999994</v>
      </c>
      <c r="T8" s="11"/>
      <c r="U8" s="11"/>
      <c r="V8" s="11"/>
      <c r="W8" s="12">
        <v>0</v>
      </c>
      <c r="X8" s="17"/>
    </row>
    <row r="9" spans="2:24" s="14" customFormat="1">
      <c r="B9" s="8"/>
      <c r="C9" s="9"/>
      <c r="D9" s="8"/>
      <c r="E9" s="9"/>
      <c r="F9" s="9"/>
      <c r="G9" s="8"/>
      <c r="H9" s="10"/>
      <c r="I9" s="9"/>
      <c r="J9" s="8"/>
      <c r="K9" s="10"/>
      <c r="L9" s="10" t="s">
        <v>21</v>
      </c>
      <c r="M9" s="9" t="s">
        <v>32</v>
      </c>
      <c r="N9" s="9">
        <v>51</v>
      </c>
      <c r="O9" s="11">
        <v>9422642.6999999993</v>
      </c>
      <c r="P9" s="11">
        <v>9422642.6999999993</v>
      </c>
      <c r="Q9" s="26">
        <v>0</v>
      </c>
      <c r="R9" s="11">
        <v>9422642.6999999993</v>
      </c>
      <c r="S9" s="11">
        <v>9422642.6999999993</v>
      </c>
      <c r="T9" s="11"/>
      <c r="U9" s="11"/>
      <c r="V9" s="11"/>
      <c r="W9" s="12">
        <v>0</v>
      </c>
      <c r="X9" s="17"/>
    </row>
    <row r="10" spans="2:24" s="14" customFormat="1">
      <c r="B10" s="8"/>
      <c r="C10" s="9"/>
      <c r="D10" s="8"/>
      <c r="E10" s="9"/>
      <c r="F10" s="9"/>
      <c r="G10" s="8"/>
      <c r="H10" s="10"/>
      <c r="I10" s="9"/>
      <c r="J10" s="8"/>
      <c r="K10" s="10"/>
      <c r="L10" s="10" t="s">
        <v>22</v>
      </c>
      <c r="M10" s="9" t="s">
        <v>33</v>
      </c>
      <c r="N10" s="9">
        <v>51</v>
      </c>
      <c r="O10" s="11">
        <v>4421700</v>
      </c>
      <c r="P10" s="11">
        <v>4421700</v>
      </c>
      <c r="Q10" s="26">
        <v>0</v>
      </c>
      <c r="R10" s="11">
        <v>4421700</v>
      </c>
      <c r="S10" s="11">
        <v>4421700</v>
      </c>
      <c r="T10" s="11"/>
      <c r="U10" s="11"/>
      <c r="V10" s="11"/>
      <c r="W10" s="12">
        <v>0</v>
      </c>
      <c r="X10" s="17"/>
    </row>
    <row r="11" spans="2:24" s="14" customFormat="1">
      <c r="B11" s="8"/>
      <c r="C11" s="9"/>
      <c r="D11" s="8"/>
      <c r="E11" s="9"/>
      <c r="F11" s="9"/>
      <c r="G11" s="8"/>
      <c r="H11" s="10"/>
      <c r="I11" s="9"/>
      <c r="J11" s="8"/>
      <c r="K11" s="10"/>
      <c r="L11" s="10" t="s">
        <v>23</v>
      </c>
      <c r="M11" s="9" t="s">
        <v>34</v>
      </c>
      <c r="N11" s="9">
        <v>102</v>
      </c>
      <c r="O11" s="11">
        <v>10373400</v>
      </c>
      <c r="P11" s="11">
        <v>10373400</v>
      </c>
      <c r="Q11" s="26">
        <v>0</v>
      </c>
      <c r="R11" s="11">
        <v>10373400</v>
      </c>
      <c r="S11" s="11">
        <v>10373400</v>
      </c>
      <c r="T11" s="11"/>
      <c r="U11" s="11"/>
      <c r="V11" s="11"/>
      <c r="W11" s="12">
        <v>0</v>
      </c>
      <c r="X11" s="17"/>
    </row>
    <row r="12" spans="2:24" s="14" customFormat="1">
      <c r="B12" s="8"/>
      <c r="C12" s="9"/>
      <c r="D12" s="8"/>
      <c r="E12" s="9"/>
      <c r="F12" s="9"/>
      <c r="G12" s="8"/>
      <c r="H12" s="10"/>
      <c r="I12" s="9"/>
      <c r="J12" s="8"/>
      <c r="K12" s="10"/>
      <c r="L12" s="10" t="s">
        <v>24</v>
      </c>
      <c r="M12" s="9" t="s">
        <v>35</v>
      </c>
      <c r="N12" s="9">
        <v>51</v>
      </c>
      <c r="O12" s="11">
        <v>7264302.2999999998</v>
      </c>
      <c r="P12" s="11">
        <v>7264302.2999999998</v>
      </c>
      <c r="Q12" s="26">
        <v>0</v>
      </c>
      <c r="R12" s="11">
        <v>7264302.2999999998</v>
      </c>
      <c r="S12" s="11">
        <v>7264302.2999999998</v>
      </c>
      <c r="T12" s="11"/>
      <c r="U12" s="11"/>
      <c r="V12" s="11"/>
      <c r="W12" s="12">
        <v>0</v>
      </c>
      <c r="X12" s="17"/>
    </row>
    <row r="13" spans="2:24" s="14" customFormat="1">
      <c r="B13" s="8"/>
      <c r="C13" s="9"/>
      <c r="D13" s="8"/>
      <c r="E13" s="9"/>
      <c r="F13" s="9"/>
      <c r="G13" s="8"/>
      <c r="H13" s="10"/>
      <c r="I13" s="9"/>
      <c r="J13" s="8"/>
      <c r="K13" s="10"/>
      <c r="L13" s="10" t="s">
        <v>25</v>
      </c>
      <c r="M13" s="9" t="s">
        <v>36</v>
      </c>
      <c r="N13" s="9">
        <v>51</v>
      </c>
      <c r="O13" s="11">
        <v>4590000</v>
      </c>
      <c r="P13" s="11">
        <v>4590000</v>
      </c>
      <c r="Q13" s="26">
        <v>0</v>
      </c>
      <c r="R13" s="11">
        <v>4590000</v>
      </c>
      <c r="S13" s="11">
        <v>4590000</v>
      </c>
      <c r="T13" s="11"/>
      <c r="U13" s="11"/>
      <c r="V13" s="11"/>
      <c r="W13" s="12">
        <v>0</v>
      </c>
      <c r="X13" s="17"/>
    </row>
    <row r="14" spans="2:24" s="14" customFormat="1">
      <c r="B14" s="8"/>
      <c r="C14" s="9"/>
      <c r="D14" s="8"/>
      <c r="E14" s="9"/>
      <c r="F14" s="9"/>
      <c r="G14" s="8"/>
      <c r="H14" s="10"/>
      <c r="I14" s="9"/>
      <c r="J14" s="8"/>
      <c r="K14" s="10"/>
      <c r="L14" s="10" t="s">
        <v>26</v>
      </c>
      <c r="M14" s="9" t="s">
        <v>37</v>
      </c>
      <c r="N14" s="9">
        <v>51</v>
      </c>
      <c r="O14" s="11">
        <v>7246837.5</v>
      </c>
      <c r="P14" s="11">
        <v>7246837.5</v>
      </c>
      <c r="Q14" s="26">
        <v>0</v>
      </c>
      <c r="R14" s="11">
        <v>7246837.5</v>
      </c>
      <c r="S14" s="11">
        <v>7246837.5</v>
      </c>
      <c r="T14" s="11"/>
      <c r="U14" s="11"/>
      <c r="V14" s="11"/>
      <c r="W14" s="12">
        <v>0</v>
      </c>
      <c r="X14" s="17"/>
    </row>
    <row r="15" spans="2:24" s="14" customFormat="1">
      <c r="B15" s="8"/>
      <c r="C15" s="9"/>
      <c r="D15" s="8"/>
      <c r="E15" s="9"/>
      <c r="F15" s="9"/>
      <c r="G15" s="8"/>
      <c r="H15" s="10"/>
      <c r="I15" s="9"/>
      <c r="J15" s="8"/>
      <c r="K15" s="10"/>
      <c r="L15" s="10" t="s">
        <v>38</v>
      </c>
      <c r="M15" s="9" t="s">
        <v>39</v>
      </c>
      <c r="N15" s="9">
        <v>51</v>
      </c>
      <c r="O15" s="11">
        <v>6505758.8999999994</v>
      </c>
      <c r="P15" s="11">
        <v>6505758.8999999994</v>
      </c>
      <c r="Q15" s="26">
        <v>0</v>
      </c>
      <c r="R15" s="11">
        <v>6505758.8999999994</v>
      </c>
      <c r="S15" s="11">
        <v>6505758.8999999994</v>
      </c>
      <c r="T15" s="11"/>
      <c r="U15" s="11"/>
      <c r="V15" s="11"/>
      <c r="W15" s="12">
        <v>0</v>
      </c>
      <c r="X15" s="17"/>
    </row>
    <row r="16" spans="2:24" s="14" customFormat="1">
      <c r="B16" s="8"/>
      <c r="C16" s="9"/>
      <c r="D16" s="8"/>
      <c r="E16" s="9"/>
      <c r="F16" s="9"/>
      <c r="G16" s="8"/>
      <c r="H16" s="10"/>
      <c r="I16" s="9"/>
      <c r="J16" s="8"/>
      <c r="K16" s="10"/>
      <c r="L16" s="10" t="s">
        <v>40</v>
      </c>
      <c r="M16" s="9" t="s">
        <v>41</v>
      </c>
      <c r="N16" s="9">
        <v>51</v>
      </c>
      <c r="O16" s="11">
        <v>14136023.1</v>
      </c>
      <c r="P16" s="11">
        <v>14136023.1</v>
      </c>
      <c r="Q16" s="26">
        <v>0</v>
      </c>
      <c r="R16" s="11">
        <v>14136023.1</v>
      </c>
      <c r="S16" s="11">
        <v>14136023.1</v>
      </c>
      <c r="T16" s="11"/>
      <c r="U16" s="11"/>
      <c r="V16" s="11"/>
      <c r="W16" s="12">
        <v>0</v>
      </c>
      <c r="X16" s="17"/>
    </row>
    <row r="17" spans="2:24" s="14" customFormat="1" ht="33">
      <c r="B17" s="8">
        <v>3</v>
      </c>
      <c r="C17" s="9" t="s">
        <v>14</v>
      </c>
      <c r="D17" s="8" t="s">
        <v>108</v>
      </c>
      <c r="E17" s="9"/>
      <c r="F17" s="9"/>
      <c r="G17" s="51">
        <v>45558</v>
      </c>
      <c r="H17" s="51">
        <v>45657</v>
      </c>
      <c r="I17" s="9" t="s">
        <v>42</v>
      </c>
      <c r="J17" s="51">
        <f>G17</f>
        <v>45558</v>
      </c>
      <c r="K17" s="52">
        <f t="shared" ref="K17:K19" si="0">H17</f>
        <v>45657</v>
      </c>
      <c r="L17" s="10" t="s">
        <v>16</v>
      </c>
      <c r="M17" s="9" t="s">
        <v>43</v>
      </c>
      <c r="N17" s="9">
        <v>10</v>
      </c>
      <c r="O17" s="11">
        <v>8188800</v>
      </c>
      <c r="P17" s="11">
        <v>8188800</v>
      </c>
      <c r="Q17" s="26">
        <v>0</v>
      </c>
      <c r="R17" s="11">
        <v>8188800</v>
      </c>
      <c r="S17" s="11">
        <v>8188800</v>
      </c>
      <c r="T17" s="11"/>
      <c r="U17" s="11"/>
      <c r="V17" s="11"/>
      <c r="W17" s="12">
        <v>8188800</v>
      </c>
      <c r="X17" s="17"/>
    </row>
    <row r="18" spans="2:24" s="14" customFormat="1">
      <c r="B18" s="8"/>
      <c r="C18" s="9"/>
      <c r="D18" s="8"/>
      <c r="E18" s="9"/>
      <c r="F18" s="9"/>
      <c r="G18" s="8"/>
      <c r="H18" s="51">
        <v>45777</v>
      </c>
      <c r="I18" s="9"/>
      <c r="J18" s="8"/>
      <c r="K18" s="52">
        <f t="shared" si="0"/>
        <v>45777</v>
      </c>
      <c r="L18" s="10" t="s">
        <v>24</v>
      </c>
      <c r="M18" s="9" t="s">
        <v>44</v>
      </c>
      <c r="N18" s="9">
        <v>10</v>
      </c>
      <c r="O18" s="11">
        <v>12435200</v>
      </c>
      <c r="P18" s="11">
        <v>12435200</v>
      </c>
      <c r="Q18" s="26">
        <v>0</v>
      </c>
      <c r="R18" s="11">
        <v>12435200</v>
      </c>
      <c r="S18" s="11">
        <v>12435200</v>
      </c>
      <c r="T18" s="11"/>
      <c r="U18" s="11"/>
      <c r="V18" s="11"/>
      <c r="W18" s="12">
        <v>12435200</v>
      </c>
      <c r="X18" s="48"/>
    </row>
    <row r="19" spans="2:24" s="14" customFormat="1">
      <c r="B19" s="8"/>
      <c r="C19" s="9"/>
      <c r="D19" s="8"/>
      <c r="E19" s="9"/>
      <c r="F19" s="9"/>
      <c r="G19" s="8"/>
      <c r="H19" s="51">
        <v>45657</v>
      </c>
      <c r="I19" s="9"/>
      <c r="J19" s="8"/>
      <c r="K19" s="52">
        <f t="shared" si="0"/>
        <v>45657</v>
      </c>
      <c r="L19" s="10" t="s">
        <v>38</v>
      </c>
      <c r="M19" s="9" t="s">
        <v>45</v>
      </c>
      <c r="N19" s="9">
        <v>20</v>
      </c>
      <c r="O19" s="11">
        <v>23809600</v>
      </c>
      <c r="P19" s="11">
        <v>23809600</v>
      </c>
      <c r="Q19" s="26">
        <v>0</v>
      </c>
      <c r="R19" s="11">
        <v>23809600</v>
      </c>
      <c r="S19" s="11">
        <v>23809600</v>
      </c>
      <c r="T19" s="11"/>
      <c r="U19" s="11"/>
      <c r="V19" s="35"/>
      <c r="W19" s="12">
        <v>23809600</v>
      </c>
      <c r="X19" s="48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3"/>
      <c r="Q20" s="13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3"/>
      <c r="Q21" s="13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3"/>
      <c r="Q22" s="13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3"/>
      <c r="Q23" s="13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3"/>
      <c r="Q24" s="13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3"/>
      <c r="Q25" s="13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3"/>
      <c r="Q26" s="13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3"/>
      <c r="Q27" s="13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3"/>
      <c r="Q28" s="13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3"/>
      <c r="Q29" s="13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3"/>
      <c r="Q30" s="13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3"/>
      <c r="Q31" s="13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3"/>
      <c r="Q32" s="13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3"/>
      <c r="Q33" s="13"/>
      <c r="R33" s="13"/>
      <c r="S33" s="13"/>
      <c r="T33" s="13"/>
      <c r="U33" s="13"/>
      <c r="V33" s="13"/>
      <c r="W33" s="19"/>
      <c r="X33" s="17"/>
    </row>
    <row r="34" spans="2:24">
      <c r="B34" s="22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23"/>
      <c r="N34" s="23"/>
      <c r="O34" s="13">
        <f t="shared" ref="O34:W34" si="1">SUM(O4:O33)</f>
        <v>395235675.69999999</v>
      </c>
      <c r="P34" s="13">
        <f t="shared" si="1"/>
        <v>395235675.69999999</v>
      </c>
      <c r="Q34" s="13">
        <f t="shared" si="1"/>
        <v>0</v>
      </c>
      <c r="R34" s="13">
        <f t="shared" si="1"/>
        <v>395235675.69999993</v>
      </c>
      <c r="S34" s="13">
        <f t="shared" si="1"/>
        <v>395235675.69999993</v>
      </c>
      <c r="T34" s="13">
        <f t="shared" si="1"/>
        <v>0</v>
      </c>
      <c r="U34" s="13">
        <f t="shared" si="1"/>
        <v>0</v>
      </c>
      <c r="V34" s="13">
        <f t="shared" si="1"/>
        <v>0</v>
      </c>
      <c r="W34" s="13">
        <f t="shared" si="1"/>
        <v>154460502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0D90A-F32B-46E4-964B-4A28B5D6ADA0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13.25" style="2" customWidth="1"/>
    <col min="4" max="4" width="5.25" style="1" bestFit="1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8" style="6" bestFit="1" customWidth="1"/>
  </cols>
  <sheetData>
    <row r="2" spans="1:24">
      <c r="B2" s="7"/>
      <c r="D2" s="7"/>
    </row>
    <row r="3" spans="1:24" s="27" customFormat="1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85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1:24" s="1" customFormat="1">
      <c r="B4" s="16">
        <v>1</v>
      </c>
      <c r="C4" s="17" t="s">
        <v>98</v>
      </c>
      <c r="D4" s="16" t="s">
        <v>13</v>
      </c>
      <c r="E4" s="17">
        <v>2024121901</v>
      </c>
      <c r="F4" s="17"/>
      <c r="G4" s="50">
        <v>45650</v>
      </c>
      <c r="H4" s="50">
        <f>G4+15</f>
        <v>45665</v>
      </c>
      <c r="I4" s="17"/>
      <c r="J4" s="50"/>
      <c r="K4" s="50"/>
      <c r="L4" s="18"/>
      <c r="M4" s="18" t="s">
        <v>90</v>
      </c>
      <c r="N4" s="17"/>
      <c r="O4" s="13"/>
      <c r="P4" s="11"/>
      <c r="Q4" s="15"/>
      <c r="R4" s="13">
        <v>182000000</v>
      </c>
      <c r="S4" s="13"/>
      <c r="T4" s="13">
        <v>182000000</v>
      </c>
      <c r="U4" s="13"/>
      <c r="V4" s="13"/>
      <c r="W4" s="19"/>
      <c r="X4" s="21"/>
    </row>
    <row r="5" spans="1:24" s="14" customFormat="1">
      <c r="A5" s="1"/>
      <c r="B5" s="8"/>
      <c r="C5" s="17" t="s">
        <v>98</v>
      </c>
      <c r="D5" s="8"/>
      <c r="E5" s="17" t="s">
        <v>99</v>
      </c>
      <c r="F5" s="9"/>
      <c r="G5" s="50">
        <v>45695</v>
      </c>
      <c r="H5" s="50">
        <f>G5+15</f>
        <v>45710</v>
      </c>
      <c r="I5" s="9"/>
      <c r="J5" s="8"/>
      <c r="K5" s="10"/>
      <c r="L5" s="10"/>
      <c r="M5" s="17" t="s">
        <v>100</v>
      </c>
      <c r="N5" s="9"/>
      <c r="O5" s="11"/>
      <c r="P5" s="11"/>
      <c r="Q5" s="36"/>
      <c r="R5" s="13">
        <v>3000000</v>
      </c>
      <c r="S5" s="13"/>
      <c r="T5" s="13">
        <v>3000000</v>
      </c>
      <c r="U5" s="11"/>
      <c r="V5" s="11"/>
      <c r="W5" s="11"/>
      <c r="X5" s="17"/>
    </row>
    <row r="6" spans="1:24" s="14" customFormat="1">
      <c r="B6" s="54">
        <v>2</v>
      </c>
      <c r="C6" s="48" t="s">
        <v>91</v>
      </c>
      <c r="D6" s="54" t="s">
        <v>13</v>
      </c>
      <c r="E6" s="48">
        <v>202501071</v>
      </c>
      <c r="F6" s="48"/>
      <c r="G6" s="57">
        <v>45664</v>
      </c>
      <c r="H6" s="58">
        <f>G6+15</f>
        <v>45679</v>
      </c>
      <c r="I6" s="48"/>
      <c r="J6" s="57">
        <f>G6</f>
        <v>45664</v>
      </c>
      <c r="K6" s="58">
        <f>G6</f>
        <v>45664</v>
      </c>
      <c r="L6" s="59"/>
      <c r="M6" s="48" t="s">
        <v>92</v>
      </c>
      <c r="N6" s="48">
        <v>2</v>
      </c>
      <c r="O6" s="53">
        <v>1200000</v>
      </c>
      <c r="P6" s="53">
        <v>1200000</v>
      </c>
      <c r="Q6" s="53">
        <v>0</v>
      </c>
      <c r="R6" s="53">
        <v>1300000</v>
      </c>
      <c r="S6" s="53"/>
      <c r="T6" s="53">
        <v>1300000</v>
      </c>
      <c r="U6" s="53"/>
      <c r="V6" s="53"/>
      <c r="W6" s="60"/>
      <c r="X6" s="56" t="s">
        <v>106</v>
      </c>
    </row>
    <row r="7" spans="1:24" s="14" customFormat="1">
      <c r="B7" s="16"/>
      <c r="C7" s="17"/>
      <c r="D7" s="16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>
      <c r="B8" s="16"/>
      <c r="C8" s="17"/>
      <c r="D8" s="16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7"/>
      <c r="D9" s="16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7"/>
      <c r="D10" s="16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7"/>
      <c r="D11" s="16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23"/>
      <c r="N34" s="23"/>
      <c r="O34" s="13">
        <f t="shared" ref="O34:W34" si="0">SUM(O4:O33)</f>
        <v>1200000</v>
      </c>
      <c r="P34" s="13">
        <f t="shared" si="0"/>
        <v>1200000</v>
      </c>
      <c r="Q34" s="13">
        <f t="shared" si="0"/>
        <v>0</v>
      </c>
      <c r="R34" s="13">
        <f t="shared" si="0"/>
        <v>186300000</v>
      </c>
      <c r="S34" s="13">
        <f t="shared" si="0"/>
        <v>0</v>
      </c>
      <c r="T34" s="13">
        <f t="shared" si="0"/>
        <v>186300000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76282-D0AA-4C93-8A73-8178D8B4F152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13.25" style="2" customWidth="1"/>
    <col min="4" max="4" width="11.25" style="1" bestFit="1" customWidth="1"/>
    <col min="5" max="5" width="17.7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>
      <c r="B2" s="7"/>
      <c r="D2" s="7"/>
    </row>
    <row r="3" spans="1:24" s="27" customFormat="1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85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1:24" s="1" customFormat="1" ht="33">
      <c r="B4" s="8">
        <v>1</v>
      </c>
      <c r="C4" s="9" t="s">
        <v>58</v>
      </c>
      <c r="D4" s="8" t="s">
        <v>108</v>
      </c>
      <c r="E4" s="9" t="s">
        <v>125</v>
      </c>
      <c r="F4" s="9"/>
      <c r="G4" s="51">
        <v>45693</v>
      </c>
      <c r="H4" s="52">
        <f>G4+15</f>
        <v>45708</v>
      </c>
      <c r="I4" s="9" t="s">
        <v>101</v>
      </c>
      <c r="J4" s="51">
        <v>45714</v>
      </c>
      <c r="K4" s="51">
        <v>45741</v>
      </c>
      <c r="L4" s="10"/>
      <c r="M4" s="10" t="s">
        <v>110</v>
      </c>
      <c r="N4" s="9"/>
      <c r="O4" s="11">
        <v>9983340</v>
      </c>
      <c r="P4" s="11">
        <v>9983340</v>
      </c>
      <c r="Q4" s="15">
        <v>0</v>
      </c>
      <c r="R4" s="11">
        <v>9983340</v>
      </c>
      <c r="S4" s="11">
        <v>9983340</v>
      </c>
      <c r="T4" s="13"/>
      <c r="U4" s="13"/>
      <c r="V4" s="13"/>
      <c r="W4" s="19"/>
      <c r="X4" s="63">
        <v>6885</v>
      </c>
    </row>
    <row r="5" spans="1:24" s="14" customFormat="1">
      <c r="A5" s="1"/>
      <c r="B5" s="16">
        <v>2</v>
      </c>
      <c r="C5" s="17" t="s">
        <v>58</v>
      </c>
      <c r="D5" s="16" t="s">
        <v>109</v>
      </c>
      <c r="E5" s="17">
        <v>2025041501</v>
      </c>
      <c r="F5" s="17"/>
      <c r="G5" s="50">
        <v>45762</v>
      </c>
      <c r="H5" s="64">
        <f>G5+15</f>
        <v>45777</v>
      </c>
      <c r="I5" s="17"/>
      <c r="J5" s="16"/>
      <c r="K5" s="18"/>
      <c r="L5" s="18"/>
      <c r="M5" s="18" t="s">
        <v>107</v>
      </c>
      <c r="N5" s="17"/>
      <c r="O5" s="13"/>
      <c r="P5" s="13"/>
      <c r="Q5" s="65"/>
      <c r="R5" s="13">
        <v>188500000</v>
      </c>
      <c r="S5" s="13">
        <v>188500000</v>
      </c>
      <c r="T5" s="13"/>
      <c r="U5" s="13"/>
      <c r="V5" s="13"/>
      <c r="W5" s="19"/>
      <c r="X5" s="48" t="s">
        <v>128</v>
      </c>
    </row>
    <row r="6" spans="1:24" s="14" customFormat="1" ht="33">
      <c r="B6" s="8">
        <v>3</v>
      </c>
      <c r="C6" s="9" t="s">
        <v>58</v>
      </c>
      <c r="D6" s="8" t="s">
        <v>108</v>
      </c>
      <c r="E6" s="9" t="s">
        <v>122</v>
      </c>
      <c r="F6" s="9"/>
      <c r="G6" s="51">
        <v>45741</v>
      </c>
      <c r="H6" s="52">
        <f>G6+15</f>
        <v>45756</v>
      </c>
      <c r="I6" s="9" t="s">
        <v>123</v>
      </c>
      <c r="J6" s="51">
        <v>45742</v>
      </c>
      <c r="K6" s="10"/>
      <c r="L6" s="10"/>
      <c r="M6" s="9" t="s">
        <v>121</v>
      </c>
      <c r="N6" s="9"/>
      <c r="O6" s="11">
        <v>9900000</v>
      </c>
      <c r="P6" s="11">
        <v>9900000</v>
      </c>
      <c r="Q6" s="15">
        <v>0</v>
      </c>
      <c r="R6" s="11">
        <v>9900000</v>
      </c>
      <c r="S6" s="11">
        <v>9900000</v>
      </c>
      <c r="T6" s="13"/>
      <c r="U6" s="13"/>
      <c r="V6" s="13"/>
      <c r="W6" s="19"/>
      <c r="X6" s="48" t="s">
        <v>127</v>
      </c>
    </row>
    <row r="7" spans="1:24" s="14" customFormat="1" ht="33">
      <c r="B7" s="16">
        <v>4</v>
      </c>
      <c r="C7" s="17" t="s">
        <v>58</v>
      </c>
      <c r="D7" s="16" t="s">
        <v>108</v>
      </c>
      <c r="E7" s="17">
        <v>2025040801</v>
      </c>
      <c r="F7" s="17"/>
      <c r="G7" s="50">
        <v>45755</v>
      </c>
      <c r="H7" s="64">
        <f>G7+15</f>
        <v>45770</v>
      </c>
      <c r="I7" s="17"/>
      <c r="J7" s="16"/>
      <c r="K7" s="18"/>
      <c r="L7" s="18"/>
      <c r="M7" s="17" t="s">
        <v>124</v>
      </c>
      <c r="N7" s="17"/>
      <c r="O7" s="13"/>
      <c r="P7" s="13"/>
      <c r="Q7" s="65"/>
      <c r="R7" s="13">
        <v>260938825</v>
      </c>
      <c r="S7" s="13">
        <v>260938825</v>
      </c>
      <c r="T7" s="13"/>
      <c r="U7" s="13"/>
      <c r="V7" s="13"/>
      <c r="W7" s="19"/>
      <c r="X7" s="17" t="s">
        <v>132</v>
      </c>
    </row>
    <row r="8" spans="1:24" s="14" customFormat="1">
      <c r="B8" s="16">
        <v>5</v>
      </c>
      <c r="C8" s="17" t="s">
        <v>58</v>
      </c>
      <c r="D8" s="16" t="s">
        <v>131</v>
      </c>
      <c r="E8" s="17" t="s">
        <v>130</v>
      </c>
      <c r="F8" s="17"/>
      <c r="G8" s="50">
        <v>45772</v>
      </c>
      <c r="H8" s="64">
        <f>G8+15</f>
        <v>45787</v>
      </c>
      <c r="I8" s="17"/>
      <c r="J8" s="16"/>
      <c r="K8" s="18"/>
      <c r="L8" s="18"/>
      <c r="M8" s="17" t="s">
        <v>133</v>
      </c>
      <c r="N8" s="17"/>
      <c r="O8" s="13"/>
      <c r="P8" s="11"/>
      <c r="Q8" s="26"/>
      <c r="R8" s="13">
        <v>10217000</v>
      </c>
      <c r="S8" s="13"/>
      <c r="T8" s="13">
        <v>10217000</v>
      </c>
      <c r="U8" s="13"/>
      <c r="V8" s="13"/>
      <c r="W8" s="19"/>
      <c r="X8" s="17" t="s">
        <v>134</v>
      </c>
    </row>
    <row r="9" spans="1:24" s="14" customFormat="1">
      <c r="B9" s="16"/>
      <c r="C9" s="17"/>
      <c r="D9" s="16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7"/>
      <c r="D10" s="16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7"/>
      <c r="D11" s="16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23"/>
      <c r="N34" s="23"/>
      <c r="O34" s="13">
        <f t="shared" ref="O34:W34" si="0">SUM(O4:O33)</f>
        <v>19883340</v>
      </c>
      <c r="P34" s="13">
        <f t="shared" si="0"/>
        <v>19883340</v>
      </c>
      <c r="Q34" s="13">
        <f t="shared" si="0"/>
        <v>0</v>
      </c>
      <c r="R34" s="13">
        <f t="shared" si="0"/>
        <v>479539165</v>
      </c>
      <c r="S34" s="13">
        <f t="shared" si="0"/>
        <v>469322165</v>
      </c>
      <c r="T34" s="13">
        <f t="shared" si="0"/>
        <v>10217000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DD1CD-7280-4CBB-BB2E-DD6406D78B56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13.25" style="2" customWidth="1"/>
    <col min="4" max="4" width="5.25" style="1" bestFit="1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>
      <c r="B2" s="7"/>
      <c r="D2" s="7"/>
    </row>
    <row r="3" spans="1:24" s="27" customFormat="1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85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1:24" s="1" customFormat="1" ht="33">
      <c r="B4" s="8">
        <v>1</v>
      </c>
      <c r="C4" s="9" t="s">
        <v>64</v>
      </c>
      <c r="D4" s="8" t="s">
        <v>13</v>
      </c>
      <c r="E4" s="9"/>
      <c r="F4" s="9"/>
      <c r="G4" s="51">
        <v>45454</v>
      </c>
      <c r="H4" s="51">
        <v>45747</v>
      </c>
      <c r="I4" s="9" t="s">
        <v>65</v>
      </c>
      <c r="J4" s="51">
        <f>G4</f>
        <v>45454</v>
      </c>
      <c r="K4" s="51">
        <f t="shared" ref="K4:K5" si="0">H4</f>
        <v>45747</v>
      </c>
      <c r="L4" s="10"/>
      <c r="M4" s="10" t="s">
        <v>66</v>
      </c>
      <c r="N4" s="9"/>
      <c r="O4" s="11">
        <v>189000000</v>
      </c>
      <c r="P4" s="11">
        <v>189000000</v>
      </c>
      <c r="Q4" s="15">
        <v>0</v>
      </c>
      <c r="R4" s="11">
        <v>189000000</v>
      </c>
      <c r="S4" s="11">
        <v>189000000</v>
      </c>
      <c r="T4" s="13"/>
      <c r="U4" s="13"/>
      <c r="V4" s="13"/>
      <c r="W4" s="19"/>
      <c r="X4" s="21"/>
    </row>
    <row r="5" spans="1:24" s="14" customFormat="1" ht="33">
      <c r="A5" s="1"/>
      <c r="B5" s="8">
        <v>2</v>
      </c>
      <c r="C5" s="9" t="s">
        <v>63</v>
      </c>
      <c r="D5" s="8" t="s">
        <v>13</v>
      </c>
      <c r="E5" s="9">
        <v>202406241</v>
      </c>
      <c r="F5" s="9"/>
      <c r="G5" s="51">
        <v>45533</v>
      </c>
      <c r="H5" s="51">
        <v>45838</v>
      </c>
      <c r="I5" s="9" t="s">
        <v>105</v>
      </c>
      <c r="J5" s="51">
        <f t="shared" ref="J5" si="1">G5</f>
        <v>45533</v>
      </c>
      <c r="K5" s="51">
        <f t="shared" si="0"/>
        <v>45838</v>
      </c>
      <c r="L5" s="10"/>
      <c r="M5" s="9" t="s">
        <v>67</v>
      </c>
      <c r="N5" s="9"/>
      <c r="O5" s="11">
        <v>98000000</v>
      </c>
      <c r="P5" s="11">
        <v>98000000</v>
      </c>
      <c r="Q5" s="26">
        <v>0</v>
      </c>
      <c r="R5" s="11">
        <v>98000000</v>
      </c>
      <c r="S5" s="11">
        <v>98000000</v>
      </c>
      <c r="T5" s="11"/>
      <c r="U5" s="11"/>
      <c r="V5" s="11"/>
      <c r="W5" s="11"/>
      <c r="X5" s="17"/>
    </row>
    <row r="6" spans="1:24" s="14" customFormat="1" ht="33">
      <c r="B6" s="16">
        <v>3</v>
      </c>
      <c r="C6" s="17" t="s">
        <v>64</v>
      </c>
      <c r="D6" s="16" t="s">
        <v>13</v>
      </c>
      <c r="E6" s="48">
        <v>2025022701</v>
      </c>
      <c r="F6" s="17"/>
      <c r="G6" s="50">
        <v>45715</v>
      </c>
      <c r="H6" s="50">
        <f>G6+15</f>
        <v>45730</v>
      </c>
      <c r="I6" s="17"/>
      <c r="J6" s="50"/>
      <c r="K6" s="50"/>
      <c r="L6" s="18"/>
      <c r="M6" s="17" t="s">
        <v>120</v>
      </c>
      <c r="N6" s="17"/>
      <c r="O6" s="13"/>
      <c r="P6" s="11"/>
      <c r="Q6" s="26"/>
      <c r="R6" s="13">
        <v>70000000</v>
      </c>
      <c r="S6" s="53"/>
      <c r="T6" s="53">
        <v>40000000</v>
      </c>
      <c r="U6" s="13"/>
      <c r="V6" s="13"/>
      <c r="W6" s="19"/>
      <c r="X6" s="48" t="s">
        <v>119</v>
      </c>
    </row>
    <row r="7" spans="1:24" s="14" customFormat="1" ht="33">
      <c r="B7" s="16">
        <v>4</v>
      </c>
      <c r="C7" s="17" t="s">
        <v>64</v>
      </c>
      <c r="D7" s="16" t="s">
        <v>13</v>
      </c>
      <c r="E7" s="48" t="s">
        <v>96</v>
      </c>
      <c r="F7" s="17"/>
      <c r="G7" s="50">
        <v>45698</v>
      </c>
      <c r="H7" s="50">
        <f>G7+15</f>
        <v>45713</v>
      </c>
      <c r="I7" s="17"/>
      <c r="J7" s="50"/>
      <c r="K7" s="50"/>
      <c r="L7" s="18"/>
      <c r="M7" s="17" t="s">
        <v>89</v>
      </c>
      <c r="N7" s="17"/>
      <c r="O7" s="13"/>
      <c r="P7" s="11"/>
      <c r="Q7" s="26"/>
      <c r="R7" s="13">
        <v>210731048</v>
      </c>
      <c r="S7" s="53"/>
      <c r="T7" s="53">
        <v>183623467</v>
      </c>
      <c r="U7" s="13"/>
      <c r="V7" s="13"/>
      <c r="W7" s="19"/>
      <c r="X7" s="48" t="s">
        <v>95</v>
      </c>
    </row>
    <row r="8" spans="1:24" s="14" customFormat="1">
      <c r="B8" s="16"/>
      <c r="C8" s="17"/>
      <c r="D8" s="16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7"/>
      <c r="D9" s="16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7"/>
      <c r="D10" s="16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7"/>
      <c r="D11" s="16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23"/>
      <c r="N34" s="23"/>
      <c r="O34" s="13">
        <f t="shared" ref="O34:W34" si="2">SUM(O4:O33)</f>
        <v>287000000</v>
      </c>
      <c r="P34" s="13">
        <f t="shared" si="2"/>
        <v>287000000</v>
      </c>
      <c r="Q34" s="13">
        <f t="shared" si="2"/>
        <v>0</v>
      </c>
      <c r="R34" s="13">
        <f t="shared" si="2"/>
        <v>567731048</v>
      </c>
      <c r="S34" s="13">
        <f t="shared" si="2"/>
        <v>287000000</v>
      </c>
      <c r="T34" s="13">
        <f t="shared" si="2"/>
        <v>223623467</v>
      </c>
      <c r="U34" s="13">
        <f t="shared" si="2"/>
        <v>0</v>
      </c>
      <c r="V34" s="13">
        <f t="shared" si="2"/>
        <v>0</v>
      </c>
      <c r="W34" s="13">
        <f t="shared" si="2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B84EF-3AE4-4CE1-88BF-552FF5B3067E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13.25" style="2" customWidth="1"/>
    <col min="4" max="4" width="11.25" style="1" bestFit="1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>
      <c r="B2" s="7"/>
      <c r="D2" s="7"/>
    </row>
    <row r="3" spans="1:24" s="27" customFormat="1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85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1:24" s="1" customFormat="1">
      <c r="B4" s="16">
        <v>1</v>
      </c>
      <c r="C4" s="17" t="s">
        <v>74</v>
      </c>
      <c r="D4" s="16" t="s">
        <v>126</v>
      </c>
      <c r="E4" s="17" t="s">
        <v>93</v>
      </c>
      <c r="F4" s="17"/>
      <c r="G4" s="50">
        <v>45693</v>
      </c>
      <c r="H4" s="50">
        <f>G4+15</f>
        <v>45708</v>
      </c>
      <c r="I4" s="17"/>
      <c r="J4" s="16"/>
      <c r="K4" s="18"/>
      <c r="L4" s="18"/>
      <c r="M4" s="17" t="s">
        <v>94</v>
      </c>
      <c r="N4" s="17"/>
      <c r="O4" s="13"/>
      <c r="P4" s="11"/>
      <c r="Q4" s="15"/>
      <c r="R4" s="13">
        <v>82990000</v>
      </c>
      <c r="S4" s="13"/>
      <c r="T4" s="13">
        <v>82990000</v>
      </c>
      <c r="U4" s="13"/>
      <c r="V4" s="13"/>
      <c r="W4" s="19"/>
      <c r="X4" s="21"/>
    </row>
    <row r="5" spans="1:24" s="14" customFormat="1">
      <c r="A5" s="1"/>
      <c r="B5" s="16">
        <v>2</v>
      </c>
      <c r="C5" s="17" t="s">
        <v>74</v>
      </c>
      <c r="D5" s="16" t="s">
        <v>13</v>
      </c>
      <c r="E5" s="17"/>
      <c r="F5" s="17"/>
      <c r="G5" s="16"/>
      <c r="H5" s="18"/>
      <c r="I5" s="17"/>
      <c r="J5" s="16"/>
      <c r="K5" s="18"/>
      <c r="L5" s="18"/>
      <c r="M5" s="48" t="s">
        <v>135</v>
      </c>
      <c r="N5" s="17"/>
      <c r="O5" s="13"/>
      <c r="P5" s="11"/>
      <c r="Q5" s="26"/>
      <c r="R5" s="13"/>
      <c r="S5" s="13"/>
      <c r="T5" s="13"/>
      <c r="U5" s="13"/>
      <c r="V5" s="13"/>
      <c r="W5" s="19"/>
      <c r="X5" s="17"/>
    </row>
    <row r="6" spans="1:24" s="14" customFormat="1">
      <c r="B6" s="16"/>
      <c r="C6" s="17"/>
      <c r="D6" s="16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>
      <c r="B7" s="16"/>
      <c r="C7" s="17"/>
      <c r="D7" s="16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>
      <c r="B8" s="16"/>
      <c r="C8" s="17"/>
      <c r="D8" s="16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7"/>
      <c r="D9" s="16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7"/>
      <c r="D10" s="16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7"/>
      <c r="D11" s="16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82990000</v>
      </c>
      <c r="S34" s="13">
        <f t="shared" si="0"/>
        <v>0</v>
      </c>
      <c r="T34" s="13">
        <f t="shared" si="0"/>
        <v>82990000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716C6-C50C-44BF-A56E-6EFBDD0944A8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13.25" style="2" customWidth="1"/>
    <col min="4" max="4" width="11.25" style="1" bestFit="1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6.25" style="6" bestFit="1" customWidth="1"/>
  </cols>
  <sheetData>
    <row r="2" spans="1:24">
      <c r="B2" s="7"/>
      <c r="D2" s="7"/>
    </row>
    <row r="3" spans="1:24" s="27" customFormat="1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85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1:24" s="1" customFormat="1">
      <c r="B4" s="16">
        <v>1</v>
      </c>
      <c r="C4" s="17" t="s">
        <v>88</v>
      </c>
      <c r="D4" s="16" t="s">
        <v>126</v>
      </c>
      <c r="E4" s="17" t="s">
        <v>97</v>
      </c>
      <c r="F4" s="17"/>
      <c r="G4" s="57">
        <v>45769</v>
      </c>
      <c r="H4" s="57">
        <v>45838</v>
      </c>
      <c r="I4" s="17"/>
      <c r="J4" s="50"/>
      <c r="K4" s="50"/>
      <c r="L4" s="18"/>
      <c r="M4" s="17" t="s">
        <v>94</v>
      </c>
      <c r="N4" s="17"/>
      <c r="O4" s="13"/>
      <c r="P4" s="11"/>
      <c r="Q4" s="15"/>
      <c r="R4" s="13">
        <v>575270000</v>
      </c>
      <c r="S4" s="53">
        <v>560588000</v>
      </c>
      <c r="T4" s="13"/>
      <c r="U4" s="13"/>
      <c r="V4" s="13"/>
      <c r="W4" s="19"/>
      <c r="X4" s="48" t="s">
        <v>129</v>
      </c>
    </row>
    <row r="5" spans="1:24" s="14" customFormat="1">
      <c r="A5" s="1"/>
      <c r="B5" s="16"/>
      <c r="C5" s="17"/>
      <c r="D5" s="16"/>
      <c r="E5" s="17"/>
      <c r="F5" s="17"/>
      <c r="G5" s="16"/>
      <c r="H5" s="18"/>
      <c r="I5" s="17"/>
      <c r="J5" s="16"/>
      <c r="K5" s="18"/>
      <c r="L5" s="18"/>
      <c r="M5" s="17"/>
      <c r="N5" s="17"/>
      <c r="O5" s="13"/>
      <c r="P5" s="11"/>
      <c r="Q5" s="26"/>
      <c r="R5" s="13"/>
      <c r="S5" s="13"/>
      <c r="T5" s="13"/>
      <c r="U5" s="13"/>
      <c r="V5" s="13"/>
      <c r="W5" s="19"/>
      <c r="X5" s="17"/>
    </row>
    <row r="6" spans="1:24" s="14" customFormat="1">
      <c r="B6" s="16"/>
      <c r="C6" s="17"/>
      <c r="D6" s="16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>
      <c r="B7" s="16"/>
      <c r="C7" s="17"/>
      <c r="D7" s="16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>
      <c r="B8" s="16"/>
      <c r="C8" s="17"/>
      <c r="D8" s="16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7"/>
      <c r="D9" s="16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7"/>
      <c r="D10" s="16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7"/>
      <c r="D11" s="16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575270000</v>
      </c>
      <c r="S34" s="13">
        <f t="shared" si="0"/>
        <v>560588000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9448A-21BA-4AEE-B6BF-0586CDC01375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G11" sqref="G11"/>
    </sheetView>
  </sheetViews>
  <sheetFormatPr defaultRowHeight="16.5"/>
  <cols>
    <col min="1" max="1" width="4.25" customWidth="1"/>
    <col min="2" max="2" width="5.75" style="1" customWidth="1"/>
    <col min="3" max="3" width="13.25" style="2" customWidth="1"/>
    <col min="4" max="4" width="5.25" style="1" bestFit="1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>
      <c r="B2" s="7"/>
      <c r="D2" s="7"/>
    </row>
    <row r="3" spans="1:24" s="27" customFormat="1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85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1:24" s="1" customFormat="1">
      <c r="B4" s="16">
        <v>1</v>
      </c>
      <c r="C4" s="17" t="s">
        <v>56</v>
      </c>
      <c r="D4" s="16" t="s">
        <v>13</v>
      </c>
      <c r="E4" s="17"/>
      <c r="F4" s="17"/>
      <c r="G4" s="50"/>
      <c r="H4" s="50"/>
      <c r="I4" s="17"/>
      <c r="J4" s="50"/>
      <c r="K4" s="50"/>
      <c r="L4" s="18"/>
      <c r="M4" s="18"/>
      <c r="N4" s="17"/>
      <c r="O4" s="13"/>
      <c r="P4" s="11"/>
      <c r="Q4" s="15"/>
      <c r="R4" s="13"/>
      <c r="S4" s="13"/>
      <c r="T4" s="13"/>
      <c r="U4" s="13"/>
      <c r="V4" s="13"/>
      <c r="W4" s="19"/>
      <c r="X4" s="21"/>
    </row>
    <row r="5" spans="1:24" s="14" customFormat="1">
      <c r="A5" s="1"/>
      <c r="B5" s="16">
        <v>2</v>
      </c>
      <c r="C5" s="17" t="s">
        <v>102</v>
      </c>
      <c r="D5" s="16" t="s">
        <v>13</v>
      </c>
      <c r="E5" s="17"/>
      <c r="F5" s="17"/>
      <c r="G5" s="50"/>
      <c r="H5" s="50"/>
      <c r="I5" s="17"/>
      <c r="J5" s="50"/>
      <c r="K5" s="50"/>
      <c r="L5" s="18"/>
      <c r="M5" s="17" t="s">
        <v>103</v>
      </c>
      <c r="N5" s="17"/>
      <c r="O5" s="13"/>
      <c r="P5" s="11"/>
      <c r="Q5" s="15"/>
      <c r="R5" s="13">
        <v>8000000</v>
      </c>
      <c r="S5" s="13"/>
      <c r="T5" s="13">
        <v>8000000</v>
      </c>
      <c r="U5" s="13"/>
      <c r="V5" s="13"/>
      <c r="W5" s="19"/>
      <c r="X5" s="55" t="s">
        <v>104</v>
      </c>
    </row>
    <row r="6" spans="1:24" s="14" customFormat="1">
      <c r="A6" s="1"/>
      <c r="B6" s="8">
        <v>3</v>
      </c>
      <c r="C6" s="9" t="s">
        <v>60</v>
      </c>
      <c r="D6" s="8" t="s">
        <v>13</v>
      </c>
      <c r="E6" s="9"/>
      <c r="F6" s="9"/>
      <c r="G6" s="50"/>
      <c r="H6" s="50"/>
      <c r="I6" s="17"/>
      <c r="J6" s="50"/>
      <c r="K6" s="50"/>
      <c r="L6" s="10"/>
      <c r="M6" s="10"/>
      <c r="N6" s="9"/>
      <c r="O6" s="11"/>
      <c r="P6" s="11"/>
      <c r="Q6" s="11"/>
      <c r="R6" s="11"/>
      <c r="S6" s="11"/>
      <c r="T6" s="11"/>
      <c r="U6" s="11"/>
      <c r="V6" s="11"/>
      <c r="W6" s="11"/>
      <c r="X6" s="21"/>
    </row>
    <row r="7" spans="1:24" s="14" customFormat="1">
      <c r="B7" s="8">
        <v>4</v>
      </c>
      <c r="C7" s="9" t="s">
        <v>62</v>
      </c>
      <c r="D7" s="8" t="s">
        <v>13</v>
      </c>
      <c r="E7" s="9"/>
      <c r="F7" s="9"/>
      <c r="G7" s="50"/>
      <c r="H7" s="50"/>
      <c r="I7" s="17"/>
      <c r="J7" s="50"/>
      <c r="K7" s="50"/>
      <c r="L7" s="10"/>
      <c r="M7" s="10"/>
      <c r="N7" s="9"/>
      <c r="O7" s="11"/>
      <c r="P7" s="11"/>
      <c r="Q7" s="11"/>
      <c r="R7" s="11"/>
      <c r="S7" s="11"/>
      <c r="T7" s="11"/>
      <c r="U7" s="11"/>
      <c r="V7" s="11"/>
      <c r="W7" s="11"/>
      <c r="X7" s="21"/>
    </row>
    <row r="8" spans="1:24" s="14" customFormat="1">
      <c r="B8" s="16">
        <v>5</v>
      </c>
      <c r="C8" s="17" t="s">
        <v>69</v>
      </c>
      <c r="D8" s="16" t="s">
        <v>13</v>
      </c>
      <c r="E8" s="17"/>
      <c r="F8" s="17"/>
      <c r="G8" s="50"/>
      <c r="H8" s="50"/>
      <c r="I8" s="17"/>
      <c r="J8" s="50"/>
      <c r="K8" s="50"/>
      <c r="L8" s="18"/>
      <c r="M8" s="18"/>
      <c r="N8" s="17"/>
      <c r="O8" s="13"/>
      <c r="P8" s="11"/>
      <c r="Q8" s="15"/>
      <c r="R8" s="13"/>
      <c r="S8" s="13"/>
      <c r="T8" s="13"/>
      <c r="U8" s="13"/>
      <c r="V8" s="13"/>
      <c r="W8" s="19"/>
      <c r="X8" s="21"/>
    </row>
    <row r="9" spans="1:24" s="14" customFormat="1">
      <c r="B9" s="16">
        <v>6</v>
      </c>
      <c r="C9" s="17" t="s">
        <v>71</v>
      </c>
      <c r="D9" s="16" t="s">
        <v>13</v>
      </c>
      <c r="E9" s="17"/>
      <c r="F9" s="17"/>
      <c r="G9" s="50"/>
      <c r="H9" s="50"/>
      <c r="I9" s="17"/>
      <c r="J9" s="50"/>
      <c r="K9" s="50"/>
      <c r="L9" s="18"/>
      <c r="M9" s="17"/>
      <c r="N9" s="17"/>
      <c r="O9" s="13"/>
      <c r="P9" s="11"/>
      <c r="Q9" s="15"/>
      <c r="R9" s="13"/>
      <c r="S9" s="13"/>
      <c r="T9" s="13"/>
      <c r="U9" s="13"/>
      <c r="V9" s="13"/>
      <c r="W9" s="19"/>
      <c r="X9" s="21"/>
    </row>
    <row r="10" spans="1:24" s="14" customFormat="1">
      <c r="B10" s="16">
        <v>7</v>
      </c>
      <c r="C10" s="17" t="s">
        <v>73</v>
      </c>
      <c r="D10" s="16" t="s">
        <v>13</v>
      </c>
      <c r="E10" s="17"/>
      <c r="F10" s="17"/>
      <c r="G10" s="50"/>
      <c r="H10" s="50"/>
      <c r="I10" s="17"/>
      <c r="J10" s="50"/>
      <c r="K10" s="50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21"/>
    </row>
    <row r="11" spans="1:24" s="14" customFormat="1" ht="33">
      <c r="B11" s="16">
        <v>8</v>
      </c>
      <c r="C11" s="17" t="s">
        <v>136</v>
      </c>
      <c r="D11" s="16" t="s">
        <v>13</v>
      </c>
      <c r="E11" s="17"/>
      <c r="F11" s="17"/>
      <c r="G11" s="78">
        <v>45786</v>
      </c>
      <c r="H11" s="18"/>
      <c r="I11" s="17"/>
      <c r="J11" s="16"/>
      <c r="K11" s="18"/>
      <c r="L11" s="18"/>
      <c r="M11" s="67" t="s">
        <v>137</v>
      </c>
      <c r="N11" s="17"/>
      <c r="O11" s="13"/>
      <c r="P11" s="11"/>
      <c r="Q11" s="15"/>
      <c r="R11" s="15">
        <v>120000000</v>
      </c>
      <c r="S11" s="15">
        <v>120000000</v>
      </c>
      <c r="T11" s="13"/>
      <c r="U11" s="13"/>
      <c r="V11" s="13"/>
      <c r="W11" s="19"/>
      <c r="X11" s="66" t="s">
        <v>138</v>
      </c>
    </row>
    <row r="12" spans="1:24" s="14" customFormat="1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128000000</v>
      </c>
      <c r="S34" s="13">
        <f t="shared" si="0"/>
        <v>120000000</v>
      </c>
      <c r="T34" s="13">
        <f t="shared" si="0"/>
        <v>8000000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Total</vt:lpstr>
      <vt:lpstr>1.지아이씨</vt:lpstr>
      <vt:lpstr>2.서울교통공사</vt:lpstr>
      <vt:lpstr>3.현대로템</vt:lpstr>
      <vt:lpstr>4.다원시스</vt:lpstr>
      <vt:lpstr>5.인터모빌리티</vt:lpstr>
      <vt:lpstr>6.GMTECH</vt:lpstr>
      <vt:lpstr>7.기타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성필 최</dc:creator>
  <cp:lastModifiedBy>Sungjoon Hong</cp:lastModifiedBy>
  <dcterms:created xsi:type="dcterms:W3CDTF">2024-12-31T06:54:11Z</dcterms:created>
  <dcterms:modified xsi:type="dcterms:W3CDTF">2025-05-13T04:49:52Z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2025-03-20T14:49:32Z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98bae924-176f-4c52-89be-e88e93199b83</vt:lpwstr>
  </property>
  <property fmtid="{D5CDD505-2E9C-101B-9397-08002B2CF9AE}" pid="7" name="MSIP_Label_defa4170-0d19-0005-0004-bc88714345d2_ActionId">
    <vt:lpwstr>61c35015-9fa4-4651-922d-4136e5bbd99f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
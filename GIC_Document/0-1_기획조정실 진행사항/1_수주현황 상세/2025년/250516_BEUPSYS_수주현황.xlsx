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F5974D4D-4529-4323-9F8E-23AAFE1121B2}" xr6:coauthVersionLast="47" xr6:coauthVersionMax="47" xr10:uidLastSave="{00000000-0000-0000-0000-000000000000}"/>
  <bookViews>
    <workbookView xWindow="28680" yWindow="-120" windowWidth="29040" windowHeight="176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다원시스" sheetId="8" r:id="rId5"/>
    <sheet name="5.인터모빌리티" sheetId="12" r:id="rId6"/>
    <sheet name="6.GMTECH" sheetId="13" r:id="rId7"/>
    <sheet name="7.기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2" l="1"/>
  <c r="J17" i="1"/>
  <c r="I17" i="1"/>
  <c r="H17" i="1"/>
  <c r="K17" i="1" s="1"/>
  <c r="E17" i="1"/>
  <c r="G17" i="1"/>
  <c r="F17" i="1"/>
  <c r="H7" i="5" l="1"/>
  <c r="H8" i="5"/>
  <c r="W4" i="2"/>
  <c r="H6" i="5" l="1"/>
  <c r="J16" i="1" l="1"/>
  <c r="I16" i="1"/>
  <c r="H16" i="1"/>
  <c r="G16" i="1"/>
  <c r="F16" i="1"/>
  <c r="E16" i="1" s="1"/>
  <c r="J15" i="1"/>
  <c r="I15" i="1"/>
  <c r="H15" i="1"/>
  <c r="G15" i="1"/>
  <c r="F15" i="1"/>
  <c r="E15" i="1" s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E11" i="1" s="1"/>
  <c r="J10" i="1"/>
  <c r="I10" i="1"/>
  <c r="H10" i="1"/>
  <c r="G10" i="1"/>
  <c r="F10" i="1"/>
  <c r="H5" i="5"/>
  <c r="E14" i="1" l="1"/>
  <c r="E13" i="1"/>
  <c r="E12" i="1"/>
  <c r="K6" i="4"/>
  <c r="J6" i="4"/>
  <c r="H6" i="4"/>
  <c r="K11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8" i="1" s="1"/>
  <c r="S34" i="12"/>
  <c r="F8" i="1" s="1"/>
  <c r="R34" i="12"/>
  <c r="Q34" i="12"/>
  <c r="J8" i="1" s="1"/>
  <c r="P34" i="12"/>
  <c r="I8" i="1" s="1"/>
  <c r="O34" i="12"/>
  <c r="H8" i="1" s="1"/>
  <c r="E8" i="1" l="1"/>
  <c r="K8" i="1" s="1"/>
  <c r="K15" i="1"/>
  <c r="K16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7" i="1"/>
  <c r="K7" i="1" s="1"/>
  <c r="E10" i="1"/>
  <c r="K10" i="1" s="1"/>
  <c r="E6" i="1"/>
  <c r="K6" i="1" s="1"/>
  <c r="G19" i="1"/>
  <c r="J19" i="1"/>
  <c r="H19" i="1"/>
  <c r="I19" i="1"/>
  <c r="K12" i="1"/>
  <c r="F19" i="1"/>
  <c r="K13" i="1"/>
  <c r="K14" i="1"/>
  <c r="R34" i="2"/>
  <c r="E19" i="1" l="1"/>
  <c r="K19" i="1" s="1"/>
  <c r="K4" i="1"/>
</calcChain>
</file>

<file path=xl/sharedStrings.xml><?xml version="1.0" encoding="utf-8"?>
<sst xmlns="http://schemas.openxmlformats.org/spreadsheetml/2006/main" count="324" uniqueCount="142">
  <si>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</si>
  <si>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</si>
  <si>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</si>
  <si>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</si>
  <si>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</si>
  <si>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</si>
  <si>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</si>
  <si>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</si>
  <si>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</si>
  <si>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</si>
  <si>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</si>
  <si>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</si>
  <si>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</si>
  <si>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</si>
  <si>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</si>
  <si>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</si>
  <si>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</si>
  <si>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</si>
  <si>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</si>
  <si>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</si>
  <si>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</si>
  <si>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</si>
  <si>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</si>
  <si>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</si>
  <si>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</si>
  <si>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</si>
  <si>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</si>
  <si>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</si>
  <si>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</si>
  <si>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</si>
  <si>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</si>
  <si>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</si>
  <si>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</si>
  <si>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</si>
  <si>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</si>
  <si>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</si>
  <si>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</si>
  <si>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</si>
  <si>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</si>
  <si>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</si>
  <si>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</si>
  <si>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</si>
  <si>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</si>
  <si>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</si>
  <si>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</si>
  <si>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</si>
  <si>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</si>
  <si>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</si>
  <si>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</si>
  <si>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</si>
  <si>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</si>
  <si>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</si>
  <si>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</si>
  <si>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</si>
  <si>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</si>
  <si>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</si>
  <si>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</si>
  <si>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</si>
  <si>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</si>
  <si>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</si>
  <si>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</si>
  <si>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</si>
  <si>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</si>
  <si>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</si>
  <si>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</si>
  <si>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</si>
  <si>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</si>
  <si>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</si>
  <si>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</si>
  <si>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</si>
  <si>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</si>
  <si>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</si>
  <si>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</si>
  <si>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</si>
  <si>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</si>
  <si>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</si>
  <si>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</si>
  <si>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</si>
  <si>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</si>
  <si>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</si>
  <si>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</si>
  <si>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</si>
  <si>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</si>
  <si>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</si>
  <si>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</si>
  <si>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</si>
  <si>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</si>
  <si>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</si>
  <si>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</si>
  <si>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</si>
  <si>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</si>
  <si>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</si>
  <si>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</si>
  <si>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</si>
  <si>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</si>
  <si>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</si>
  <si>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</si>
  <si>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</si>
  <si>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</si>
  <si>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</si>
  <si>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</si>
  <si>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</si>
  <si>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</si>
  <si>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</si>
  <si>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</si>
  <si>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</si>
  <si>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</si>
  <si>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</si>
  <si>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</si>
  <si>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</si>
  <si>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</si>
  <si>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</si>
  <si>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</si>
  <si>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</si>
  <si>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</si>
  <si>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</si>
  <si>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</si>
  <si>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</si>
  <si>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</si>
  <si>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</si>
  <si>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</si>
  <si>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</si>
  <si>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</si>
  <si>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</si>
  <si>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</si>
  <si>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</si>
  <si>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</si>
  <si>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</si>
  <si>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</si>
  <si>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</si>
  <si>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</si>
  <si>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</si>
  <si>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250425 견적서 제출 완료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</si>
  <si>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</si>
  <si>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</si>
  <si>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</si>
  <si>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K-water (한국수자원공사) 개방형 혁신 R&amp;D 연구과제 참여</t>
  </si>
  <si>
    <t>7-8</t>
    <phoneticPr fontId="3" type="noConversion"/>
  </si>
  <si>
    <t>250513 수정 견적서 제출 완료 /
MTR에서 로템과 PAPIS 포함 사업전체 계약 요망</t>
  </si>
  <si>
    <t>250513 KTU 신역사 방송소프트웨어 업데이트  수정 견적 제출</t>
    <phoneticPr fontId="3" type="noConversion"/>
  </si>
  <si>
    <t>250516 MAIN CTL. BD 개발 견적 완료</t>
    <phoneticPr fontId="3" type="noConversion"/>
  </si>
  <si>
    <t>김포골드라인SRS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</si>
</sst>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19"/>
  <sheetViews>
    <sheetView tabSelected="1" workbookViewId="0">
      <selection activeCell="E10" sqref="E10"/>
    </sheetView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55.25" bestFit="1" customWidth="1"/>
  </cols>
  <sheetData>
    <row r="2" spans="2:14">
      <c r="C2" s="1"/>
      <c r="D2" s="1"/>
      <c r="E2" s="72" t="s">
        <v>76</v>
      </c>
      <c r="F2" s="77"/>
      <c r="G2" s="78"/>
      <c r="H2" s="77" t="s">
        <v>80</v>
      </c>
      <c r="I2" s="77"/>
      <c r="J2" s="77"/>
      <c r="K2" s="77"/>
      <c r="L2" s="77"/>
      <c r="M2" s="73"/>
    </row>
    <row r="3" spans="2:14">
      <c r="B3" s="62" t="s">
        <v>74</v>
      </c>
      <c r="C3" s="79" t="s">
        <v>75</v>
      </c>
      <c r="D3" s="73"/>
      <c r="E3" s="37" t="s">
        <v>79</v>
      </c>
      <c r="F3" s="37" t="s">
        <v>77</v>
      </c>
      <c r="G3" s="40" t="s">
        <v>78</v>
      </c>
      <c r="H3" s="39" t="s">
        <v>79</v>
      </c>
      <c r="I3" s="37" t="s">
        <v>85</v>
      </c>
      <c r="J3" s="37" t="s">
        <v>86</v>
      </c>
      <c r="K3" s="37" t="s">
        <v>82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2" t="s">
        <v>81</v>
      </c>
      <c r="D4" s="73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62">
        <v>2</v>
      </c>
      <c r="C5" s="72" t="s">
        <v>97</v>
      </c>
      <c r="D5" s="73"/>
      <c r="E5" s="49">
        <f t="shared" ref="E5:E19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19" si="1">H5/E5</f>
        <v>6.4412238325281803E-3</v>
      </c>
      <c r="L5" s="43"/>
      <c r="M5" s="43"/>
      <c r="N5" s="56"/>
    </row>
    <row r="6" spans="2:14">
      <c r="B6" s="62">
        <v>3</v>
      </c>
      <c r="C6" s="72" t="s">
        <v>56</v>
      </c>
      <c r="D6" s="73"/>
      <c r="E6" s="49">
        <f t="shared" si="0"/>
        <v>528906340</v>
      </c>
      <c r="F6" s="38">
        <f>'3.현대로템'!S34</f>
        <v>518689340</v>
      </c>
      <c r="G6" s="41">
        <f>'3.현대로템'!T34</f>
        <v>10217000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3.7593309998893189E-2</v>
      </c>
      <c r="L6" s="43"/>
      <c r="M6" s="43"/>
      <c r="N6" s="70" t="s">
        <v>139</v>
      </c>
    </row>
    <row r="7" spans="2:14">
      <c r="B7" s="62">
        <v>4</v>
      </c>
      <c r="C7" s="72" t="s">
        <v>62</v>
      </c>
      <c r="D7" s="73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62">
        <v>5</v>
      </c>
      <c r="C8" s="72" t="s">
        <v>73</v>
      </c>
      <c r="D8" s="73"/>
      <c r="E8" s="49">
        <f>SUM(F8:G8)</f>
        <v>119575000</v>
      </c>
      <c r="F8" s="38">
        <f>'5.인터모빌리티'!S34</f>
        <v>36585000</v>
      </c>
      <c r="G8" s="41">
        <f>'5.인터모빌리티'!T34</f>
        <v>82990000</v>
      </c>
      <c r="H8" s="45">
        <f>'5.인터모빌리티'!O34</f>
        <v>0</v>
      </c>
      <c r="I8" s="46">
        <f>'5.인터모빌리티'!P34</f>
        <v>0</v>
      </c>
      <c r="J8" s="47">
        <f>'5.인터모빌리티'!Q34</f>
        <v>0</v>
      </c>
      <c r="K8" s="42">
        <f>H8/E8</f>
        <v>0</v>
      </c>
      <c r="L8" s="43"/>
      <c r="M8" s="43"/>
      <c r="N8" s="71" t="s">
        <v>140</v>
      </c>
    </row>
    <row r="9" spans="2:14">
      <c r="B9" s="62">
        <v>6</v>
      </c>
      <c r="C9" s="72" t="s">
        <v>87</v>
      </c>
      <c r="D9" s="73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62" t="s">
        <v>110</v>
      </c>
      <c r="C10" s="74" t="s">
        <v>117</v>
      </c>
      <c r="D10" s="44" t="s">
        <v>141</v>
      </c>
      <c r="E10" s="49">
        <f>SUM(F10:G10)</f>
        <v>0</v>
      </c>
      <c r="F10" s="38">
        <f>SUMIF('7.기타'!$C$4:$C$33, Total!D10, '7.기타'!$S$4:$S$33)</f>
        <v>0</v>
      </c>
      <c r="G10" s="41">
        <f>SUMIF('7.기타'!$C$4:$C$33, Total!D10, '7.기타'!$T$4:$T$33)</f>
        <v>0</v>
      </c>
      <c r="H10" s="45">
        <f>SUMIF('7.기타'!$C$4:$C$33, Total!D10, '7.기타'!$O$4:$O$33)</f>
        <v>0</v>
      </c>
      <c r="I10" s="46">
        <f>SUMIF('7.기타'!$C$4:$C$33, Total!D10, '7.기타'!$P$4:$P$33)</f>
        <v>0</v>
      </c>
      <c r="J10" s="47">
        <f>SUMIF('7.기타'!$C$4:$C$33, Total!D10, '7.기타'!$Q$4:$Q$33)</f>
        <v>0</v>
      </c>
      <c r="K10" s="42" t="e">
        <f>H10/E10</f>
        <v>#DIV/0!</v>
      </c>
      <c r="L10" s="43"/>
      <c r="M10" s="43"/>
      <c r="N10" s="43"/>
    </row>
    <row r="11" spans="2:14">
      <c r="B11" s="62" t="s">
        <v>111</v>
      </c>
      <c r="C11" s="75"/>
      <c r="D11" s="44" t="s">
        <v>101</v>
      </c>
      <c r="E11" s="49">
        <f t="shared" ref="E11:E17" si="2">SUM(F11:G11)</f>
        <v>8000000</v>
      </c>
      <c r="F11" s="38">
        <f>SUMIF('7.기타'!$C$4:$C$33, Total!D11, '7.기타'!$S$4:$S$33)</f>
        <v>0</v>
      </c>
      <c r="G11" s="41">
        <f>SUMIF('7.기타'!$C$4:$C$33, Total!D11, '7.기타'!$T$4:$T$33)</f>
        <v>8000000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>
        <f t="shared" ref="K11" si="3">H11/E11</f>
        <v>0</v>
      </c>
      <c r="L11" s="43"/>
      <c r="M11" s="43"/>
      <c r="N11" s="43"/>
    </row>
    <row r="12" spans="2:14">
      <c r="B12" s="62" t="s">
        <v>112</v>
      </c>
      <c r="C12" s="75"/>
      <c r="D12" s="44" t="s">
        <v>58</v>
      </c>
      <c r="E12" s="49">
        <f t="shared" si="2"/>
        <v>0</v>
      </c>
      <c r="F12" s="38">
        <f>SUMIF('7.기타'!$C$4:$C$33, Total!D12, '7.기타'!$S$4:$S$33)</f>
        <v>0</v>
      </c>
      <c r="G12" s="41">
        <f>SUMIF('7.기타'!$C$4:$C$33, Total!D12, '7.기타'!$T$4:$T$33)</f>
        <v>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 t="e">
        <f t="shared" si="1"/>
        <v>#DIV/0!</v>
      </c>
      <c r="L12" s="43"/>
      <c r="M12" s="43"/>
      <c r="N12" s="43"/>
    </row>
    <row r="13" spans="2:14">
      <c r="B13" s="62" t="s">
        <v>113</v>
      </c>
      <c r="C13" s="75"/>
      <c r="D13" s="44" t="s">
        <v>60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114</v>
      </c>
      <c r="C14" s="75"/>
      <c r="D14" s="44" t="s">
        <v>67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115</v>
      </c>
      <c r="C15" s="75"/>
      <c r="D15" s="44" t="s">
        <v>69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116</v>
      </c>
      <c r="C16" s="75"/>
      <c r="D16" s="44" t="s">
        <v>71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137</v>
      </c>
      <c r="C17" s="76"/>
      <c r="D17" s="44" t="s">
        <v>134</v>
      </c>
      <c r="E17" s="49">
        <f t="shared" si="2"/>
        <v>120000000</v>
      </c>
      <c r="F17" s="38">
        <f>SUMIF('7.기타'!$C$4:$C$33, Total!D17, '7.기타'!$S$4:$S$33)</f>
        <v>120000000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>
        <f t="shared" ref="K17" si="4">H17/E17</f>
        <v>0</v>
      </c>
      <c r="L17" s="43"/>
      <c r="M17" s="43"/>
      <c r="N17" s="68"/>
    </row>
    <row r="18" spans="2:14">
      <c r="B18" s="62"/>
      <c r="C18" s="44"/>
      <c r="D18" s="44"/>
      <c r="E18" s="49"/>
      <c r="F18" s="38"/>
      <c r="G18" s="41"/>
      <c r="H18" s="45"/>
      <c r="I18" s="45"/>
      <c r="J18" s="47"/>
      <c r="K18" s="42"/>
      <c r="L18" s="43"/>
      <c r="M18" s="43"/>
      <c r="N18" s="54"/>
    </row>
    <row r="19" spans="2:14">
      <c r="B19" s="62"/>
      <c r="C19" s="44" t="s">
        <v>83</v>
      </c>
      <c r="D19" s="44"/>
      <c r="E19" s="49">
        <f t="shared" si="0"/>
        <v>2429228482.6999998</v>
      </c>
      <c r="F19" s="38">
        <f>SUM(F4:F18)</f>
        <v>1918098015.6999998</v>
      </c>
      <c r="G19" s="41">
        <f>SUM(G4:G18)</f>
        <v>511130467</v>
      </c>
      <c r="H19" s="45">
        <f>SUM(H4:H18)</f>
        <v>703319015.70000005</v>
      </c>
      <c r="I19" s="46">
        <f>SUM(I4:I18)</f>
        <v>703319015.70000005</v>
      </c>
      <c r="J19" s="47">
        <f>SUM(J4:J18)</f>
        <v>0</v>
      </c>
      <c r="K19" s="42">
        <f t="shared" si="1"/>
        <v>0.28952361653453296</v>
      </c>
      <c r="L19" s="43"/>
      <c r="M19" s="43"/>
      <c r="N19" s="43"/>
    </row>
  </sheetData>
  <mergeCells count="10">
    <mergeCell ref="E2:G2"/>
    <mergeCell ref="H2:M2"/>
    <mergeCell ref="C3:D3"/>
    <mergeCell ref="C4:D4"/>
    <mergeCell ref="C5:D5"/>
    <mergeCell ref="C6:D6"/>
    <mergeCell ref="C7:D7"/>
    <mergeCell ref="C8:D8"/>
    <mergeCell ref="C9:D9"/>
    <mergeCell ref="C10:C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107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107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107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97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89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97</v>
      </c>
      <c r="D5" s="8"/>
      <c r="E5" s="17" t="s">
        <v>98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99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90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91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105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57</v>
      </c>
      <c r="D4" s="8" t="s">
        <v>107</v>
      </c>
      <c r="E4" s="9" t="s">
        <v>124</v>
      </c>
      <c r="F4" s="9"/>
      <c r="G4" s="51">
        <v>45693</v>
      </c>
      <c r="H4" s="52">
        <f>G4+15</f>
        <v>45708</v>
      </c>
      <c r="I4" s="9" t="s">
        <v>100</v>
      </c>
      <c r="J4" s="51">
        <v>45714</v>
      </c>
      <c r="K4" s="51">
        <v>45741</v>
      </c>
      <c r="L4" s="10"/>
      <c r="M4" s="10" t="s">
        <v>109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57</v>
      </c>
      <c r="D5" s="16" t="s">
        <v>108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106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127</v>
      </c>
    </row>
    <row r="6" spans="1:24" s="14" customFormat="1" ht="33">
      <c r="B6" s="8">
        <v>3</v>
      </c>
      <c r="C6" s="9" t="s">
        <v>57</v>
      </c>
      <c r="D6" s="8" t="s">
        <v>107</v>
      </c>
      <c r="E6" s="9" t="s">
        <v>121</v>
      </c>
      <c r="F6" s="9"/>
      <c r="G6" s="51">
        <v>45741</v>
      </c>
      <c r="H6" s="52">
        <f>G6+15</f>
        <v>45756</v>
      </c>
      <c r="I6" s="9" t="s">
        <v>122</v>
      </c>
      <c r="J6" s="51">
        <v>45742</v>
      </c>
      <c r="K6" s="10"/>
      <c r="L6" s="10"/>
      <c r="M6" s="9" t="s">
        <v>120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126</v>
      </c>
    </row>
    <row r="7" spans="1:24" s="14" customFormat="1" ht="33">
      <c r="B7" s="16">
        <v>4</v>
      </c>
      <c r="C7" s="17" t="s">
        <v>57</v>
      </c>
      <c r="D7" s="16" t="s">
        <v>107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123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138</v>
      </c>
    </row>
    <row r="8" spans="1:24" s="14" customFormat="1">
      <c r="B8" s="16">
        <v>5</v>
      </c>
      <c r="C8" s="17" t="s">
        <v>57</v>
      </c>
      <c r="D8" s="16" t="s">
        <v>130</v>
      </c>
      <c r="E8" s="17" t="s">
        <v>129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131</v>
      </c>
      <c r="N8" s="17"/>
      <c r="O8" s="13"/>
      <c r="P8" s="11"/>
      <c r="Q8" s="26"/>
      <c r="R8" s="13">
        <v>10217000</v>
      </c>
      <c r="S8" s="13"/>
      <c r="T8" s="13">
        <v>10217000</v>
      </c>
      <c r="U8" s="13"/>
      <c r="V8" s="13"/>
      <c r="W8" s="19"/>
      <c r="X8" s="17" t="s">
        <v>132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528906340</v>
      </c>
      <c r="S34" s="13">
        <f t="shared" si="0"/>
        <v>518689340</v>
      </c>
      <c r="T34" s="13">
        <f t="shared" si="0"/>
        <v>10217000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63</v>
      </c>
      <c r="D4" s="8" t="s">
        <v>13</v>
      </c>
      <c r="E4" s="9"/>
      <c r="F4" s="9"/>
      <c r="G4" s="51">
        <v>45454</v>
      </c>
      <c r="H4" s="51">
        <v>45747</v>
      </c>
      <c r="I4" s="9" t="s">
        <v>64</v>
      </c>
      <c r="J4" s="51">
        <f>G4</f>
        <v>45454</v>
      </c>
      <c r="K4" s="51">
        <f t="shared" ref="K4:K5" si="0">H4</f>
        <v>45747</v>
      </c>
      <c r="L4" s="10"/>
      <c r="M4" s="10" t="s">
        <v>65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62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104</v>
      </c>
      <c r="J5" s="51">
        <f t="shared" ref="J5" si="1">G5</f>
        <v>45533</v>
      </c>
      <c r="K5" s="51">
        <f t="shared" si="0"/>
        <v>45838</v>
      </c>
      <c r="L5" s="10"/>
      <c r="M5" s="9" t="s">
        <v>66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63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119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118</v>
      </c>
    </row>
    <row r="7" spans="1:24" s="14" customFormat="1" ht="33">
      <c r="B7" s="16">
        <v>4</v>
      </c>
      <c r="C7" s="17" t="s">
        <v>63</v>
      </c>
      <c r="D7" s="16" t="s">
        <v>13</v>
      </c>
      <c r="E7" s="48" t="s">
        <v>95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88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94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73</v>
      </c>
      <c r="D4" s="16" t="s">
        <v>125</v>
      </c>
      <c r="E4" s="17" t="s">
        <v>92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93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73</v>
      </c>
      <c r="D5" s="16" t="s">
        <v>13</v>
      </c>
      <c r="E5" s="17"/>
      <c r="F5" s="17"/>
      <c r="G5" s="50">
        <v>45793</v>
      </c>
      <c r="H5" s="50">
        <f>G5+15</f>
        <v>45808</v>
      </c>
      <c r="I5" s="17"/>
      <c r="J5" s="16"/>
      <c r="K5" s="18"/>
      <c r="L5" s="18"/>
      <c r="M5" s="17" t="s">
        <v>133</v>
      </c>
      <c r="N5" s="17"/>
      <c r="O5" s="13"/>
      <c r="P5" s="11"/>
      <c r="Q5" s="26"/>
      <c r="R5" s="53">
        <v>36585000</v>
      </c>
      <c r="S5" s="53">
        <v>36585000</v>
      </c>
      <c r="T5" s="5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87</v>
      </c>
      <c r="D4" s="16" t="s">
        <v>125</v>
      </c>
      <c r="E4" s="17" t="s">
        <v>96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93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128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55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101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102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103</v>
      </c>
    </row>
    <row r="6" spans="1:24" s="14" customFormat="1">
      <c r="A6" s="1"/>
      <c r="B6" s="8">
        <v>3</v>
      </c>
      <c r="C6" s="9" t="s">
        <v>59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61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68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70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72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ht="33">
      <c r="B11" s="16">
        <v>8</v>
      </c>
      <c r="C11" s="17" t="s">
        <v>134</v>
      </c>
      <c r="D11" s="16" t="s">
        <v>13</v>
      </c>
      <c r="E11" s="17"/>
      <c r="F11" s="17"/>
      <c r="G11" s="69">
        <v>45786</v>
      </c>
      <c r="H11" s="18"/>
      <c r="I11" s="17"/>
      <c r="J11" s="16"/>
      <c r="K11" s="18"/>
      <c r="L11" s="18"/>
      <c r="M11" s="67" t="s">
        <v>135</v>
      </c>
      <c r="N11" s="17"/>
      <c r="O11" s="13"/>
      <c r="P11" s="11"/>
      <c r="Q11" s="15"/>
      <c r="R11" s="15">
        <v>120000000</v>
      </c>
      <c r="S11" s="15">
        <v>120000000</v>
      </c>
      <c r="T11" s="13"/>
      <c r="U11" s="13"/>
      <c r="V11" s="13"/>
      <c r="W11" s="19"/>
      <c r="X11" s="66" t="s">
        <v>136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120000000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2025-05-22T05:49:37Z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
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2_수주현황\2025년\"/>
    </mc:Choice>
  </mc:AlternateContent>
  <xr:revisionPtr revIDLastSave="0" documentId="13_ncr:1_{302865A8-9F9C-432D-9868-A2E48193819A}" xr6:coauthVersionLast="47" xr6:coauthVersionMax="47" xr10:uidLastSave="{00000000-0000-0000-0000-000000000000}"/>
  <bookViews>
    <workbookView xWindow="-120" yWindow="-120" windowWidth="29040" windowHeight="17640" xr2:uid="{94AEEC11-5145-4BB5-83E0-0258373AD203}"/>
  </bookViews>
  <sheets>
    <sheet name="Total" sheetId="1" r:id="rId1"/>
    <sheet name="1.지아이씨" sheetId="2" r:id="rId2"/>
    <sheet name="2.김포골드라인" sheetId="3" r:id="rId3"/>
    <sheet name="3.서울교통공사" sheetId="4" r:id="rId4"/>
    <sheet name="4.현대로템" sheetId="5" r:id="rId5"/>
    <sheet name="5.실리콘큐브" sheetId="6" r:id="rId6"/>
    <sheet name="6.무한테크" sheetId="7" r:id="rId7"/>
    <sheet name="7.다원시스" sheetId="8" r:id="rId8"/>
    <sheet name="8.티랩" sheetId="9" r:id="rId9"/>
    <sheet name="9.마루소프트" sheetId="10" r:id="rId10"/>
    <sheet name="10.신진금고" sheetId="11" r:id="rId11"/>
    <sheet name="11.인터모빌리티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9" i="2" l="1"/>
  <c r="P49" i="2"/>
  <c r="Q49" i="2"/>
  <c r="I7" i="1" l="1"/>
  <c r="H7" i="1"/>
  <c r="I4" i="1"/>
  <c r="H4" i="1"/>
  <c r="G13" i="1"/>
  <c r="J13" i="1" s="1"/>
  <c r="G7" i="1"/>
  <c r="G4" i="1"/>
  <c r="F7" i="1"/>
  <c r="E12" i="1"/>
  <c r="X49" i="12"/>
  <c r="W49" i="12"/>
  <c r="V49" i="12"/>
  <c r="U49" i="12"/>
  <c r="T49" i="12"/>
  <c r="F14" i="1" s="1"/>
  <c r="S49" i="12"/>
  <c r="E14" i="1" s="1"/>
  <c r="R49" i="12"/>
  <c r="D14" i="1" s="1"/>
  <c r="Q49" i="12"/>
  <c r="I14" i="1" s="1"/>
  <c r="P49" i="12"/>
  <c r="H14" i="1" s="1"/>
  <c r="O49" i="12"/>
  <c r="G14" i="1" s="1"/>
  <c r="X49" i="11"/>
  <c r="W49" i="11"/>
  <c r="V49" i="11"/>
  <c r="U49" i="11"/>
  <c r="T49" i="11"/>
  <c r="F13" i="1" s="1"/>
  <c r="S49" i="11"/>
  <c r="E13" i="1" s="1"/>
  <c r="R49" i="11"/>
  <c r="D13" i="1" s="1"/>
  <c r="Q49" i="11"/>
  <c r="I13" i="1" s="1"/>
  <c r="P49" i="11"/>
  <c r="H13" i="1" s="1"/>
  <c r="O49" i="11"/>
  <c r="X49" i="10"/>
  <c r="W49" i="10"/>
  <c r="V49" i="10"/>
  <c r="U49" i="10"/>
  <c r="T49" i="10"/>
  <c r="F12" i="1" s="1"/>
  <c r="S49" i="10"/>
  <c r="R49" i="10"/>
  <c r="D12" i="1" s="1"/>
  <c r="Q49" i="10"/>
  <c r="I12" i="1" s="1"/>
  <c r="P49" i="10"/>
  <c r="H12" i="1" s="1"/>
  <c r="O49" i="10"/>
  <c r="G12" i="1" s="1"/>
  <c r="J12" i="1" l="1"/>
  <c r="J14" i="1"/>
  <c r="X49" i="9"/>
  <c r="W49" i="9"/>
  <c r="V49" i="9"/>
  <c r="U49" i="9"/>
  <c r="T49" i="9"/>
  <c r="F11" i="1" s="1"/>
  <c r="S49" i="9"/>
  <c r="E11" i="1" s="1"/>
  <c r="R49" i="9"/>
  <c r="D11" i="1" s="1"/>
  <c r="Q49" i="9"/>
  <c r="I11" i="1" s="1"/>
  <c r="P49" i="9"/>
  <c r="H11" i="1" s="1"/>
  <c r="O49" i="9"/>
  <c r="G11" i="1" s="1"/>
  <c r="J11" i="1" s="1"/>
  <c r="X4" i="8"/>
  <c r="W49" i="8"/>
  <c r="V49" i="8"/>
  <c r="U49" i="8"/>
  <c r="T49" i="8"/>
  <c r="F10" i="1" s="1"/>
  <c r="S49" i="8"/>
  <c r="E10" i="1" s="1"/>
  <c r="R49" i="8"/>
  <c r="D10" i="1" s="1"/>
  <c r="Q49" i="8"/>
  <c r="I10" i="1" s="1"/>
  <c r="P49" i="8"/>
  <c r="H10" i="1" s="1"/>
  <c r="O49" i="8"/>
  <c r="G10" i="1" s="1"/>
  <c r="X5" i="8"/>
  <c r="X49" i="8" s="1"/>
  <c r="W49" i="7"/>
  <c r="V49" i="7"/>
  <c r="U49" i="7"/>
  <c r="T49" i="7"/>
  <c r="F9" i="1" s="1"/>
  <c r="S49" i="7"/>
  <c r="E9" i="1" s="1"/>
  <c r="R49" i="7"/>
  <c r="D9" i="1" s="1"/>
  <c r="Q49" i="7"/>
  <c r="I9" i="1" s="1"/>
  <c r="P49" i="7"/>
  <c r="H9" i="1" s="1"/>
  <c r="O49" i="7"/>
  <c r="G9" i="1" s="1"/>
  <c r="J9" i="1" s="1"/>
  <c r="X49" i="7"/>
  <c r="X49" i="6"/>
  <c r="W49" i="6"/>
  <c r="V49" i="6"/>
  <c r="U49" i="6"/>
  <c r="T49" i="6"/>
  <c r="F8" i="1" s="1"/>
  <c r="S49" i="6"/>
  <c r="E8" i="1" s="1"/>
  <c r="R49" i="6"/>
  <c r="D8" i="1" s="1"/>
  <c r="Q49" i="6"/>
  <c r="I8" i="1" s="1"/>
  <c r="P49" i="6"/>
  <c r="H8" i="1" s="1"/>
  <c r="O49" i="6"/>
  <c r="G8" i="1" s="1"/>
  <c r="X49" i="5"/>
  <c r="W49" i="5"/>
  <c r="V49" i="5"/>
  <c r="U49" i="5"/>
  <c r="T49" i="5"/>
  <c r="S49" i="5"/>
  <c r="E7" i="1" s="1"/>
  <c r="R49" i="5"/>
  <c r="D7" i="1" s="1"/>
  <c r="J7" i="1" s="1"/>
  <c r="Q49" i="5"/>
  <c r="P49" i="5"/>
  <c r="O49" i="5"/>
  <c r="X49" i="4"/>
  <c r="W49" i="4"/>
  <c r="V49" i="4"/>
  <c r="U49" i="4"/>
  <c r="T49" i="4"/>
  <c r="F6" i="1" s="1"/>
  <c r="S49" i="4"/>
  <c r="E6" i="1" s="1"/>
  <c r="R49" i="4"/>
  <c r="D6" i="1" s="1"/>
  <c r="Q49" i="4"/>
  <c r="I6" i="1" s="1"/>
  <c r="P49" i="4"/>
  <c r="H6" i="1" s="1"/>
  <c r="O49" i="4"/>
  <c r="G6" i="1" s="1"/>
  <c r="W49" i="3"/>
  <c r="V49" i="3"/>
  <c r="U49" i="3"/>
  <c r="T49" i="3"/>
  <c r="F5" i="1" s="1"/>
  <c r="S49" i="3"/>
  <c r="E5" i="1" s="1"/>
  <c r="R49" i="3"/>
  <c r="D5" i="1" s="1"/>
  <c r="Q49" i="3"/>
  <c r="I5" i="1" s="1"/>
  <c r="P49" i="3"/>
  <c r="H5" i="1" s="1"/>
  <c r="W49" i="2"/>
  <c r="T49" i="2"/>
  <c r="F4" i="1" s="1"/>
  <c r="S49" i="2"/>
  <c r="E4" i="1" s="1"/>
  <c r="O49" i="3"/>
  <c r="G5" i="1" s="1"/>
  <c r="X49" i="3"/>
  <c r="U49" i="2"/>
  <c r="V49" i="2"/>
  <c r="X19" i="2"/>
  <c r="X18" i="2"/>
  <c r="X17" i="2"/>
  <c r="X4" i="2"/>
  <c r="J10" i="1" l="1"/>
  <c r="H15" i="1"/>
  <c r="I15" i="1"/>
  <c r="J6" i="1"/>
  <c r="J5" i="1"/>
  <c r="F15" i="1"/>
  <c r="G15" i="1"/>
  <c r="E15" i="1"/>
  <c r="J8" i="1"/>
  <c r="R49" i="2" l="1"/>
  <c r="D4" i="1" s="1"/>
  <c r="J4" i="1" l="1"/>
  <c r="D15" i="1"/>
  <c r="J15" i="1" s="1"/>
  <c r="X16" i="2"/>
  <c r="X15" i="2"/>
  <c r="X14" i="2"/>
  <c r="X13" i="2"/>
  <c r="X12" i="2"/>
  <c r="X11" i="2"/>
  <c r="X10" i="2"/>
  <c r="X9" i="2"/>
  <c r="X8" i="2"/>
  <c r="X7" i="2"/>
  <c r="X6" i="2"/>
  <c r="X5" i="2"/>
  <c r="X49" i="2" l="1"/>
</calcChain>
</file>

<file path=xl/sharedStrings.xml><?xml version="1.0" encoding="utf-8"?>
<sst xmlns="http://schemas.openxmlformats.org/spreadsheetml/2006/main" count="386" uniqueCount="103">
  <si>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</si>
  <si>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</si>
  <si>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</si>
  <si>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</si>
  <si>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</si>
  <si>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</si>
  <si>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</si>
  <si>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</si>
  <si>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</si>
  <si>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</si>
  <si>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</si>
  <si>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</si>
  <si>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미수금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</si>
  <si>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</si>
  <si>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</si>
  <si>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</si>
  <si>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</si>
  <si>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</si>
  <si>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</si>
  <si>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</si>
  <si>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</si>
  <si>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250227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</si>
  <si>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</si>
  <si>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</si>
  <si>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</si>
  <si>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</si>
  <si>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</si>
  <si>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</si>
  <si>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</si>
  <si>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</si>
  <si>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250131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</si>
  <si>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</si>
  <si>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</si>
  <si>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</si>
  <si>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</si>
  <si>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</si>
  <si>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</si>
  <si>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</si>
  <si>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</si>
  <si>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</si>
  <si>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</si>
  <si>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</si>
  <si>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</si>
  <si>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</si>
  <si>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</si>
  <si>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</si>
  <si>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241231</t>
    <phoneticPr fontId="3" type="noConversion"/>
  </si>
  <si>
    <t>LCD CONTROL BOARD. FOR MOP.</t>
    <phoneticPr fontId="3" type="noConversion"/>
  </si>
  <si>
    <t>250430</t>
    <phoneticPr fontId="3" type="noConversion"/>
  </si>
  <si>
    <t>MSR NVR BOARD. FOR MSR.</t>
    <phoneticPr fontId="3" type="noConversion"/>
  </si>
  <si>
    <t>CONTROL BOARD. FOR CTM.</t>
    <phoneticPr fontId="3" type="noConversion"/>
  </si>
  <si>
    <t>Sub-Amount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</si>
  <si>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</si>
  <si>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</si>
  <si>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</si>
  <si>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</si>
  <si>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</si>
  <si>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</si>
  <si>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</si>
  <si>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</si>
  <si>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</si>
  <si>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김포골드라인</t>
  </si>
  <si>
    <t>김포골드라인</t>
    <phoneticPr fontId="3" type="noConversion"/>
  </si>
  <si>
    <t>서울교통공사</t>
    <phoneticPr fontId="3" type="noConversion"/>
  </si>
  <si>
    <t>현대로템</t>
  </si>
  <si>
    <t>현대로템</t>
    <phoneticPr fontId="3" type="noConversion"/>
  </si>
  <si>
    <t>EIDS 수리비 및 보수품</t>
  </si>
  <si>
    <t>250108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</si>
  <si>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</si>
  <si>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</si>
  <si>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</si>
  <si>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</si>
  <si>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</si>
  <si>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</si>
  <si>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</si>
  <si>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DWE-2024-AUG-29-001</t>
  </si>
  <si>
    <t>250331</t>
  </si>
  <si>
    <t>250630</t>
  </si>
  <si>
    <t>서울7호선 3차분 TCMS 개조</t>
  </si>
  <si>
    <t>4호선 방송편집기 소프트웨어개발</t>
  </si>
  <si>
    <t>250103</t>
    <phoneticPr fontId="3" type="noConversion"/>
  </si>
  <si>
    <t>4호선210량 소프트웨어 1년 개선비 + 기존 업데이트 빙용</t>
    <phoneticPr fontId="3" type="noConversion"/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</si>
  <si>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</si>
  <si>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</si>
  <si>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</si>
  <si>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</si>
  <si>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</si>
  <si>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</si>
  <si>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</si>
  <si>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</si>
  <si>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</si>
  <si>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</si>
  <si>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</si>
  <si>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</si>
  <si>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</si>
  <si>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</si>
  <si>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</si>
  <si>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</si>
  <si>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</si>
  <si>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z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</si>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</sst>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6" formatCode="#,##0_ 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8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2" fontId="6" fillId="0" borderId="0" xfId="0" applyNumberFormat="1" applyFont="1">
      <alignment vertical="center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10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2" fontId="6" fillId="0" borderId="1" xfId="0" applyNumberFormat="1" applyFont="1" applyFill="1" applyBorder="1" applyAlignment="1">
      <alignment horizontal="center" vertical="center"/>
    </xf>
    <xf numFmtId="42" fontId="6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>
      <alignment vertical="center"/>
    </xf>
    <xf numFmtId="0" fontId="6" fillId="0" borderId="1" xfId="0" applyFont="1" applyFill="1" applyBorder="1" applyAlignment="1">
      <alignment horizontal="left" vertical="center" wrapText="1"/>
    </xf>
    <xf numFmtId="42" fontId="5" fillId="0" borderId="1" xfId="0" applyNumberFormat="1" applyFont="1" applyFill="1" applyBorder="1" applyAlignment="1">
      <alignment horizontal="center" vertical="center"/>
    </xf>
    <xf numFmtId="42" fontId="8" fillId="0" borderId="2" xfId="0" applyNumberFormat="1" applyFont="1" applyFill="1" applyBorder="1" applyAlignment="1">
      <alignment horizontal="center" vertical="center"/>
    </xf>
    <xf numFmtId="42" fontId="8" fillId="0" borderId="1" xfId="0" applyNumberFormat="1" applyFont="1" applyFill="1" applyBorder="1" applyAlignment="1">
      <alignment horizontal="center" vertical="center"/>
    </xf>
    <xf numFmtId="42" fontId="8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2" fontId="5" fillId="0" borderId="1" xfId="0" applyNumberFormat="1" applyFont="1" applyFill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42" fontId="5" fillId="0" borderId="2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center" vertical="center"/>
    </xf>
    <xf numFmtId="42" fontId="13" fillId="0" borderId="5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14" fillId="0" borderId="1" xfId="0" applyNumberFormat="1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M15"/>
  <sheetViews>
    <sheetView tabSelected="1" workbookViewId="0"/>
  </sheetViews>
  <sheetFormatPr defaultRowHeight="16.5" x14ac:dyDescent="0.3"/>
  <cols>
    <col min="1" max="1" width="3.5" customWidth="1"/>
    <col min="2" max="2" width="3.5" bestFit="1" customWidth="1"/>
    <col min="3" max="3" width="13" bestFit="1" customWidth="1"/>
    <col min="4" max="5" width="16.125" bestFit="1" customWidth="1"/>
    <col min="6" max="6" width="14.625" bestFit="1" customWidth="1"/>
    <col min="7" max="8" width="16.125" bestFit="1" customWidth="1"/>
    <col min="9" max="9" width="14.625" bestFit="1" customWidth="1"/>
    <col min="10" max="10" width="10.25" bestFit="1" customWidth="1"/>
    <col min="11" max="13" width="16.125" customWidth="1"/>
  </cols>
  <sheetData>
    <row r="2" spans="2:13" x14ac:dyDescent="0.3">
      <c r="C2" s="1"/>
      <c r="D2" s="66" t="s">
        <v>91</v>
      </c>
      <c r="E2" s="66"/>
      <c r="F2" s="67"/>
      <c r="G2" s="68" t="s">
        <v>95</v>
      </c>
      <c r="H2" s="66"/>
      <c r="I2" s="66"/>
      <c r="J2" s="66"/>
      <c r="K2" s="66"/>
      <c r="L2" s="66"/>
    </row>
    <row r="3" spans="2:13" x14ac:dyDescent="0.3">
      <c r="B3" s="8" t="s">
        <v>89</v>
      </c>
      <c r="C3" s="54" t="s">
        <v>90</v>
      </c>
      <c r="D3" s="54" t="s">
        <v>94</v>
      </c>
      <c r="E3" s="54" t="s">
        <v>92</v>
      </c>
      <c r="F3" s="58" t="s">
        <v>93</v>
      </c>
      <c r="G3" s="57" t="s">
        <v>94</v>
      </c>
      <c r="H3" s="56" t="s">
        <v>101</v>
      </c>
      <c r="I3" s="56" t="s">
        <v>102</v>
      </c>
      <c r="J3" s="56" t="s">
        <v>97</v>
      </c>
      <c r="K3" s="56" t="s">
        <v>59</v>
      </c>
      <c r="L3" s="56" t="s">
        <v>60</v>
      </c>
      <c r="M3" s="56" t="s">
        <v>13</v>
      </c>
    </row>
    <row r="4" spans="2:13" x14ac:dyDescent="0.3">
      <c r="B4" s="8">
        <v>1</v>
      </c>
      <c r="C4" s="8" t="s">
        <v>96</v>
      </c>
      <c r="D4" s="55">
        <f>'1.지아이씨'!R49</f>
        <v>437033275.69999993</v>
      </c>
      <c r="E4" s="55">
        <f>'1.지아이씨'!S49</f>
        <v>437033275.69999993</v>
      </c>
      <c r="F4" s="59">
        <f>'1.지아이씨'!T49</f>
        <v>0</v>
      </c>
      <c r="G4" s="63">
        <f>'1.지아이씨'!O49</f>
        <v>437033275.69999999</v>
      </c>
      <c r="H4" s="64">
        <f>'1.지아이씨'!P49</f>
        <v>437033275.69999999</v>
      </c>
      <c r="I4" s="65">
        <f>'1.지아이씨'!Q49</f>
        <v>0</v>
      </c>
      <c r="J4" s="60">
        <f>G4/D4</f>
        <v>1.0000000000000002</v>
      </c>
      <c r="K4" s="61"/>
      <c r="L4" s="61"/>
      <c r="M4" s="61"/>
    </row>
    <row r="5" spans="2:13" x14ac:dyDescent="0.3">
      <c r="B5" s="8">
        <v>2</v>
      </c>
      <c r="C5" s="8" t="s">
        <v>61</v>
      </c>
      <c r="D5" s="55">
        <f>'2.김포골드라인'!R49</f>
        <v>0</v>
      </c>
      <c r="E5" s="55">
        <f>'2.김포골드라인'!S49</f>
        <v>0</v>
      </c>
      <c r="F5" s="59">
        <f>'2.김포골드라인'!T49</f>
        <v>0</v>
      </c>
      <c r="G5" s="63">
        <f>'2.김포골드라인'!O49</f>
        <v>0</v>
      </c>
      <c r="H5" s="64">
        <f>'2.김포골드라인'!P49</f>
        <v>0</v>
      </c>
      <c r="I5" s="65">
        <f>'2.김포골드라인'!Q49</f>
        <v>0</v>
      </c>
      <c r="J5" s="60" t="e">
        <f t="shared" ref="J5:J15" si="0">G5/D5</f>
        <v>#DIV/0!</v>
      </c>
      <c r="K5" s="61"/>
      <c r="L5" s="61"/>
      <c r="M5" s="61"/>
    </row>
    <row r="6" spans="2:13" x14ac:dyDescent="0.3">
      <c r="B6" s="8">
        <v>3</v>
      </c>
      <c r="C6" s="8" t="s">
        <v>63</v>
      </c>
      <c r="D6" s="55">
        <f>'3.서울교통공사'!R49</f>
        <v>0</v>
      </c>
      <c r="E6" s="55">
        <f>'3.서울교통공사'!S49</f>
        <v>0</v>
      </c>
      <c r="F6" s="59">
        <f>'3.서울교통공사'!T49</f>
        <v>0</v>
      </c>
      <c r="G6" s="63">
        <f>'3.서울교통공사'!O49</f>
        <v>0</v>
      </c>
      <c r="H6" s="64">
        <f>'3.서울교통공사'!P49</f>
        <v>0</v>
      </c>
      <c r="I6" s="65">
        <f>'3.서울교통공사'!Q49</f>
        <v>0</v>
      </c>
      <c r="J6" s="60" t="e">
        <f t="shared" si="0"/>
        <v>#DIV/0!</v>
      </c>
      <c r="K6" s="61"/>
      <c r="L6" s="61"/>
      <c r="M6" s="61"/>
    </row>
    <row r="7" spans="2:13" x14ac:dyDescent="0.3">
      <c r="B7" s="8">
        <v>4</v>
      </c>
      <c r="C7" s="8" t="s">
        <v>64</v>
      </c>
      <c r="D7" s="55">
        <f>'4.현대로템'!R49</f>
        <v>9983340</v>
      </c>
      <c r="E7" s="55">
        <f>'4.현대로템'!S49</f>
        <v>9983340</v>
      </c>
      <c r="F7" s="59">
        <f>'4.현대로템'!T49</f>
        <v>0</v>
      </c>
      <c r="G7" s="63">
        <f>'4.현대로템'!O49</f>
        <v>0</v>
      </c>
      <c r="H7" s="64">
        <f>'4.현대로템'!P49</f>
        <v>0</v>
      </c>
      <c r="I7" s="65">
        <f>'4.현대로템'!Q49</f>
        <v>0</v>
      </c>
      <c r="J7" s="60">
        <f t="shared" si="0"/>
        <v>0</v>
      </c>
      <c r="K7" s="61"/>
      <c r="L7" s="61"/>
      <c r="M7" s="61"/>
    </row>
    <row r="8" spans="2:13" x14ac:dyDescent="0.3">
      <c r="B8" s="8">
        <v>5</v>
      </c>
      <c r="C8" s="8" t="s">
        <v>68</v>
      </c>
      <c r="D8" s="55">
        <f>'5.실리콘큐브'!R49</f>
        <v>0</v>
      </c>
      <c r="E8" s="55">
        <f>'5.실리콘큐브'!S49</f>
        <v>0</v>
      </c>
      <c r="F8" s="59">
        <f>'5.실리콘큐브'!T49</f>
        <v>0</v>
      </c>
      <c r="G8" s="63">
        <f>'5.실리콘큐브'!O49</f>
        <v>0</v>
      </c>
      <c r="H8" s="64">
        <f>'5.실리콘큐브'!P49</f>
        <v>0</v>
      </c>
      <c r="I8" s="65">
        <f>'5.실리콘큐브'!Q49</f>
        <v>0</v>
      </c>
      <c r="J8" s="60" t="e">
        <f t="shared" si="0"/>
        <v>#DIV/0!</v>
      </c>
      <c r="K8" s="61"/>
      <c r="L8" s="61"/>
      <c r="M8" s="61"/>
    </row>
    <row r="9" spans="2:13" x14ac:dyDescent="0.3">
      <c r="B9" s="8">
        <v>6</v>
      </c>
      <c r="C9" s="8" t="s">
        <v>70</v>
      </c>
      <c r="D9" s="55">
        <f>'6.무한테크'!R49</f>
        <v>0</v>
      </c>
      <c r="E9" s="55">
        <f>'6.무한테크'!S49</f>
        <v>0</v>
      </c>
      <c r="F9" s="59">
        <f>'6.무한테크'!T49</f>
        <v>0</v>
      </c>
      <c r="G9" s="63">
        <f>'6.무한테크'!O49</f>
        <v>0</v>
      </c>
      <c r="H9" s="64">
        <f>'6.무한테크'!P49</f>
        <v>0</v>
      </c>
      <c r="I9" s="65">
        <f>'6.무한테크'!Q49</f>
        <v>0</v>
      </c>
      <c r="J9" s="60" t="e">
        <f t="shared" si="0"/>
        <v>#DIV/0!</v>
      </c>
      <c r="K9" s="61"/>
      <c r="L9" s="61"/>
      <c r="M9" s="61"/>
    </row>
    <row r="10" spans="2:13" x14ac:dyDescent="0.3">
      <c r="B10" s="8">
        <v>7</v>
      </c>
      <c r="C10" s="8" t="s">
        <v>72</v>
      </c>
      <c r="D10" s="55">
        <f>'7.다원시스'!R49</f>
        <v>357000000</v>
      </c>
      <c r="E10" s="55">
        <f>'7.다원시스'!S49</f>
        <v>357000000</v>
      </c>
      <c r="F10" s="59">
        <f>'7.다원시스'!T49</f>
        <v>0</v>
      </c>
      <c r="G10" s="63">
        <f>'7.다원시스'!O49</f>
        <v>287000000</v>
      </c>
      <c r="H10" s="64">
        <f>'7.다원시스'!P49</f>
        <v>287000000</v>
      </c>
      <c r="I10" s="65">
        <f>'7.다원시스'!Q49</f>
        <v>0</v>
      </c>
      <c r="J10" s="60">
        <f t="shared" si="0"/>
        <v>0.80392156862745101</v>
      </c>
      <c r="K10" s="61"/>
      <c r="L10" s="61"/>
      <c r="M10" s="61"/>
    </row>
    <row r="11" spans="2:13" x14ac:dyDescent="0.3">
      <c r="B11" s="8">
        <v>8</v>
      </c>
      <c r="C11" s="8" t="s">
        <v>82</v>
      </c>
      <c r="D11" s="55">
        <f>'8.티랩'!R49</f>
        <v>0</v>
      </c>
      <c r="E11" s="55">
        <f>'8.티랩'!S49</f>
        <v>0</v>
      </c>
      <c r="F11" s="59">
        <f>'8.티랩'!T49</f>
        <v>0</v>
      </c>
      <c r="G11" s="63">
        <f>'8.티랩'!O49</f>
        <v>0</v>
      </c>
      <c r="H11" s="64">
        <f>'8.티랩'!P49</f>
        <v>0</v>
      </c>
      <c r="I11" s="65">
        <f>'8.티랩'!Q49</f>
        <v>0</v>
      </c>
      <c r="J11" s="60" t="e">
        <f t="shared" si="0"/>
        <v>#DIV/0!</v>
      </c>
      <c r="K11" s="61"/>
      <c r="L11" s="61"/>
      <c r="M11" s="61"/>
    </row>
    <row r="12" spans="2:13" x14ac:dyDescent="0.3">
      <c r="B12" s="8">
        <v>9</v>
      </c>
      <c r="C12" s="8" t="s">
        <v>84</v>
      </c>
      <c r="D12" s="55">
        <f>'9.마루소프트'!R49</f>
        <v>0</v>
      </c>
      <c r="E12" s="55">
        <f>'9.마루소프트'!S49</f>
        <v>0</v>
      </c>
      <c r="F12" s="59">
        <f>'9.마루소프트'!T49</f>
        <v>0</v>
      </c>
      <c r="G12" s="63">
        <f>'9.마루소프트'!O49</f>
        <v>0</v>
      </c>
      <c r="H12" s="64">
        <f>'9.마루소프트'!P49</f>
        <v>0</v>
      </c>
      <c r="I12" s="65">
        <f>'9.마루소프트'!Q49</f>
        <v>0</v>
      </c>
      <c r="J12" s="60" t="e">
        <f t="shared" si="0"/>
        <v>#DIV/0!</v>
      </c>
      <c r="K12" s="61"/>
      <c r="L12" s="61"/>
      <c r="M12" s="61"/>
    </row>
    <row r="13" spans="2:13" x14ac:dyDescent="0.3">
      <c r="B13" s="8">
        <v>10</v>
      </c>
      <c r="C13" s="8" t="s">
        <v>86</v>
      </c>
      <c r="D13" s="55">
        <f>'10.신진금고'!R49</f>
        <v>0</v>
      </c>
      <c r="E13" s="55">
        <f>'10.신진금고'!S49</f>
        <v>0</v>
      </c>
      <c r="F13" s="59">
        <f>'10.신진금고'!T49</f>
        <v>0</v>
      </c>
      <c r="G13" s="63">
        <f>'10.신진금고'!O49</f>
        <v>0</v>
      </c>
      <c r="H13" s="64">
        <f>'10.신진금고'!P49</f>
        <v>0</v>
      </c>
      <c r="I13" s="65">
        <f>'10.신진금고'!Q49</f>
        <v>0</v>
      </c>
      <c r="J13" s="60" t="e">
        <f t="shared" si="0"/>
        <v>#DIV/0!</v>
      </c>
      <c r="K13" s="61"/>
      <c r="L13" s="61"/>
      <c r="M13" s="61"/>
    </row>
    <row r="14" spans="2:13" x14ac:dyDescent="0.3">
      <c r="B14" s="8">
        <v>11</v>
      </c>
      <c r="C14" s="8" t="s">
        <v>88</v>
      </c>
      <c r="D14" s="55">
        <f>'11.인터모빌리티'!R49</f>
        <v>0</v>
      </c>
      <c r="E14" s="55">
        <f>'11.인터모빌리티'!S49</f>
        <v>0</v>
      </c>
      <c r="F14" s="59">
        <f>'11.인터모빌리티'!T49</f>
        <v>0</v>
      </c>
      <c r="G14" s="63">
        <f>'11.인터모빌리티'!O49</f>
        <v>0</v>
      </c>
      <c r="H14" s="64">
        <f>'11.인터모빌리티'!P49</f>
        <v>0</v>
      </c>
      <c r="I14" s="65">
        <f>'11.인터모빌리티'!Q49</f>
        <v>0</v>
      </c>
      <c r="J14" s="60" t="e">
        <f t="shared" si="0"/>
        <v>#DIV/0!</v>
      </c>
      <c r="K14" s="61"/>
      <c r="L14" s="61"/>
      <c r="M14" s="61"/>
    </row>
    <row r="15" spans="2:13" x14ac:dyDescent="0.3">
      <c r="B15" s="62"/>
      <c r="C15" s="62" t="s">
        <v>98</v>
      </c>
      <c r="D15" s="55">
        <f t="shared" ref="D15:I15" si="1">SUM(D4:D14)</f>
        <v>804016615.69999993</v>
      </c>
      <c r="E15" s="55">
        <f t="shared" si="1"/>
        <v>804016615.69999993</v>
      </c>
      <c r="F15" s="59">
        <f t="shared" si="1"/>
        <v>0</v>
      </c>
      <c r="G15" s="63">
        <f t="shared" si="1"/>
        <v>724033275.70000005</v>
      </c>
      <c r="H15" s="64">
        <f t="shared" si="1"/>
        <v>724033275.70000005</v>
      </c>
      <c r="I15" s="65">
        <f t="shared" si="1"/>
        <v>0</v>
      </c>
      <c r="J15" s="60">
        <f t="shared" si="0"/>
        <v>0.90052028970773934</v>
      </c>
      <c r="K15" s="61"/>
      <c r="L15" s="61"/>
      <c r="M15" s="61"/>
    </row>
  </sheetData>
  <mergeCells count="2">
    <mergeCell ref="D2:F2"/>
    <mergeCell ref="G2:L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Y51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2:25" x14ac:dyDescent="0.3">
      <c r="B2" s="7"/>
      <c r="C2" s="7"/>
    </row>
    <row r="3" spans="2:25" s="39" customFormat="1" x14ac:dyDescent="0.3">
      <c r="B3" s="40" t="s">
        <v>0</v>
      </c>
      <c r="C3" s="40" t="s">
        <v>1</v>
      </c>
      <c r="D3" s="41" t="s">
        <v>2</v>
      </c>
      <c r="E3" s="41" t="s">
        <v>52</v>
      </c>
      <c r="F3" s="41" t="s">
        <v>3</v>
      </c>
      <c r="G3" s="41" t="s">
        <v>54</v>
      </c>
      <c r="H3" s="42" t="s">
        <v>55</v>
      </c>
      <c r="I3" s="41" t="s">
        <v>53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100</v>
      </c>
      <c r="R3" s="44" t="s">
        <v>57</v>
      </c>
      <c r="S3" s="44" t="s">
        <v>56</v>
      </c>
      <c r="T3" s="44" t="s">
        <v>58</v>
      </c>
      <c r="U3" s="44" t="s">
        <v>59</v>
      </c>
      <c r="V3" s="44" t="s">
        <v>60</v>
      </c>
      <c r="W3" s="44" t="s">
        <v>11</v>
      </c>
      <c r="X3" s="44" t="s">
        <v>12</v>
      </c>
      <c r="Y3" s="46" t="s">
        <v>13</v>
      </c>
    </row>
    <row r="4" spans="2:25" s="33" customFormat="1" ht="33" x14ac:dyDescent="0.3">
      <c r="B4" s="47">
        <v>1</v>
      </c>
      <c r="C4" s="47" t="s">
        <v>14</v>
      </c>
      <c r="D4" s="48" t="s">
        <v>15</v>
      </c>
      <c r="E4" s="48"/>
      <c r="F4" s="48"/>
      <c r="G4" s="47">
        <v>240524</v>
      </c>
      <c r="H4" s="49" t="s">
        <v>21</v>
      </c>
      <c r="I4" s="48" t="s">
        <v>20</v>
      </c>
      <c r="J4" s="47">
        <v>240524</v>
      </c>
      <c r="K4" s="49" t="s">
        <v>21</v>
      </c>
      <c r="L4" s="49"/>
      <c r="M4" s="48" t="s">
        <v>22</v>
      </c>
      <c r="N4" s="48"/>
      <c r="O4" s="35">
        <v>245497525</v>
      </c>
      <c r="P4" s="35">
        <v>245497525</v>
      </c>
      <c r="Q4" s="36">
        <v>0</v>
      </c>
      <c r="R4" s="35">
        <v>245497524.99999997</v>
      </c>
      <c r="S4" s="35">
        <v>245497524.99999997</v>
      </c>
      <c r="T4" s="35"/>
      <c r="U4" s="35"/>
      <c r="V4" s="35"/>
      <c r="W4" s="50">
        <v>0</v>
      </c>
      <c r="X4" s="52">
        <f t="shared" ref="X4:X19" si="0">P4-W4</f>
        <v>245497525</v>
      </c>
      <c r="Y4" s="34"/>
    </row>
    <row r="5" spans="2:25" s="15" customFormat="1" ht="33" x14ac:dyDescent="0.3">
      <c r="B5" s="9">
        <v>2</v>
      </c>
      <c r="C5" s="9" t="s">
        <v>14</v>
      </c>
      <c r="D5" s="10" t="s">
        <v>15</v>
      </c>
      <c r="E5" s="10"/>
      <c r="F5" s="10"/>
      <c r="G5" s="9">
        <v>240913</v>
      </c>
      <c r="H5" s="11" t="s">
        <v>30</v>
      </c>
      <c r="I5" s="10" t="s">
        <v>29</v>
      </c>
      <c r="J5" s="9">
        <v>240913</v>
      </c>
      <c r="K5" s="11" t="s">
        <v>30</v>
      </c>
      <c r="L5" s="11" t="s">
        <v>16</v>
      </c>
      <c r="M5" s="10" t="s">
        <v>31</v>
      </c>
      <c r="N5" s="10">
        <v>51</v>
      </c>
      <c r="O5" s="12">
        <v>13983023.1</v>
      </c>
      <c r="P5" s="12">
        <v>13983023.1</v>
      </c>
      <c r="Q5" s="36">
        <v>0</v>
      </c>
      <c r="R5" s="12">
        <v>13983023.1</v>
      </c>
      <c r="S5" s="12">
        <v>13983023.1</v>
      </c>
      <c r="T5" s="12"/>
      <c r="U5" s="12"/>
      <c r="V5" s="12"/>
      <c r="W5" s="50">
        <v>0</v>
      </c>
      <c r="X5" s="52">
        <f t="shared" si="0"/>
        <v>13983023.1</v>
      </c>
      <c r="Y5" s="18"/>
    </row>
    <row r="6" spans="2:25" s="15" customFormat="1" x14ac:dyDescent="0.3">
      <c r="B6" s="9"/>
      <c r="C6" s="9"/>
      <c r="D6" s="10"/>
      <c r="E6" s="10"/>
      <c r="F6" s="10"/>
      <c r="G6" s="9"/>
      <c r="H6" s="11"/>
      <c r="I6" s="10"/>
      <c r="J6" s="9"/>
      <c r="K6" s="11"/>
      <c r="L6" s="11" t="s">
        <v>17</v>
      </c>
      <c r="M6" s="10" t="s">
        <v>32</v>
      </c>
      <c r="N6" s="10">
        <v>51</v>
      </c>
      <c r="O6" s="12">
        <v>10164755.4</v>
      </c>
      <c r="P6" s="12">
        <v>10164755.4</v>
      </c>
      <c r="Q6" s="36">
        <v>0</v>
      </c>
      <c r="R6" s="12">
        <v>10164755.4</v>
      </c>
      <c r="S6" s="12">
        <v>10164755.4</v>
      </c>
      <c r="T6" s="12"/>
      <c r="U6" s="12"/>
      <c r="V6" s="12"/>
      <c r="W6" s="50">
        <v>0</v>
      </c>
      <c r="X6" s="52">
        <f t="shared" si="0"/>
        <v>10164755.4</v>
      </c>
      <c r="Y6" s="18"/>
    </row>
    <row r="7" spans="2:25" s="15" customFormat="1" x14ac:dyDescent="0.3">
      <c r="B7" s="9"/>
      <c r="C7" s="9"/>
      <c r="D7" s="10"/>
      <c r="E7" s="10"/>
      <c r="F7" s="10"/>
      <c r="G7" s="9"/>
      <c r="H7" s="11"/>
      <c r="I7" s="10"/>
      <c r="J7" s="9"/>
      <c r="K7" s="11"/>
      <c r="L7" s="11" t="s">
        <v>18</v>
      </c>
      <c r="M7" s="10" t="s">
        <v>33</v>
      </c>
      <c r="N7" s="10">
        <v>51</v>
      </c>
      <c r="O7" s="12">
        <v>9341652.2999999989</v>
      </c>
      <c r="P7" s="12">
        <v>9341652.2999999989</v>
      </c>
      <c r="Q7" s="36">
        <v>0</v>
      </c>
      <c r="R7" s="12">
        <v>9341652.2999999989</v>
      </c>
      <c r="S7" s="12">
        <v>9341652.2999999989</v>
      </c>
      <c r="T7" s="12"/>
      <c r="U7" s="12"/>
      <c r="V7" s="12"/>
      <c r="W7" s="50">
        <v>0</v>
      </c>
      <c r="X7" s="52">
        <f t="shared" si="0"/>
        <v>9341652.2999999989</v>
      </c>
      <c r="Y7" s="18"/>
    </row>
    <row r="8" spans="2:25" s="15" customFormat="1" x14ac:dyDescent="0.3">
      <c r="B8" s="9"/>
      <c r="C8" s="9"/>
      <c r="D8" s="10"/>
      <c r="E8" s="10"/>
      <c r="F8" s="10"/>
      <c r="G8" s="9"/>
      <c r="H8" s="11"/>
      <c r="I8" s="10"/>
      <c r="J8" s="9"/>
      <c r="K8" s="11"/>
      <c r="L8" s="11" t="s">
        <v>19</v>
      </c>
      <c r="M8" s="10" t="s">
        <v>34</v>
      </c>
      <c r="N8" s="10">
        <v>51</v>
      </c>
      <c r="O8" s="12">
        <v>7854455.3999999994</v>
      </c>
      <c r="P8" s="12">
        <v>7854455.3999999994</v>
      </c>
      <c r="Q8" s="36">
        <v>0</v>
      </c>
      <c r="R8" s="12">
        <v>7854455.3999999994</v>
      </c>
      <c r="S8" s="12">
        <v>7854455.3999999994</v>
      </c>
      <c r="T8" s="12"/>
      <c r="U8" s="12"/>
      <c r="V8" s="12"/>
      <c r="W8" s="50">
        <v>0</v>
      </c>
      <c r="X8" s="52">
        <f t="shared" si="0"/>
        <v>7854455.3999999994</v>
      </c>
      <c r="Y8" s="18"/>
    </row>
    <row r="9" spans="2:25" s="15" customFormat="1" x14ac:dyDescent="0.3">
      <c r="B9" s="9"/>
      <c r="C9" s="9"/>
      <c r="D9" s="10"/>
      <c r="E9" s="10"/>
      <c r="F9" s="10"/>
      <c r="G9" s="9"/>
      <c r="H9" s="11"/>
      <c r="I9" s="10"/>
      <c r="J9" s="9"/>
      <c r="K9" s="11"/>
      <c r="L9" s="11" t="s">
        <v>23</v>
      </c>
      <c r="M9" s="10" t="s">
        <v>35</v>
      </c>
      <c r="N9" s="10">
        <v>51</v>
      </c>
      <c r="O9" s="12">
        <v>9422642.6999999993</v>
      </c>
      <c r="P9" s="12">
        <v>9422642.6999999993</v>
      </c>
      <c r="Q9" s="36">
        <v>0</v>
      </c>
      <c r="R9" s="12">
        <v>9422642.6999999993</v>
      </c>
      <c r="S9" s="12">
        <v>9422642.6999999993</v>
      </c>
      <c r="T9" s="12"/>
      <c r="U9" s="12"/>
      <c r="V9" s="12"/>
      <c r="W9" s="50">
        <v>0</v>
      </c>
      <c r="X9" s="52">
        <f t="shared" si="0"/>
        <v>9422642.6999999993</v>
      </c>
      <c r="Y9" s="18"/>
    </row>
    <row r="10" spans="2:25" s="15" customFormat="1" x14ac:dyDescent="0.3">
      <c r="B10" s="9"/>
      <c r="C10" s="9"/>
      <c r="D10" s="10"/>
      <c r="E10" s="10"/>
      <c r="F10" s="10"/>
      <c r="G10" s="9"/>
      <c r="H10" s="11"/>
      <c r="I10" s="10"/>
      <c r="J10" s="9"/>
      <c r="K10" s="11"/>
      <c r="L10" s="11" t="s">
        <v>24</v>
      </c>
      <c r="M10" s="10" t="s">
        <v>36</v>
      </c>
      <c r="N10" s="10">
        <v>51</v>
      </c>
      <c r="O10" s="12">
        <v>4421700</v>
      </c>
      <c r="P10" s="12">
        <v>4421700</v>
      </c>
      <c r="Q10" s="36">
        <v>0</v>
      </c>
      <c r="R10" s="12">
        <v>4421700</v>
      </c>
      <c r="S10" s="12">
        <v>4421700</v>
      </c>
      <c r="T10" s="12"/>
      <c r="U10" s="12"/>
      <c r="V10" s="12"/>
      <c r="W10" s="50">
        <v>0</v>
      </c>
      <c r="X10" s="52">
        <f t="shared" si="0"/>
        <v>4421700</v>
      </c>
      <c r="Y10" s="18"/>
    </row>
    <row r="11" spans="2:25" s="15" customFormat="1" x14ac:dyDescent="0.3">
      <c r="B11" s="9"/>
      <c r="C11" s="9"/>
      <c r="D11" s="10"/>
      <c r="E11" s="10"/>
      <c r="F11" s="10"/>
      <c r="G11" s="9"/>
      <c r="H11" s="11"/>
      <c r="I11" s="10"/>
      <c r="J11" s="9"/>
      <c r="K11" s="11"/>
      <c r="L11" s="11" t="s">
        <v>25</v>
      </c>
      <c r="M11" s="10" t="s">
        <v>37</v>
      </c>
      <c r="N11" s="10">
        <v>102</v>
      </c>
      <c r="O11" s="12">
        <v>10373400</v>
      </c>
      <c r="P11" s="12">
        <v>10373400</v>
      </c>
      <c r="Q11" s="36">
        <v>0</v>
      </c>
      <c r="R11" s="12">
        <v>10373400</v>
      </c>
      <c r="S11" s="12">
        <v>10373400</v>
      </c>
      <c r="T11" s="12"/>
      <c r="U11" s="12"/>
      <c r="V11" s="12"/>
      <c r="W11" s="50">
        <v>0</v>
      </c>
      <c r="X11" s="52">
        <f t="shared" si="0"/>
        <v>10373400</v>
      </c>
      <c r="Y11" s="18"/>
    </row>
    <row r="12" spans="2:25" s="15" customFormat="1" x14ac:dyDescent="0.3">
      <c r="B12" s="9"/>
      <c r="C12" s="9"/>
      <c r="D12" s="10"/>
      <c r="E12" s="10"/>
      <c r="F12" s="10"/>
      <c r="G12" s="9"/>
      <c r="H12" s="11"/>
      <c r="I12" s="10"/>
      <c r="J12" s="9"/>
      <c r="K12" s="11"/>
      <c r="L12" s="11" t="s">
        <v>26</v>
      </c>
      <c r="M12" s="10" t="s">
        <v>38</v>
      </c>
      <c r="N12" s="10">
        <v>51</v>
      </c>
      <c r="O12" s="12">
        <v>7264302.2999999998</v>
      </c>
      <c r="P12" s="12">
        <v>7264302.2999999998</v>
      </c>
      <c r="Q12" s="36">
        <v>0</v>
      </c>
      <c r="R12" s="12">
        <v>7264302.2999999998</v>
      </c>
      <c r="S12" s="12">
        <v>7264302.2999999998</v>
      </c>
      <c r="T12" s="12"/>
      <c r="U12" s="12"/>
      <c r="V12" s="12"/>
      <c r="W12" s="50">
        <v>0</v>
      </c>
      <c r="X12" s="52">
        <f t="shared" si="0"/>
        <v>7264302.2999999998</v>
      </c>
      <c r="Y12" s="18"/>
    </row>
    <row r="13" spans="2:25" s="15" customFormat="1" x14ac:dyDescent="0.3">
      <c r="B13" s="9"/>
      <c r="C13" s="9"/>
      <c r="D13" s="10"/>
      <c r="E13" s="10"/>
      <c r="F13" s="10"/>
      <c r="G13" s="9"/>
      <c r="H13" s="11"/>
      <c r="I13" s="10"/>
      <c r="J13" s="9"/>
      <c r="K13" s="11"/>
      <c r="L13" s="11" t="s">
        <v>27</v>
      </c>
      <c r="M13" s="10" t="s">
        <v>39</v>
      </c>
      <c r="N13" s="10">
        <v>51</v>
      </c>
      <c r="O13" s="12">
        <v>4590000</v>
      </c>
      <c r="P13" s="12">
        <v>4590000</v>
      </c>
      <c r="Q13" s="36">
        <v>0</v>
      </c>
      <c r="R13" s="12">
        <v>4590000</v>
      </c>
      <c r="S13" s="12">
        <v>4590000</v>
      </c>
      <c r="T13" s="12"/>
      <c r="U13" s="12"/>
      <c r="V13" s="12"/>
      <c r="W13" s="50">
        <v>0</v>
      </c>
      <c r="X13" s="52">
        <f t="shared" si="0"/>
        <v>4590000</v>
      </c>
      <c r="Y13" s="18"/>
    </row>
    <row r="14" spans="2:25" s="15" customFormat="1" x14ac:dyDescent="0.3">
      <c r="B14" s="9"/>
      <c r="C14" s="9"/>
      <c r="D14" s="10"/>
      <c r="E14" s="10"/>
      <c r="F14" s="10"/>
      <c r="G14" s="9"/>
      <c r="H14" s="11"/>
      <c r="I14" s="10"/>
      <c r="J14" s="9"/>
      <c r="K14" s="11"/>
      <c r="L14" s="11" t="s">
        <v>28</v>
      </c>
      <c r="M14" s="10" t="s">
        <v>40</v>
      </c>
      <c r="N14" s="10">
        <v>51</v>
      </c>
      <c r="O14" s="12">
        <v>7246837.5</v>
      </c>
      <c r="P14" s="12">
        <v>7246837.5</v>
      </c>
      <c r="Q14" s="36">
        <v>0</v>
      </c>
      <c r="R14" s="12">
        <v>7246837.5</v>
      </c>
      <c r="S14" s="12">
        <v>7246837.5</v>
      </c>
      <c r="T14" s="12"/>
      <c r="U14" s="12"/>
      <c r="V14" s="12"/>
      <c r="W14" s="50">
        <v>0</v>
      </c>
      <c r="X14" s="52">
        <f t="shared" si="0"/>
        <v>7246837.5</v>
      </c>
      <c r="Y14" s="18"/>
    </row>
    <row r="15" spans="2:25" s="15" customFormat="1" x14ac:dyDescent="0.3">
      <c r="B15" s="9"/>
      <c r="C15" s="9"/>
      <c r="D15" s="10"/>
      <c r="E15" s="10"/>
      <c r="F15" s="10"/>
      <c r="G15" s="9"/>
      <c r="H15" s="11"/>
      <c r="I15" s="10"/>
      <c r="J15" s="9"/>
      <c r="K15" s="11"/>
      <c r="L15" s="11" t="s">
        <v>41</v>
      </c>
      <c r="M15" s="10" t="s">
        <v>42</v>
      </c>
      <c r="N15" s="10">
        <v>51</v>
      </c>
      <c r="O15" s="12">
        <v>6505758.8999999994</v>
      </c>
      <c r="P15" s="12">
        <v>6505758.8999999994</v>
      </c>
      <c r="Q15" s="36">
        <v>0</v>
      </c>
      <c r="R15" s="12">
        <v>6505758.8999999994</v>
      </c>
      <c r="S15" s="12">
        <v>6505758.8999999994</v>
      </c>
      <c r="T15" s="12"/>
      <c r="U15" s="12"/>
      <c r="V15" s="12"/>
      <c r="W15" s="50">
        <v>0</v>
      </c>
      <c r="X15" s="52">
        <f t="shared" si="0"/>
        <v>6505758.8999999994</v>
      </c>
      <c r="Y15" s="18"/>
    </row>
    <row r="16" spans="2:25" s="15" customFormat="1" x14ac:dyDescent="0.3">
      <c r="B16" s="9"/>
      <c r="C16" s="9"/>
      <c r="D16" s="10"/>
      <c r="E16" s="10"/>
      <c r="F16" s="10"/>
      <c r="G16" s="9"/>
      <c r="H16" s="11"/>
      <c r="I16" s="10"/>
      <c r="J16" s="9"/>
      <c r="K16" s="11"/>
      <c r="L16" s="11" t="s">
        <v>43</v>
      </c>
      <c r="M16" s="10" t="s">
        <v>44</v>
      </c>
      <c r="N16" s="10">
        <v>51</v>
      </c>
      <c r="O16" s="12">
        <v>14136023.1</v>
      </c>
      <c r="P16" s="12">
        <v>14136023.1</v>
      </c>
      <c r="Q16" s="36">
        <v>0</v>
      </c>
      <c r="R16" s="12">
        <v>14136023.1</v>
      </c>
      <c r="S16" s="12">
        <v>14136023.1</v>
      </c>
      <c r="T16" s="12"/>
      <c r="U16" s="12"/>
      <c r="V16" s="12"/>
      <c r="W16" s="50">
        <v>0</v>
      </c>
      <c r="X16" s="52">
        <f t="shared" si="0"/>
        <v>14136023.1</v>
      </c>
      <c r="Y16" s="18"/>
    </row>
    <row r="17" spans="2:25" s="15" customFormat="1" ht="33" x14ac:dyDescent="0.3">
      <c r="B17" s="9">
        <v>3</v>
      </c>
      <c r="C17" s="9" t="s">
        <v>14</v>
      </c>
      <c r="D17" s="10" t="s">
        <v>15</v>
      </c>
      <c r="E17" s="10"/>
      <c r="F17" s="10"/>
      <c r="G17" s="9">
        <v>240923</v>
      </c>
      <c r="H17" s="11" t="s">
        <v>46</v>
      </c>
      <c r="I17" s="10" t="s">
        <v>45</v>
      </c>
      <c r="J17" s="9">
        <v>240923</v>
      </c>
      <c r="K17" s="11" t="s">
        <v>46</v>
      </c>
      <c r="L17" s="11" t="s">
        <v>17</v>
      </c>
      <c r="M17" s="10" t="s">
        <v>47</v>
      </c>
      <c r="N17" s="10">
        <v>10</v>
      </c>
      <c r="O17" s="12">
        <v>8188800</v>
      </c>
      <c r="P17" s="12">
        <v>8188800</v>
      </c>
      <c r="Q17" s="36">
        <v>0</v>
      </c>
      <c r="R17" s="12">
        <v>8188800</v>
      </c>
      <c r="S17" s="12">
        <v>8188800</v>
      </c>
      <c r="T17" s="12"/>
      <c r="U17" s="12"/>
      <c r="V17" s="12"/>
      <c r="W17" s="50">
        <v>0</v>
      </c>
      <c r="X17" s="52">
        <f t="shared" si="0"/>
        <v>8188800</v>
      </c>
      <c r="Y17" s="18"/>
    </row>
    <row r="18" spans="2:25" s="15" customFormat="1" x14ac:dyDescent="0.3">
      <c r="B18" s="9"/>
      <c r="C18" s="9"/>
      <c r="D18" s="10"/>
      <c r="E18" s="10"/>
      <c r="F18" s="10"/>
      <c r="G18" s="9"/>
      <c r="H18" s="11" t="s">
        <v>48</v>
      </c>
      <c r="I18" s="10"/>
      <c r="J18" s="9"/>
      <c r="K18" s="11" t="s">
        <v>48</v>
      </c>
      <c r="L18" s="11" t="s">
        <v>26</v>
      </c>
      <c r="M18" s="10" t="s">
        <v>49</v>
      </c>
      <c r="N18" s="10">
        <v>10</v>
      </c>
      <c r="O18" s="12">
        <v>32336800</v>
      </c>
      <c r="P18" s="12">
        <v>32336800</v>
      </c>
      <c r="Q18" s="36">
        <v>0</v>
      </c>
      <c r="R18" s="12">
        <v>32336800</v>
      </c>
      <c r="S18" s="12">
        <v>32336800</v>
      </c>
      <c r="T18" s="12"/>
      <c r="U18" s="12"/>
      <c r="V18" s="12"/>
      <c r="W18" s="50">
        <v>0</v>
      </c>
      <c r="X18" s="52">
        <f t="shared" si="0"/>
        <v>32336800</v>
      </c>
      <c r="Y18" s="18"/>
    </row>
    <row r="19" spans="2:25" s="15" customFormat="1" x14ac:dyDescent="0.3">
      <c r="B19" s="9"/>
      <c r="C19" s="9"/>
      <c r="D19" s="10"/>
      <c r="E19" s="10"/>
      <c r="F19" s="10"/>
      <c r="G19" s="9"/>
      <c r="H19" s="11" t="s">
        <v>46</v>
      </c>
      <c r="I19" s="10"/>
      <c r="J19" s="9"/>
      <c r="K19" s="11" t="s">
        <v>46</v>
      </c>
      <c r="L19" s="11" t="s">
        <v>41</v>
      </c>
      <c r="M19" s="10" t="s">
        <v>50</v>
      </c>
      <c r="N19" s="10">
        <v>20</v>
      </c>
      <c r="O19" s="12">
        <v>45705600</v>
      </c>
      <c r="P19" s="12">
        <v>45705600</v>
      </c>
      <c r="Q19" s="36">
        <v>0</v>
      </c>
      <c r="R19" s="12">
        <v>45705600</v>
      </c>
      <c r="S19" s="12">
        <v>45705600</v>
      </c>
      <c r="T19" s="12"/>
      <c r="U19" s="12"/>
      <c r="V19" s="51"/>
      <c r="W19" s="50">
        <v>0</v>
      </c>
      <c r="X19" s="52">
        <f t="shared" si="0"/>
        <v>45705600</v>
      </c>
      <c r="Y19" s="18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4"/>
      <c r="Q20" s="14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4"/>
      <c r="Q21" s="14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4"/>
      <c r="Q22" s="14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4"/>
      <c r="Q23" s="14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4"/>
      <c r="Q24" s="14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4"/>
      <c r="Q25" s="14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4"/>
      <c r="Q26" s="14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4"/>
      <c r="Q27" s="14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4"/>
      <c r="Q28" s="14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4"/>
      <c r="Q29" s="14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4"/>
      <c r="Q30" s="14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4"/>
      <c r="Q31" s="14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4"/>
      <c r="Q32" s="14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4"/>
      <c r="Q33" s="14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4"/>
      <c r="Q34" s="14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4"/>
      <c r="Q35" s="14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4"/>
      <c r="Q36" s="14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4"/>
      <c r="Q37" s="14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4"/>
      <c r="Q38" s="14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4"/>
      <c r="Q39" s="14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4"/>
      <c r="Q40" s="14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4"/>
      <c r="Q41" s="14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4"/>
      <c r="Q42" s="14"/>
      <c r="R42" s="14"/>
      <c r="S42" s="14"/>
      <c r="T42" s="14"/>
      <c r="U42" s="14"/>
      <c r="V42" s="14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51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437033275.69999999</v>
      </c>
      <c r="P49" s="14">
        <f>SUM(P4:P48)</f>
        <v>437033275.69999999</v>
      </c>
      <c r="Q49" s="14">
        <f>SUM(Q4:Q48)</f>
        <v>0</v>
      </c>
      <c r="R49" s="14">
        <f>SUM(R4:R48)</f>
        <v>437033275.69999993</v>
      </c>
      <c r="S49" s="14">
        <f>SUM(S4:S48)</f>
        <v>437033275.69999993</v>
      </c>
      <c r="T49" s="14">
        <f>SUM(T4:T48)</f>
        <v>0</v>
      </c>
      <c r="U49" s="14">
        <f>SUM(U4:U48)</f>
        <v>0</v>
      </c>
      <c r="V49" s="14">
        <f>SUM(V4:V48)</f>
        <v>0</v>
      </c>
      <c r="W49" s="14">
        <f>SUM(W4:W48)</f>
        <v>0</v>
      </c>
      <c r="X49" s="14">
        <f>SUM(X4:X48)</f>
        <v>437033275.69999999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  <row r="51" spans="2:25" x14ac:dyDescent="0.3">
      <c r="X51" s="4" t="s">
        <v>99</v>
      </c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52</v>
      </c>
      <c r="F3" s="41" t="s">
        <v>3</v>
      </c>
      <c r="G3" s="41" t="s">
        <v>54</v>
      </c>
      <c r="H3" s="42" t="s">
        <v>55</v>
      </c>
      <c r="I3" s="41" t="s">
        <v>53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100</v>
      </c>
      <c r="R3" s="44" t="s">
        <v>57</v>
      </c>
      <c r="S3" s="44" t="s">
        <v>56</v>
      </c>
      <c r="T3" s="44" t="s">
        <v>58</v>
      </c>
      <c r="U3" s="44" t="s">
        <v>59</v>
      </c>
      <c r="V3" s="44" t="s">
        <v>60</v>
      </c>
      <c r="W3" s="44" t="s">
        <v>11</v>
      </c>
      <c r="X3" s="44" t="s">
        <v>12</v>
      </c>
      <c r="Y3" s="46" t="s">
        <v>13</v>
      </c>
    </row>
    <row r="4" spans="1:25" s="1" customFormat="1" x14ac:dyDescent="0.3">
      <c r="B4" s="17">
        <v>1</v>
      </c>
      <c r="C4" s="17" t="s">
        <v>14</v>
      </c>
      <c r="D4" s="18" t="s">
        <v>62</v>
      </c>
      <c r="E4" s="18"/>
      <c r="F4" s="18"/>
      <c r="G4" s="17"/>
      <c r="H4" s="20"/>
      <c r="I4" s="18"/>
      <c r="J4" s="17"/>
      <c r="K4" s="20"/>
      <c r="L4" s="20"/>
      <c r="M4" s="20"/>
      <c r="N4" s="18"/>
      <c r="O4" s="14"/>
      <c r="P4" s="12"/>
      <c r="Q4" s="16"/>
      <c r="R4" s="14"/>
      <c r="S4" s="14"/>
      <c r="T4" s="14"/>
      <c r="U4" s="14"/>
      <c r="V4" s="14"/>
      <c r="W4" s="21"/>
      <c r="X4" s="14"/>
      <c r="Y4" s="23"/>
    </row>
    <row r="5" spans="1:25" s="33" customFormat="1" x14ac:dyDescent="0.3">
      <c r="A5" s="27"/>
      <c r="B5" s="28"/>
      <c r="C5" s="28"/>
      <c r="D5" s="29"/>
      <c r="E5" s="29"/>
      <c r="F5" s="29"/>
      <c r="G5" s="28"/>
      <c r="H5" s="30"/>
      <c r="I5" s="29"/>
      <c r="J5" s="28"/>
      <c r="K5" s="30"/>
      <c r="L5" s="30"/>
      <c r="M5" s="29"/>
      <c r="N5" s="29"/>
      <c r="O5" s="31"/>
      <c r="P5" s="35"/>
      <c r="Q5" s="36"/>
      <c r="R5" s="31"/>
      <c r="S5" s="31"/>
      <c r="T5" s="31"/>
      <c r="U5" s="31"/>
      <c r="V5" s="31"/>
      <c r="W5" s="32"/>
      <c r="X5" s="14"/>
      <c r="Y5" s="29"/>
    </row>
    <row r="6" spans="1:25" s="33" customFormat="1" x14ac:dyDescent="0.3">
      <c r="B6" s="28"/>
      <c r="C6" s="28"/>
      <c r="D6" s="29"/>
      <c r="E6" s="29"/>
      <c r="F6" s="29"/>
      <c r="G6" s="28"/>
      <c r="H6" s="30"/>
      <c r="I6" s="29"/>
      <c r="J6" s="28"/>
      <c r="K6" s="30"/>
      <c r="L6" s="30"/>
      <c r="M6" s="29"/>
      <c r="N6" s="29"/>
      <c r="O6" s="31"/>
      <c r="P6" s="35"/>
      <c r="Q6" s="36"/>
      <c r="R6" s="31"/>
      <c r="S6" s="31"/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28"/>
      <c r="D7" s="29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28"/>
      <c r="D8" s="29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28"/>
      <c r="D9" s="29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51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0</v>
      </c>
      <c r="P49" s="14">
        <f t="shared" ref="P49:W49" si="0">SUM(P4:P48)</f>
        <v>0</v>
      </c>
      <c r="Q49" s="14">
        <f t="shared" si="0"/>
        <v>0</v>
      </c>
      <c r="R49" s="14">
        <f t="shared" si="0"/>
        <v>0</v>
      </c>
      <c r="S49" s="14">
        <f t="shared" si="0"/>
        <v>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 t="shared" si="0"/>
        <v>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52</v>
      </c>
      <c r="F3" s="41" t="s">
        <v>3</v>
      </c>
      <c r="G3" s="41" t="s">
        <v>54</v>
      </c>
      <c r="H3" s="42" t="s">
        <v>55</v>
      </c>
      <c r="I3" s="41" t="s">
        <v>53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100</v>
      </c>
      <c r="R3" s="44" t="s">
        <v>57</v>
      </c>
      <c r="S3" s="44" t="s">
        <v>56</v>
      </c>
      <c r="T3" s="44" t="s">
        <v>58</v>
      </c>
      <c r="U3" s="44" t="s">
        <v>59</v>
      </c>
      <c r="V3" s="44" t="s">
        <v>60</v>
      </c>
      <c r="W3" s="44" t="s">
        <v>11</v>
      </c>
      <c r="X3" s="44" t="s">
        <v>12</v>
      </c>
      <c r="Y3" s="46" t="s">
        <v>13</v>
      </c>
    </row>
    <row r="4" spans="1:25" s="1" customFormat="1" x14ac:dyDescent="0.3">
      <c r="B4" s="17">
        <v>1</v>
      </c>
      <c r="C4" s="17" t="s">
        <v>14</v>
      </c>
      <c r="D4" s="18" t="s">
        <v>63</v>
      </c>
      <c r="E4" s="18"/>
      <c r="F4" s="18"/>
      <c r="G4" s="17"/>
      <c r="H4" s="20"/>
      <c r="I4" s="18"/>
      <c r="J4" s="17"/>
      <c r="K4" s="20"/>
      <c r="L4" s="20"/>
      <c r="M4" s="20"/>
      <c r="N4" s="18"/>
      <c r="O4" s="14"/>
      <c r="P4" s="12"/>
      <c r="Q4" s="16"/>
      <c r="R4" s="14"/>
      <c r="S4" s="14"/>
      <c r="T4" s="14"/>
      <c r="U4" s="14"/>
      <c r="V4" s="14"/>
      <c r="W4" s="21"/>
      <c r="X4" s="14"/>
      <c r="Y4" s="23"/>
    </row>
    <row r="5" spans="1:25" s="33" customFormat="1" x14ac:dyDescent="0.3">
      <c r="A5" s="27"/>
      <c r="B5" s="47"/>
      <c r="C5" s="9"/>
      <c r="D5" s="10"/>
      <c r="E5" s="48"/>
      <c r="F5" s="48"/>
      <c r="G5" s="47"/>
      <c r="H5" s="49"/>
      <c r="I5" s="48"/>
      <c r="J5" s="47"/>
      <c r="K5" s="49"/>
      <c r="L5" s="49"/>
      <c r="M5" s="48"/>
      <c r="N5" s="48"/>
      <c r="O5" s="35"/>
      <c r="P5" s="35"/>
      <c r="Q5" s="53"/>
      <c r="R5" s="35"/>
      <c r="S5" s="35"/>
      <c r="T5" s="35"/>
      <c r="U5" s="35"/>
      <c r="V5" s="35"/>
      <c r="W5" s="35"/>
      <c r="X5" s="52"/>
      <c r="Y5" s="29"/>
    </row>
    <row r="6" spans="1:25" s="33" customFormat="1" x14ac:dyDescent="0.3">
      <c r="B6" s="28"/>
      <c r="C6" s="28"/>
      <c r="D6" s="29"/>
      <c r="E6" s="29"/>
      <c r="F6" s="29"/>
      <c r="G6" s="28"/>
      <c r="H6" s="30"/>
      <c r="I6" s="29"/>
      <c r="J6" s="28"/>
      <c r="K6" s="30"/>
      <c r="L6" s="30"/>
      <c r="M6" s="29"/>
      <c r="N6" s="29"/>
      <c r="O6" s="31"/>
      <c r="P6" s="35"/>
      <c r="Q6" s="36"/>
      <c r="R6" s="31"/>
      <c r="S6" s="31"/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28"/>
      <c r="D7" s="29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28"/>
      <c r="D8" s="29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28"/>
      <c r="D9" s="29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51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0</v>
      </c>
      <c r="P49" s="14">
        <f t="shared" ref="P49:W49" si="0">SUM(P4:P48)</f>
        <v>0</v>
      </c>
      <c r="Q49" s="14">
        <f t="shared" si="0"/>
        <v>0</v>
      </c>
      <c r="R49" s="14">
        <f t="shared" si="0"/>
        <v>0</v>
      </c>
      <c r="S49" s="14">
        <f t="shared" si="0"/>
        <v>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 t="shared" si="0"/>
        <v>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52</v>
      </c>
      <c r="F3" s="41" t="s">
        <v>3</v>
      </c>
      <c r="G3" s="41" t="s">
        <v>54</v>
      </c>
      <c r="H3" s="42" t="s">
        <v>55</v>
      </c>
      <c r="I3" s="41" t="s">
        <v>53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100</v>
      </c>
      <c r="R3" s="44" t="s">
        <v>57</v>
      </c>
      <c r="S3" s="44" t="s">
        <v>56</v>
      </c>
      <c r="T3" s="44" t="s">
        <v>58</v>
      </c>
      <c r="U3" s="44" t="s">
        <v>59</v>
      </c>
      <c r="V3" s="44" t="s">
        <v>60</v>
      </c>
      <c r="W3" s="44" t="s">
        <v>11</v>
      </c>
      <c r="X3" s="44" t="s">
        <v>12</v>
      </c>
      <c r="Y3" s="46" t="s">
        <v>13</v>
      </c>
    </row>
    <row r="4" spans="1:25" s="1" customFormat="1" x14ac:dyDescent="0.3">
      <c r="B4" s="17">
        <v>1</v>
      </c>
      <c r="C4" s="17" t="s">
        <v>14</v>
      </c>
      <c r="D4" s="18" t="s">
        <v>65</v>
      </c>
      <c r="E4" s="18">
        <v>2024122401</v>
      </c>
      <c r="F4" s="18"/>
      <c r="G4" s="17">
        <v>241224</v>
      </c>
      <c r="H4" s="20" t="s">
        <v>67</v>
      </c>
      <c r="I4" s="18"/>
      <c r="J4" s="17"/>
      <c r="K4" s="20"/>
      <c r="L4" s="20"/>
      <c r="M4" s="20" t="s">
        <v>66</v>
      </c>
      <c r="N4" s="18"/>
      <c r="O4" s="14"/>
      <c r="P4" s="12"/>
      <c r="Q4" s="16"/>
      <c r="R4" s="14">
        <v>9983340</v>
      </c>
      <c r="S4" s="14">
        <v>9983340</v>
      </c>
      <c r="T4" s="14"/>
      <c r="U4" s="14"/>
      <c r="V4" s="14"/>
      <c r="W4" s="21"/>
      <c r="X4" s="14"/>
      <c r="Y4" s="23"/>
    </row>
    <row r="5" spans="1:25" s="33" customFormat="1" x14ac:dyDescent="0.3">
      <c r="A5" s="27"/>
      <c r="B5" s="28"/>
      <c r="C5" s="28"/>
      <c r="D5" s="29"/>
      <c r="E5" s="29"/>
      <c r="F5" s="29"/>
      <c r="G5" s="28"/>
      <c r="H5" s="30"/>
      <c r="I5" s="29"/>
      <c r="J5" s="28"/>
      <c r="K5" s="30"/>
      <c r="L5" s="30"/>
      <c r="M5" s="29"/>
      <c r="N5" s="29"/>
      <c r="O5" s="31"/>
      <c r="P5" s="35"/>
      <c r="Q5" s="36"/>
      <c r="R5" s="31"/>
      <c r="S5" s="31"/>
      <c r="T5" s="31"/>
      <c r="U5" s="31"/>
      <c r="V5" s="31"/>
      <c r="W5" s="32"/>
      <c r="X5" s="14"/>
      <c r="Y5" s="29"/>
    </row>
    <row r="6" spans="1:25" s="33" customFormat="1" x14ac:dyDescent="0.3">
      <c r="B6" s="28"/>
      <c r="C6" s="28"/>
      <c r="D6" s="29"/>
      <c r="E6" s="29"/>
      <c r="F6" s="29"/>
      <c r="G6" s="28"/>
      <c r="H6" s="30"/>
      <c r="I6" s="29"/>
      <c r="J6" s="28"/>
      <c r="K6" s="30"/>
      <c r="L6" s="30"/>
      <c r="M6" s="29"/>
      <c r="N6" s="29"/>
      <c r="O6" s="31"/>
      <c r="P6" s="35"/>
      <c r="Q6" s="36"/>
      <c r="R6" s="31"/>
      <c r="S6" s="31"/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28"/>
      <c r="D7" s="29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28"/>
      <c r="D8" s="29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28"/>
      <c r="D9" s="29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51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0</v>
      </c>
      <c r="P49" s="14">
        <f t="shared" ref="P49:W49" si="0">SUM(P4:P48)</f>
        <v>0</v>
      </c>
      <c r="Q49" s="14">
        <f t="shared" si="0"/>
        <v>0</v>
      </c>
      <c r="R49" s="14">
        <f t="shared" si="0"/>
        <v>9983340</v>
      </c>
      <c r="S49" s="14">
        <f t="shared" si="0"/>
        <v>9983340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 t="shared" si="0"/>
        <v>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B246-1BCC-4F83-B5A7-2D8504CA381B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52</v>
      </c>
      <c r="F3" s="41" t="s">
        <v>3</v>
      </c>
      <c r="G3" s="41" t="s">
        <v>54</v>
      </c>
      <c r="H3" s="42" t="s">
        <v>55</v>
      </c>
      <c r="I3" s="41" t="s">
        <v>53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100</v>
      </c>
      <c r="R3" s="44" t="s">
        <v>57</v>
      </c>
      <c r="S3" s="44" t="s">
        <v>56</v>
      </c>
      <c r="T3" s="44" t="s">
        <v>58</v>
      </c>
      <c r="U3" s="44" t="s">
        <v>59</v>
      </c>
      <c r="V3" s="44" t="s">
        <v>60</v>
      </c>
      <c r="W3" s="44" t="s">
        <v>11</v>
      </c>
      <c r="X3" s="44" t="s">
        <v>12</v>
      </c>
      <c r="Y3" s="46" t="s">
        <v>13</v>
      </c>
    </row>
    <row r="4" spans="1:25" s="1" customFormat="1" x14ac:dyDescent="0.3">
      <c r="B4" s="9">
        <v>1</v>
      </c>
      <c r="C4" s="9" t="s">
        <v>14</v>
      </c>
      <c r="D4" s="10" t="s">
        <v>69</v>
      </c>
      <c r="E4" s="10"/>
      <c r="F4" s="10"/>
      <c r="G4" s="9"/>
      <c r="H4" s="11"/>
      <c r="I4" s="10"/>
      <c r="J4" s="9"/>
      <c r="K4" s="11"/>
      <c r="L4" s="11"/>
      <c r="M4" s="11"/>
      <c r="N4" s="10"/>
      <c r="O4" s="12"/>
      <c r="P4" s="12"/>
      <c r="Q4" s="12"/>
      <c r="R4" s="12"/>
      <c r="S4" s="12"/>
      <c r="T4" s="12"/>
      <c r="U4" s="12"/>
      <c r="V4" s="12"/>
      <c r="W4" s="12"/>
      <c r="X4" s="52"/>
      <c r="Y4" s="23"/>
    </row>
    <row r="5" spans="1:25" s="33" customFormat="1" x14ac:dyDescent="0.3">
      <c r="A5" s="27"/>
      <c r="B5" s="28"/>
      <c r="C5" s="28"/>
      <c r="D5" s="29"/>
      <c r="E5" s="29"/>
      <c r="F5" s="29"/>
      <c r="G5" s="28"/>
      <c r="H5" s="30"/>
      <c r="I5" s="29"/>
      <c r="J5" s="28"/>
      <c r="K5" s="30"/>
      <c r="L5" s="30"/>
      <c r="M5" s="29"/>
      <c r="N5" s="29"/>
      <c r="O5" s="31"/>
      <c r="P5" s="35"/>
      <c r="Q5" s="36"/>
      <c r="R5" s="31"/>
      <c r="S5" s="31"/>
      <c r="T5" s="31"/>
      <c r="U5" s="31"/>
      <c r="V5" s="31"/>
      <c r="W5" s="32"/>
      <c r="X5" s="14"/>
      <c r="Y5" s="29"/>
    </row>
    <row r="6" spans="1:25" s="33" customFormat="1" x14ac:dyDescent="0.3">
      <c r="B6" s="28"/>
      <c r="C6" s="28"/>
      <c r="D6" s="29"/>
      <c r="E6" s="29"/>
      <c r="F6" s="29"/>
      <c r="G6" s="28"/>
      <c r="H6" s="30"/>
      <c r="I6" s="29"/>
      <c r="J6" s="28"/>
      <c r="K6" s="30"/>
      <c r="L6" s="30"/>
      <c r="M6" s="29"/>
      <c r="N6" s="29"/>
      <c r="O6" s="31"/>
      <c r="P6" s="35"/>
      <c r="Q6" s="36"/>
      <c r="R6" s="31"/>
      <c r="S6" s="31"/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28"/>
      <c r="D7" s="29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28"/>
      <c r="D8" s="29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28"/>
      <c r="D9" s="29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51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0</v>
      </c>
      <c r="P49" s="14">
        <f t="shared" ref="P49:W49" si="0">SUM(P4:P48)</f>
        <v>0</v>
      </c>
      <c r="Q49" s="14">
        <f t="shared" si="0"/>
        <v>0</v>
      </c>
      <c r="R49" s="14">
        <f t="shared" si="0"/>
        <v>0</v>
      </c>
      <c r="S49" s="14">
        <f t="shared" si="0"/>
        <v>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 t="shared" si="0"/>
        <v>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5FAD-5511-4E93-B2E2-12B511038C15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52</v>
      </c>
      <c r="F3" s="41" t="s">
        <v>3</v>
      </c>
      <c r="G3" s="41" t="s">
        <v>54</v>
      </c>
      <c r="H3" s="42" t="s">
        <v>55</v>
      </c>
      <c r="I3" s="41" t="s">
        <v>53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100</v>
      </c>
      <c r="R3" s="44" t="s">
        <v>57</v>
      </c>
      <c r="S3" s="44" t="s">
        <v>56</v>
      </c>
      <c r="T3" s="44" t="s">
        <v>58</v>
      </c>
      <c r="U3" s="44" t="s">
        <v>59</v>
      </c>
      <c r="V3" s="44" t="s">
        <v>60</v>
      </c>
      <c r="W3" s="44" t="s">
        <v>11</v>
      </c>
      <c r="X3" s="44" t="s">
        <v>12</v>
      </c>
      <c r="Y3" s="46" t="s">
        <v>13</v>
      </c>
    </row>
    <row r="4" spans="1:25" s="1" customFormat="1" x14ac:dyDescent="0.3">
      <c r="B4" s="9">
        <v>1</v>
      </c>
      <c r="C4" s="9" t="s">
        <v>14</v>
      </c>
      <c r="D4" s="10" t="s">
        <v>71</v>
      </c>
      <c r="E4" s="10"/>
      <c r="F4" s="10"/>
      <c r="G4" s="9"/>
      <c r="H4" s="11"/>
      <c r="I4" s="10"/>
      <c r="J4" s="9"/>
      <c r="K4" s="11"/>
      <c r="L4" s="11"/>
      <c r="M4" s="11"/>
      <c r="N4" s="10"/>
      <c r="O4" s="12"/>
      <c r="P4" s="12"/>
      <c r="Q4" s="12"/>
      <c r="R4" s="12"/>
      <c r="S4" s="12"/>
      <c r="T4" s="12"/>
      <c r="U4" s="12"/>
      <c r="V4" s="12"/>
      <c r="W4" s="12"/>
      <c r="X4" s="52"/>
      <c r="Y4" s="23"/>
    </row>
    <row r="5" spans="1:25" s="33" customFormat="1" x14ac:dyDescent="0.3">
      <c r="A5" s="27"/>
      <c r="B5" s="28"/>
      <c r="C5" s="28"/>
      <c r="D5" s="29"/>
      <c r="E5" s="29"/>
      <c r="F5" s="29"/>
      <c r="G5" s="28"/>
      <c r="H5" s="30"/>
      <c r="I5" s="29"/>
      <c r="J5" s="28"/>
      <c r="K5" s="30"/>
      <c r="L5" s="30"/>
      <c r="M5" s="29"/>
      <c r="N5" s="29"/>
      <c r="O5" s="31"/>
      <c r="P5" s="35"/>
      <c r="Q5" s="36"/>
      <c r="R5" s="31"/>
      <c r="S5" s="31"/>
      <c r="T5" s="31"/>
      <c r="U5" s="31"/>
      <c r="V5" s="31"/>
      <c r="W5" s="32"/>
      <c r="X5" s="14"/>
      <c r="Y5" s="29"/>
    </row>
    <row r="6" spans="1:25" s="33" customFormat="1" x14ac:dyDescent="0.3">
      <c r="B6" s="28"/>
      <c r="C6" s="28"/>
      <c r="D6" s="29"/>
      <c r="E6" s="29"/>
      <c r="F6" s="29"/>
      <c r="G6" s="28"/>
      <c r="H6" s="30"/>
      <c r="I6" s="29"/>
      <c r="J6" s="28"/>
      <c r="K6" s="30"/>
      <c r="L6" s="30"/>
      <c r="M6" s="29"/>
      <c r="N6" s="29"/>
      <c r="O6" s="31"/>
      <c r="P6" s="35"/>
      <c r="Q6" s="36"/>
      <c r="R6" s="31"/>
      <c r="S6" s="31"/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28"/>
      <c r="D7" s="29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28"/>
      <c r="D8" s="29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28"/>
      <c r="D9" s="29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51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0</v>
      </c>
      <c r="P49" s="14">
        <f t="shared" ref="P49:W49" si="0">SUM(P4:P48)</f>
        <v>0</v>
      </c>
      <c r="Q49" s="14">
        <f t="shared" si="0"/>
        <v>0</v>
      </c>
      <c r="R49" s="14">
        <f t="shared" si="0"/>
        <v>0</v>
      </c>
      <c r="S49" s="14">
        <f t="shared" si="0"/>
        <v>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 t="shared" si="0"/>
        <v>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52</v>
      </c>
      <c r="F3" s="41" t="s">
        <v>3</v>
      </c>
      <c r="G3" s="41" t="s">
        <v>54</v>
      </c>
      <c r="H3" s="42" t="s">
        <v>55</v>
      </c>
      <c r="I3" s="41" t="s">
        <v>53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100</v>
      </c>
      <c r="R3" s="44" t="s">
        <v>57</v>
      </c>
      <c r="S3" s="44" t="s">
        <v>56</v>
      </c>
      <c r="T3" s="44" t="s">
        <v>58</v>
      </c>
      <c r="U3" s="44" t="s">
        <v>59</v>
      </c>
      <c r="V3" s="44" t="s">
        <v>60</v>
      </c>
      <c r="W3" s="44" t="s">
        <v>11</v>
      </c>
      <c r="X3" s="44" t="s">
        <v>12</v>
      </c>
      <c r="Y3" s="46" t="s">
        <v>13</v>
      </c>
    </row>
    <row r="4" spans="1:25" s="1" customFormat="1" ht="33" x14ac:dyDescent="0.3">
      <c r="B4" s="9">
        <v>1</v>
      </c>
      <c r="C4" s="9" t="s">
        <v>14</v>
      </c>
      <c r="D4" s="10" t="s">
        <v>73</v>
      </c>
      <c r="E4" s="10"/>
      <c r="F4" s="10"/>
      <c r="G4" s="9">
        <v>240611</v>
      </c>
      <c r="H4" s="11" t="s">
        <v>76</v>
      </c>
      <c r="I4" s="10" t="s">
        <v>74</v>
      </c>
      <c r="J4" s="9"/>
      <c r="K4" s="11"/>
      <c r="L4" s="11"/>
      <c r="M4" s="11" t="s">
        <v>78</v>
      </c>
      <c r="N4" s="10"/>
      <c r="O4" s="12">
        <v>189000000</v>
      </c>
      <c r="P4" s="12">
        <v>189000000</v>
      </c>
      <c r="Q4" s="16">
        <v>0</v>
      </c>
      <c r="R4" s="12">
        <v>189000000</v>
      </c>
      <c r="S4" s="12">
        <v>189000000</v>
      </c>
      <c r="T4" s="14"/>
      <c r="U4" s="14"/>
      <c r="V4" s="14"/>
      <c r="W4" s="21">
        <v>81000000</v>
      </c>
      <c r="X4" s="52">
        <f>P4-W4</f>
        <v>108000000</v>
      </c>
      <c r="Y4" s="23"/>
    </row>
    <row r="5" spans="1:25" s="33" customFormat="1" ht="33" x14ac:dyDescent="0.3">
      <c r="A5" s="27"/>
      <c r="B5" s="47">
        <v>2</v>
      </c>
      <c r="C5" s="9" t="s">
        <v>14</v>
      </c>
      <c r="D5" s="10" t="s">
        <v>72</v>
      </c>
      <c r="E5" s="48">
        <v>202406241</v>
      </c>
      <c r="F5" s="48"/>
      <c r="G5" s="47">
        <v>240829</v>
      </c>
      <c r="H5" s="49" t="s">
        <v>77</v>
      </c>
      <c r="I5" s="48" t="s">
        <v>75</v>
      </c>
      <c r="J5" s="47"/>
      <c r="K5" s="49"/>
      <c r="L5" s="49"/>
      <c r="M5" s="48" t="s">
        <v>79</v>
      </c>
      <c r="N5" s="48"/>
      <c r="O5" s="35">
        <v>98000000</v>
      </c>
      <c r="P5" s="35">
        <v>98000000</v>
      </c>
      <c r="Q5" s="36">
        <v>0</v>
      </c>
      <c r="R5" s="35">
        <v>98000000</v>
      </c>
      <c r="S5" s="35">
        <v>98000000</v>
      </c>
      <c r="T5" s="35"/>
      <c r="U5" s="35"/>
      <c r="V5" s="35"/>
      <c r="W5" s="35">
        <v>42000000</v>
      </c>
      <c r="X5" s="52">
        <f>P5-W5</f>
        <v>56000000</v>
      </c>
      <c r="Y5" s="29"/>
    </row>
    <row r="6" spans="1:25" s="33" customFormat="1" ht="33" x14ac:dyDescent="0.3">
      <c r="B6" s="28">
        <v>3</v>
      </c>
      <c r="C6" s="17" t="s">
        <v>14</v>
      </c>
      <c r="D6" s="18" t="s">
        <v>73</v>
      </c>
      <c r="E6" s="29">
        <v>2024121901</v>
      </c>
      <c r="F6" s="29"/>
      <c r="G6" s="28">
        <v>241219</v>
      </c>
      <c r="H6" s="30" t="s">
        <v>80</v>
      </c>
      <c r="I6" s="29"/>
      <c r="J6" s="28"/>
      <c r="K6" s="30"/>
      <c r="L6" s="30"/>
      <c r="M6" s="29" t="s">
        <v>81</v>
      </c>
      <c r="N6" s="29"/>
      <c r="O6" s="31"/>
      <c r="P6" s="35"/>
      <c r="Q6" s="36"/>
      <c r="R6" s="31">
        <v>70000000</v>
      </c>
      <c r="S6" s="31">
        <v>70000000</v>
      </c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17"/>
      <c r="D7" s="18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17"/>
      <c r="D8" s="18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17"/>
      <c r="D9" s="18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51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287000000</v>
      </c>
      <c r="P49" s="14">
        <f t="shared" ref="P49:W49" si="0">SUM(P4:P48)</f>
        <v>287000000</v>
      </c>
      <c r="Q49" s="14">
        <f t="shared" si="0"/>
        <v>0</v>
      </c>
      <c r="R49" s="14">
        <f t="shared" si="0"/>
        <v>357000000</v>
      </c>
      <c r="S49" s="14">
        <f t="shared" si="0"/>
        <v>357000000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 t="shared" si="0"/>
        <v>123000000</v>
      </c>
      <c r="X49" s="14">
        <f>SUM(X4:X48)</f>
        <v>164000000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BAE6-8B57-4521-824C-B51F99C6926F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52</v>
      </c>
      <c r="F3" s="41" t="s">
        <v>3</v>
      </c>
      <c r="G3" s="41" t="s">
        <v>54</v>
      </c>
      <c r="H3" s="42" t="s">
        <v>55</v>
      </c>
      <c r="I3" s="41" t="s">
        <v>53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100</v>
      </c>
      <c r="R3" s="44" t="s">
        <v>57</v>
      </c>
      <c r="S3" s="44" t="s">
        <v>56</v>
      </c>
      <c r="T3" s="44" t="s">
        <v>58</v>
      </c>
      <c r="U3" s="44" t="s">
        <v>59</v>
      </c>
      <c r="V3" s="44" t="s">
        <v>60</v>
      </c>
      <c r="W3" s="44" t="s">
        <v>11</v>
      </c>
      <c r="X3" s="44" t="s">
        <v>12</v>
      </c>
      <c r="Y3" s="46" t="s">
        <v>13</v>
      </c>
    </row>
    <row r="4" spans="1:25" s="1" customFormat="1" x14ac:dyDescent="0.3">
      <c r="B4" s="17">
        <v>1</v>
      </c>
      <c r="C4" s="17" t="s">
        <v>14</v>
      </c>
      <c r="D4" s="18" t="s">
        <v>83</v>
      </c>
      <c r="E4" s="18"/>
      <c r="F4" s="18"/>
      <c r="G4" s="17"/>
      <c r="H4" s="20"/>
      <c r="I4" s="18"/>
      <c r="J4" s="17"/>
      <c r="K4" s="20"/>
      <c r="L4" s="20"/>
      <c r="M4" s="20"/>
      <c r="N4" s="18"/>
      <c r="O4" s="14"/>
      <c r="P4" s="12"/>
      <c r="Q4" s="16"/>
      <c r="R4" s="14"/>
      <c r="S4" s="14"/>
      <c r="T4" s="14"/>
      <c r="U4" s="14"/>
      <c r="V4" s="14"/>
      <c r="W4" s="21"/>
      <c r="X4" s="14"/>
      <c r="Y4" s="23"/>
    </row>
    <row r="5" spans="1:25" s="33" customFormat="1" x14ac:dyDescent="0.3">
      <c r="A5" s="27"/>
      <c r="B5" s="28"/>
      <c r="C5" s="28"/>
      <c r="D5" s="29"/>
      <c r="E5" s="29"/>
      <c r="F5" s="29"/>
      <c r="G5" s="28"/>
      <c r="H5" s="30"/>
      <c r="I5" s="29"/>
      <c r="J5" s="28"/>
      <c r="K5" s="30"/>
      <c r="L5" s="30"/>
      <c r="M5" s="29"/>
      <c r="N5" s="29"/>
      <c r="O5" s="31"/>
      <c r="P5" s="35"/>
      <c r="Q5" s="36"/>
      <c r="R5" s="31"/>
      <c r="S5" s="31"/>
      <c r="T5" s="31"/>
      <c r="U5" s="31"/>
      <c r="V5" s="31"/>
      <c r="W5" s="32"/>
      <c r="X5" s="14"/>
      <c r="Y5" s="29"/>
    </row>
    <row r="6" spans="1:25" s="33" customFormat="1" x14ac:dyDescent="0.3">
      <c r="B6" s="28"/>
      <c r="C6" s="28"/>
      <c r="D6" s="29"/>
      <c r="E6" s="29"/>
      <c r="F6" s="29"/>
      <c r="G6" s="28"/>
      <c r="H6" s="30"/>
      <c r="I6" s="29"/>
      <c r="J6" s="28"/>
      <c r="K6" s="30"/>
      <c r="L6" s="30"/>
      <c r="M6" s="29"/>
      <c r="N6" s="29"/>
      <c r="O6" s="31"/>
      <c r="P6" s="35"/>
      <c r="Q6" s="36"/>
      <c r="R6" s="31"/>
      <c r="S6" s="31"/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28"/>
      <c r="D7" s="29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28"/>
      <c r="D8" s="29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28"/>
      <c r="D9" s="29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51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0</v>
      </c>
      <c r="P49" s="14">
        <f t="shared" ref="P49:W49" si="0">SUM(P4:P48)</f>
        <v>0</v>
      </c>
      <c r="Q49" s="14">
        <f t="shared" si="0"/>
        <v>0</v>
      </c>
      <c r="R49" s="14">
        <f t="shared" si="0"/>
        <v>0</v>
      </c>
      <c r="S49" s="14">
        <f t="shared" si="0"/>
        <v>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 t="shared" si="0"/>
        <v>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219A-8875-43C0-B608-32C20B5D520E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52</v>
      </c>
      <c r="F3" s="41" t="s">
        <v>3</v>
      </c>
      <c r="G3" s="41" t="s">
        <v>54</v>
      </c>
      <c r="H3" s="42" t="s">
        <v>55</v>
      </c>
      <c r="I3" s="41" t="s">
        <v>53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100</v>
      </c>
      <c r="R3" s="44" t="s">
        <v>57</v>
      </c>
      <c r="S3" s="44" t="s">
        <v>56</v>
      </c>
      <c r="T3" s="44" t="s">
        <v>58</v>
      </c>
      <c r="U3" s="44" t="s">
        <v>59</v>
      </c>
      <c r="V3" s="44" t="s">
        <v>60</v>
      </c>
      <c r="W3" s="44" t="s">
        <v>11</v>
      </c>
      <c r="X3" s="44" t="s">
        <v>12</v>
      </c>
      <c r="Y3" s="46" t="s">
        <v>13</v>
      </c>
    </row>
    <row r="4" spans="1:25" s="1" customFormat="1" x14ac:dyDescent="0.3">
      <c r="B4" s="17">
        <v>1</v>
      </c>
      <c r="C4" s="17" t="s">
        <v>14</v>
      </c>
      <c r="D4" s="18" t="s">
        <v>85</v>
      </c>
      <c r="E4" s="18"/>
      <c r="F4" s="18"/>
      <c r="G4" s="17"/>
      <c r="H4" s="20"/>
      <c r="I4" s="18"/>
      <c r="J4" s="17"/>
      <c r="K4" s="20"/>
      <c r="L4" s="20"/>
      <c r="M4" s="18"/>
      <c r="N4" s="18"/>
      <c r="O4" s="14"/>
      <c r="P4" s="12"/>
      <c r="Q4" s="16"/>
      <c r="R4" s="14"/>
      <c r="S4" s="14"/>
      <c r="T4" s="14"/>
      <c r="U4" s="14"/>
      <c r="V4" s="14"/>
      <c r="W4" s="21"/>
      <c r="X4" s="14"/>
      <c r="Y4" s="23"/>
    </row>
    <row r="5" spans="1:25" s="33" customFormat="1" x14ac:dyDescent="0.3">
      <c r="A5" s="27"/>
      <c r="B5" s="28"/>
      <c r="C5" s="28"/>
      <c r="D5" s="29"/>
      <c r="E5" s="29"/>
      <c r="F5" s="29"/>
      <c r="G5" s="28"/>
      <c r="H5" s="30"/>
      <c r="I5" s="29"/>
      <c r="J5" s="28"/>
      <c r="K5" s="30"/>
      <c r="L5" s="30"/>
      <c r="M5" s="29"/>
      <c r="N5" s="29"/>
      <c r="O5" s="31"/>
      <c r="P5" s="35"/>
      <c r="Q5" s="36"/>
      <c r="R5" s="31"/>
      <c r="S5" s="31"/>
      <c r="T5" s="31"/>
      <c r="U5" s="31"/>
      <c r="V5" s="31"/>
      <c r="W5" s="32"/>
      <c r="X5" s="14"/>
      <c r="Y5" s="29"/>
    </row>
    <row r="6" spans="1:25" s="33" customFormat="1" x14ac:dyDescent="0.3">
      <c r="B6" s="28"/>
      <c r="C6" s="28"/>
      <c r="D6" s="29"/>
      <c r="E6" s="29"/>
      <c r="F6" s="29"/>
      <c r="G6" s="28"/>
      <c r="H6" s="30"/>
      <c r="I6" s="29"/>
      <c r="J6" s="28"/>
      <c r="K6" s="30"/>
      <c r="L6" s="30"/>
      <c r="M6" s="29"/>
      <c r="N6" s="29"/>
      <c r="O6" s="31"/>
      <c r="P6" s="35"/>
      <c r="Q6" s="36"/>
      <c r="R6" s="31"/>
      <c r="S6" s="31"/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28"/>
      <c r="D7" s="29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28"/>
      <c r="D8" s="29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28"/>
      <c r="D9" s="29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51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0</v>
      </c>
      <c r="P49" s="14">
        <f t="shared" ref="P49:W49" si="0">SUM(P4:P48)</f>
        <v>0</v>
      </c>
      <c r="Q49" s="14">
        <f t="shared" si="0"/>
        <v>0</v>
      </c>
      <c r="R49" s="14">
        <f t="shared" si="0"/>
        <v>0</v>
      </c>
      <c r="S49" s="14">
        <f t="shared" si="0"/>
        <v>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 t="shared" si="0"/>
        <v>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21B7-FC21-4560-A5FE-0B989373C56D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52</v>
      </c>
      <c r="F3" s="41" t="s">
        <v>3</v>
      </c>
      <c r="G3" s="41" t="s">
        <v>54</v>
      </c>
      <c r="H3" s="42" t="s">
        <v>55</v>
      </c>
      <c r="I3" s="41" t="s">
        <v>53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100</v>
      </c>
      <c r="R3" s="44" t="s">
        <v>57</v>
      </c>
      <c r="S3" s="44" t="s">
        <v>56</v>
      </c>
      <c r="T3" s="44" t="s">
        <v>58</v>
      </c>
      <c r="U3" s="44" t="s">
        <v>59</v>
      </c>
      <c r="V3" s="44" t="s">
        <v>60</v>
      </c>
      <c r="W3" s="44" t="s">
        <v>11</v>
      </c>
      <c r="X3" s="44" t="s">
        <v>12</v>
      </c>
      <c r="Y3" s="46" t="s">
        <v>13</v>
      </c>
    </row>
    <row r="4" spans="1:25" s="1" customFormat="1" x14ac:dyDescent="0.3">
      <c r="B4" s="17">
        <v>1</v>
      </c>
      <c r="C4" s="17" t="s">
        <v>14</v>
      </c>
      <c r="D4" s="18" t="s">
        <v>87</v>
      </c>
      <c r="E4" s="18"/>
      <c r="F4" s="18"/>
      <c r="G4" s="17"/>
      <c r="H4" s="20"/>
      <c r="I4" s="18"/>
      <c r="J4" s="17"/>
      <c r="K4" s="20"/>
      <c r="L4" s="20"/>
      <c r="M4" s="18"/>
      <c r="N4" s="18"/>
      <c r="O4" s="14"/>
      <c r="P4" s="12"/>
      <c r="Q4" s="16"/>
      <c r="R4" s="14"/>
      <c r="S4" s="14"/>
      <c r="T4" s="14"/>
      <c r="U4" s="14"/>
      <c r="V4" s="14"/>
      <c r="W4" s="21"/>
      <c r="X4" s="14"/>
      <c r="Y4" s="23"/>
    </row>
    <row r="5" spans="1:25" s="33" customFormat="1" x14ac:dyDescent="0.3">
      <c r="A5" s="27"/>
      <c r="B5" s="28"/>
      <c r="C5" s="28"/>
      <c r="D5" s="29"/>
      <c r="E5" s="29"/>
      <c r="F5" s="29"/>
      <c r="G5" s="28"/>
      <c r="H5" s="30"/>
      <c r="I5" s="29"/>
      <c r="J5" s="28"/>
      <c r="K5" s="30"/>
      <c r="L5" s="30"/>
      <c r="M5" s="29"/>
      <c r="N5" s="29"/>
      <c r="O5" s="31"/>
      <c r="P5" s="35"/>
      <c r="Q5" s="36"/>
      <c r="R5" s="31"/>
      <c r="S5" s="31"/>
      <c r="T5" s="31"/>
      <c r="U5" s="31"/>
      <c r="V5" s="31"/>
      <c r="W5" s="32"/>
      <c r="X5" s="14"/>
      <c r="Y5" s="29"/>
    </row>
    <row r="6" spans="1:25" s="33" customFormat="1" x14ac:dyDescent="0.3">
      <c r="B6" s="28"/>
      <c r="C6" s="28"/>
      <c r="D6" s="29"/>
      <c r="E6" s="29"/>
      <c r="F6" s="29"/>
      <c r="G6" s="28"/>
      <c r="H6" s="30"/>
      <c r="I6" s="29"/>
      <c r="J6" s="28"/>
      <c r="K6" s="30"/>
      <c r="L6" s="30"/>
      <c r="M6" s="29"/>
      <c r="N6" s="29"/>
      <c r="O6" s="31"/>
      <c r="P6" s="35"/>
      <c r="Q6" s="36"/>
      <c r="R6" s="31"/>
      <c r="S6" s="31"/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28"/>
      <c r="D7" s="29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28"/>
      <c r="D8" s="29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28"/>
      <c r="D9" s="29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51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0</v>
      </c>
      <c r="P49" s="14">
        <f t="shared" ref="P49:W49" si="0">SUM(P4:P48)</f>
        <v>0</v>
      </c>
      <c r="Q49" s="14">
        <f t="shared" si="0"/>
        <v>0</v>
      </c>
      <c r="R49" s="14">
        <f t="shared" si="0"/>
        <v>0</v>
      </c>
      <c r="S49" s="14">
        <f t="shared" si="0"/>
        <v>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 t="shared" si="0"/>
        <v>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52</v>
      </c>
      <c r="F3" s="41" t="s">
        <v>3</v>
      </c>
      <c r="G3" s="41" t="s">
        <v>54</v>
      </c>
      <c r="H3" s="42" t="s">
        <v>55</v>
      </c>
      <c r="I3" s="41" t="s">
        <v>53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100</v>
      </c>
      <c r="R3" s="44" t="s">
        <v>57</v>
      </c>
      <c r="S3" s="44" t="s">
        <v>56</v>
      </c>
      <c r="T3" s="44" t="s">
        <v>58</v>
      </c>
      <c r="U3" s="44" t="s">
        <v>59</v>
      </c>
      <c r="V3" s="44" t="s">
        <v>60</v>
      </c>
      <c r="W3" s="44" t="s">
        <v>11</v>
      </c>
      <c r="X3" s="44" t="s">
        <v>12</v>
      </c>
      <c r="Y3" s="46" t="s">
        <v>13</v>
      </c>
    </row>
    <row r="4" spans="1:25" s="1" customFormat="1" x14ac:dyDescent="0.3">
      <c r="B4" s="17">
        <v>1</v>
      </c>
      <c r="C4" s="17" t="s">
        <v>14</v>
      </c>
      <c r="D4" s="18" t="s">
        <v>88</v>
      </c>
      <c r="E4" s="18"/>
      <c r="F4" s="18"/>
      <c r="G4" s="17"/>
      <c r="H4" s="20"/>
      <c r="I4" s="18"/>
      <c r="J4" s="17"/>
      <c r="K4" s="20"/>
      <c r="L4" s="20"/>
      <c r="M4" s="18"/>
      <c r="N4" s="18"/>
      <c r="O4" s="14"/>
      <c r="P4" s="12"/>
      <c r="Q4" s="16"/>
      <c r="R4" s="14"/>
      <c r="S4" s="14"/>
      <c r="T4" s="14"/>
      <c r="U4" s="14"/>
      <c r="V4" s="14"/>
      <c r="W4" s="21"/>
      <c r="X4" s="14"/>
      <c r="Y4" s="23"/>
    </row>
    <row r="5" spans="1:25" s="33" customFormat="1" x14ac:dyDescent="0.3">
      <c r="A5" s="27"/>
      <c r="B5" s="28"/>
      <c r="C5" s="28"/>
      <c r="D5" s="29"/>
      <c r="E5" s="29"/>
      <c r="F5" s="29"/>
      <c r="G5" s="28"/>
      <c r="H5" s="30"/>
      <c r="I5" s="29"/>
      <c r="J5" s="28"/>
      <c r="K5" s="30"/>
      <c r="L5" s="30"/>
      <c r="M5" s="29"/>
      <c r="N5" s="29"/>
      <c r="O5" s="31"/>
      <c r="P5" s="35"/>
      <c r="Q5" s="36"/>
      <c r="R5" s="31"/>
      <c r="S5" s="31"/>
      <c r="T5" s="31"/>
      <c r="U5" s="31"/>
      <c r="V5" s="31"/>
      <c r="W5" s="32"/>
      <c r="X5" s="14"/>
      <c r="Y5" s="29"/>
    </row>
    <row r="6" spans="1:25" s="33" customFormat="1" x14ac:dyDescent="0.3">
      <c r="B6" s="28"/>
      <c r="C6" s="28"/>
      <c r="D6" s="29"/>
      <c r="E6" s="29"/>
      <c r="F6" s="29"/>
      <c r="G6" s="28"/>
      <c r="H6" s="30"/>
      <c r="I6" s="29"/>
      <c r="J6" s="28"/>
      <c r="K6" s="30"/>
      <c r="L6" s="30"/>
      <c r="M6" s="29"/>
      <c r="N6" s="29"/>
      <c r="O6" s="31"/>
      <c r="P6" s="35"/>
      <c r="Q6" s="36"/>
      <c r="R6" s="31"/>
      <c r="S6" s="31"/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28"/>
      <c r="D7" s="29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28"/>
      <c r="D8" s="29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28"/>
      <c r="D9" s="29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51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0</v>
      </c>
      <c r="P49" s="14">
        <f t="shared" ref="P49:W49" si="0">SUM(P4:P48)</f>
        <v>0</v>
      </c>
      <c r="Q49" s="14">
        <f t="shared" si="0"/>
        <v>0</v>
      </c>
      <c r="R49" s="14">
        <f t="shared" si="0"/>
        <v>0</v>
      </c>
      <c r="S49" s="14">
        <f t="shared" si="0"/>
        <v>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 t="shared" si="0"/>
        <v>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Total</vt:lpstr>
      <vt:lpstr>1.지아이씨</vt:lpstr>
      <vt:lpstr>2.김포골드라인</vt:lpstr>
      <vt:lpstr>3.서울교통공사</vt:lpstr>
      <vt:lpstr>4.현대로템</vt:lpstr>
      <vt:lpstr>5.실리콘큐브</vt:lpstr>
      <vt:lpstr>6.무한테크</vt:lpstr>
      <vt:lpstr>7.다원시스</vt:lpstr>
      <vt:lpstr>8.티랩</vt:lpstr>
      <vt:lpstr>9.마루소프트</vt:lpstr>
      <vt:lpstr>10.신진금고</vt:lpstr>
      <vt:lpstr>11.인터모빌리티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성필 최</cp:lastModifiedBy>
  <dcterms:created xsi:type="dcterms:W3CDTF">2024-12-31T06:54:11Z</dcterms:created>
  <dcterms:modified xsi:type="dcterms:W3CDTF">2025-01-06T05:17:17Z</dcterms:modified>
</cp:coreProperties>
</file>
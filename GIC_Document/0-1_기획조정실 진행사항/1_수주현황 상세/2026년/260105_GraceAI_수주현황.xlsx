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임시작업\"/>
    </mc:Choice>
  </mc:AlternateContent>
  <xr:revisionPtr revIDLastSave="0" documentId="13_ncr:1_{4DE92A81-F552-44A6-9F71-313847F38EFE}" xr6:coauthVersionLast="47" xr6:coauthVersionMax="47" xr10:uidLastSave="{00000000-0000-0000-0000-000000000000}"/>
  <bookViews>
    <workbookView xWindow="-110" yWindow="-110" windowWidth="25820" windowHeight="1550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HST_Turkey" sheetId="14" r:id="rId4"/>
    <sheet name="4.인터모빌리티" sheetId="12" r:id="rId5"/>
    <sheet name="5.GMTECH" sheetId="13" r:id="rId6"/>
    <sheet name="6.다원시스" sheetId="8" r:id="rId7"/>
    <sheet name="7.서울교통공사" sheetId="4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Q4" i="8"/>
  <c r="K4" i="8"/>
  <c r="J4" i="8"/>
  <c r="Q4" i="12"/>
  <c r="H4" i="12"/>
  <c r="H4" i="5"/>
  <c r="Q4" i="13" l="1"/>
  <c r="W34" i="14"/>
  <c r="V34" i="14"/>
  <c r="U34" i="14"/>
  <c r="T34" i="14"/>
  <c r="G6" i="1" s="1"/>
  <c r="S34" i="14"/>
  <c r="F6" i="1" s="1"/>
  <c r="R34" i="14"/>
  <c r="Q34" i="14"/>
  <c r="P34" i="14"/>
  <c r="O34" i="14"/>
  <c r="J18" i="1"/>
  <c r="I18" i="1"/>
  <c r="H18" i="1"/>
  <c r="G18" i="1"/>
  <c r="F18" i="1"/>
  <c r="E18" i="1" l="1"/>
  <c r="K18" i="1" s="1"/>
  <c r="E6" i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E12" i="1" l="1"/>
  <c r="E16" i="1"/>
  <c r="E17" i="1"/>
  <c r="E15" i="1"/>
  <c r="E14" i="1"/>
  <c r="E13" i="1"/>
  <c r="K12" i="1" l="1"/>
  <c r="W34" i="13" l="1"/>
  <c r="V34" i="13"/>
  <c r="U34" i="13"/>
  <c r="T34" i="13"/>
  <c r="G8" i="1" s="1"/>
  <c r="S34" i="13"/>
  <c r="F8" i="1" s="1"/>
  <c r="R34" i="13"/>
  <c r="Q34" i="13"/>
  <c r="J8" i="1" s="1"/>
  <c r="P34" i="13"/>
  <c r="I8" i="1" s="1"/>
  <c r="O34" i="13"/>
  <c r="H8" i="1" s="1"/>
  <c r="O34" i="2"/>
  <c r="H4" i="1" s="1"/>
  <c r="P34" i="2"/>
  <c r="I4" i="1" s="1"/>
  <c r="Q34" i="2"/>
  <c r="J4" i="1" s="1"/>
  <c r="E8" i="1" l="1"/>
  <c r="K8" i="1" s="1"/>
  <c r="W34" i="12"/>
  <c r="V34" i="12"/>
  <c r="U34" i="12"/>
  <c r="T34" i="12"/>
  <c r="G7" i="1" s="1"/>
  <c r="S34" i="12"/>
  <c r="F7" i="1" s="1"/>
  <c r="R34" i="12"/>
  <c r="Q34" i="12"/>
  <c r="J7" i="1" s="1"/>
  <c r="P34" i="12"/>
  <c r="I7" i="1" s="1"/>
  <c r="O34" i="12"/>
  <c r="H7" i="1" s="1"/>
  <c r="E7" i="1" l="1"/>
  <c r="K7" i="1" s="1"/>
  <c r="K16" i="1"/>
  <c r="K17" i="1"/>
  <c r="W34" i="8"/>
  <c r="V34" i="8"/>
  <c r="U34" i="8"/>
  <c r="T34" i="8"/>
  <c r="G9" i="1" s="1"/>
  <c r="S34" i="8"/>
  <c r="F9" i="1" s="1"/>
  <c r="R34" i="8"/>
  <c r="Q34" i="8"/>
  <c r="J9" i="1" s="1"/>
  <c r="P34" i="8"/>
  <c r="I9" i="1" s="1"/>
  <c r="O34" i="8"/>
  <c r="H9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10" i="1" s="1"/>
  <c r="S34" i="4"/>
  <c r="F10" i="1" s="1"/>
  <c r="R34" i="4"/>
  <c r="Q34" i="4"/>
  <c r="J10" i="1" s="1"/>
  <c r="P34" i="4"/>
  <c r="I10" i="1" s="1"/>
  <c r="O34" i="4"/>
  <c r="H10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10" i="1"/>
  <c r="K10" i="1" s="1"/>
  <c r="E9" i="1"/>
  <c r="K9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<sst xmlns="http://schemas.openxmlformats.org/spreadsheetml/2006/main" count="340" uniqueCount="121">
  <si>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</si>
  <si>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</si>
  <si>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</si>
  <si>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</si>
  <si>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</si>
  <si>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</si>
  <si>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</si>
  <si>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</si>
  <si>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</si>
  <si>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</si>
  <si>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</si>
  <si>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</si>
  <si>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</si>
  <si>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</si>
  <si>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</si>
  <si>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</si>
  <si>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</si>
  <si>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</si>
  <si>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</si>
  <si>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</si>
  <si>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</si>
  <si>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</si>
  <si>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</si>
  <si>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</si>
  <si>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</si>
  <si>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</si>
  <si>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</si>
  <si>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</si>
  <si>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</si>
  <si>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</si>
  <si>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</si>
  <si>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</si>
  <si>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</si>
  <si>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</si>
  <si>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</si>
  <si>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</si>
  <si>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</si>
  <si>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</si>
  <si>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</si>
  <si>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</si>
  <si>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</si>
  <si>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</si>
  <si>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</si>
  <si>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</si>
  <si>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</si>
  <si>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</si>
  <si>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</si>
  <si>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</si>
  <si>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</si>
  <si>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</si>
  <si>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GMTECH</t>
    <phoneticPr fontId="3" type="noConversion"/>
  </si>
  <si>
    <t>인도네시아 경전철 차량유지보수 부품</t>
    <phoneticPr fontId="3" type="noConversion"/>
  </si>
  <si>
    <t>서울교통공사</t>
    <phoneticPr fontId="3" type="noConversion"/>
  </si>
  <si>
    <t>DWE-2024-AUG-29-001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</si>
  <si>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</si>
  <si>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</si>
  <si>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</si>
  <si>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기타</t>
    <phoneticPr fontId="3" type="noConversion"/>
  </si>
  <si>
    <t>신역사 KTU 추가
방송소프트웨어 업데이트</t>
    <phoneticPr fontId="3" type="noConversion"/>
  </si>
  <si>
    <t>인도네시아</t>
    <phoneticPr fontId="3" type="noConversion"/>
  </si>
  <si>
    <t>대한민국</t>
    <phoneticPr fontId="3" type="noConversion"/>
  </si>
  <si>
    <t>위플랫</t>
    <phoneticPr fontId="3" type="noConversion"/>
  </si>
  <si>
    <t>김포골드라인SRS</t>
    <phoneticPr fontId="3" type="noConversion"/>
  </si>
  <si>
    <t>고구려엔지니어링</t>
    <phoneticPr fontId="3" type="noConversion"/>
  </si>
  <si>
    <t>인도네시아</t>
  </si>
  <si>
    <t>튀르키예</t>
  </si>
  <si>
    <t>마르마라이 전동차 OPERATION PANEL</t>
  </si>
  <si>
    <t>HSJ20250516-01</t>
    <phoneticPr fontId="3" type="noConversion"/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</si>
  <si>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</si>
  <si>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</si>
  <si>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</si>
  <si>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</si>
  <si>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</si>
  <si>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</si>
  <si>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</si>
  <si>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</si>
  <si>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자카르타 경전철 TCMS 신규 개발</t>
    <phoneticPr fontId="3" type="noConversion"/>
  </si>
  <si>
    <t>2024년 수주 이월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</si>
  <si>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</si>
  <si>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</si>
  <si>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</si>
  <si>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</si>
  <si>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t>서울교통공사에서 나라장터 통한 입찰공고 준비 중 (2026년)</t>
    <phoneticPr fontId="3" type="noConversion"/>
  </si>
  <si>
    <t>HSJ20250521-02_rev.3</t>
    <phoneticPr fontId="3" type="noConversion"/>
  </si>
  <si>
    <t>20250211-01_rev.4</t>
    <phoneticPr fontId="3" type="noConversion"/>
  </si>
  <si>
    <t>OS02</t>
    <phoneticPr fontId="3" type="noConversion"/>
  </si>
  <si>
    <t>자카르타 경전철 CCTV 대체품</t>
    <phoneticPr fontId="3" type="noConversion"/>
  </si>
  <si>
    <t>자카르타 경전철 CTM 대체품</t>
    <phoneticPr fontId="3" type="noConversion"/>
  </si>
  <si>
    <t>자카르타 경전철 얘비품_DRM 등</t>
    <phoneticPr fontId="3" type="noConversion"/>
  </si>
  <si>
    <t>자카르타 경전철 예비품_MVB Board</t>
  </si>
  <si>
    <t>자기부상열차 PAPIS</t>
  </si>
  <si>
    <t>시행청 : 인천국제공항공사 / 2026년 예산 반영 예상</t>
    <phoneticPr fontId="3" type="noConversion"/>
  </si>
  <si>
    <t>수주금액 (2027년)</t>
    <phoneticPr fontId="3" type="noConversion"/>
  </si>
  <si>
    <t>SCL 333량 SALOON CAMERA</t>
    <phoneticPr fontId="3" type="noConversion"/>
  </si>
  <si>
    <t>NVR system interface</t>
    <phoneticPr fontId="3" type="noConversion"/>
  </si>
  <si>
    <t>TCL DRM 개조</t>
    <phoneticPr fontId="3" type="noConversion"/>
  </si>
  <si>
    <t>10월 22일, 10월 21일 MTR에 제안서 제출 완료</t>
  </si>
  <si>
    <t>10월 22일, GIC에서 10월 13일 MTR에 제안서 제출 완료</t>
  </si>
  <si>
    <t>12월 9일, 제안서 및 예산을 GIC에 제출하였으며, GIC에서 12월 10일 MTR로 제출하였음</t>
  </si>
  <si>
    <t>견적기한 만료 / 재견적 필요</t>
    <phoneticPr fontId="3" type="noConversion"/>
  </si>
  <si>
    <t xml:space="preserve">   </t>
    <phoneticPr fontId="3" type="noConversion"/>
  </si>
  <si>
    <t>2026년</t>
    <phoneticPr fontId="3" type="noConversion"/>
  </si>
  <si>
    <t>2027년 이월</t>
    <phoneticPr fontId="3" type="noConversion"/>
  </si>
  <si>
    <t>튀르키예</t>
    <phoneticPr fontId="3" type="noConversion"/>
  </si>
  <si>
    <t>[터키 예니카프 68량]DOOR, MVB CONVERTER</t>
  </si>
  <si>
    <t>[터키 예니카프 68량]CCTV</t>
  </si>
  <si>
    <t>[터키 예니카프 68량]스피커 및 노이즈 센서</t>
  </si>
  <si>
    <t>[터키 예니카프 68량]방송장치 보드</t>
  </si>
  <si>
    <t>[터키 예니카프 68량]르키예 이스탄불 예니카프 예비품</t>
  </si>
  <si>
    <t>2025년 수주 이월</t>
    <phoneticPr fontId="3" type="noConversion"/>
  </si>
  <si>
    <t>2025년 수주 이월 / 250801 선금(30%) 수금 완료</t>
    <phoneticPr fontId="3" type="noConversion"/>
  </si>
  <si>
    <t>2025년 수주 이월 / 
251231 전자계약 체결(계약일 : PO 발행일 (250930) 소급 적용)</t>
    <phoneticPr fontId="3" type="noConversion"/>
  </si>
  <si>
    <t>HST</t>
    <phoneticPr fontId="3" type="noConversion"/>
  </si>
  <si>
    <t>Yenikapi istanbul Metro_Power Amp외 2종</t>
    <phoneticPr fontId="3" type="noConversion"/>
  </si>
  <si>
    <t>현대로템 예니카프 품목의 협의에 따라서 방향을 잡을 예정</t>
    <phoneticPr fontId="3" type="noConversion"/>
  </si>
  <si>
    <t>HST (튀르키예)</t>
    <phoneticPr fontId="3" type="noConversion"/>
  </si>
  <si>
    <t>2025년 수주 이월 1건 (\ 294,790,700)</t>
    <phoneticPr fontId="3" type="noConversion"/>
  </si>
  <si>
    <t>2025년 수주 이월 1건 (\ 18,312,700)</t>
    <phoneticPr fontId="3" type="noConversion"/>
  </si>
  <si>
    <t>2025년 수주 이월 1건 (\ 24,632,800)</t>
    <phoneticPr fontId="3" type="noConversion"/>
  </si>
  <si>
    <t>2024년 수주 이월 1건 (\ 56,000,000)</t>
    <phoneticPr fontId="3" type="noConversion"/>
  </si>
  <si>
    <t>미래일 및 인터콘과 제작 관련 협의 검토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</si>
</sst>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b/>
      <sz val="11"/>
      <color rgb="FF9900FF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strike/>
      <sz val="11"/>
      <color rgb="FF7030A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/>
    </xf>
    <xf numFmtId="177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2" fontId="20" fillId="0" borderId="1" xfId="0" applyNumberFormat="1" applyFont="1" applyBorder="1" applyAlignment="1">
      <alignment horizontal="center" vertical="center"/>
    </xf>
    <xf numFmtId="42" fontId="20" fillId="0" borderId="2" xfId="0" applyNumberFormat="1" applyFont="1" applyBorder="1" applyAlignment="1">
      <alignment horizontal="center" vertical="center"/>
    </xf>
    <xf numFmtId="42" fontId="20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7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08203125" bestFit="1" customWidth="1"/>
    <col min="7" max="7" width="15.75" bestFit="1" customWidth="1"/>
    <col min="8" max="9" width="16.08203125" bestFit="1" customWidth="1"/>
    <col min="10" max="10" width="14.58203125" bestFit="1" customWidth="1"/>
    <col min="11" max="11" width="10.25" bestFit="1" customWidth="1"/>
    <col min="12" max="13" width="16.08203125" customWidth="1"/>
    <col min="14" max="14" width="75.75" bestFit="1" customWidth="1"/>
  </cols>
  <sheetData>
    <row r="2" spans="2:14">
      <c r="C2" s="1"/>
      <c r="D2" s="1"/>
      <c r="E2" s="73" t="s">
        <v>41</v>
      </c>
      <c r="F2" s="78"/>
      <c r="G2" s="79"/>
      <c r="H2" s="78" t="s">
        <v>45</v>
      </c>
      <c r="I2" s="78"/>
      <c r="J2" s="78"/>
      <c r="K2" s="78"/>
      <c r="L2" s="78"/>
      <c r="M2" s="74"/>
    </row>
    <row r="3" spans="2:14">
      <c r="B3" s="62" t="s">
        <v>39</v>
      </c>
      <c r="C3" s="80" t="s">
        <v>40</v>
      </c>
      <c r="D3" s="74"/>
      <c r="E3" s="37" t="s">
        <v>44</v>
      </c>
      <c r="F3" s="37" t="s">
        <v>42</v>
      </c>
      <c r="G3" s="40" t="s">
        <v>43</v>
      </c>
      <c r="H3" s="39" t="s">
        <v>44</v>
      </c>
      <c r="I3" s="37" t="s">
        <v>101</v>
      </c>
      <c r="J3" s="37" t="s">
        <v>102</v>
      </c>
      <c r="K3" s="37" t="s">
        <v>47</v>
      </c>
      <c r="L3" s="37" t="s">
        <v>22</v>
      </c>
      <c r="M3" s="37" t="s">
        <v>23</v>
      </c>
      <c r="N3" s="37" t="s">
        <v>12</v>
      </c>
    </row>
    <row r="4" spans="2:14">
      <c r="B4" s="62">
        <v>1</v>
      </c>
      <c r="C4" s="73" t="s">
        <v>46</v>
      </c>
      <c r="D4" s="74"/>
      <c r="E4" s="49">
        <f>SUM(F4:G4)</f>
        <v>885791700</v>
      </c>
      <c r="F4" s="49">
        <f>'1.지아이씨'!S34</f>
        <v>619175700</v>
      </c>
      <c r="G4" s="41">
        <f>'1.지아이씨'!T34</f>
        <v>266616000</v>
      </c>
      <c r="H4" s="45">
        <f>'1.지아이씨'!O34</f>
        <v>0</v>
      </c>
      <c r="I4" s="46">
        <f>'1.지아이씨'!P34</f>
        <v>0</v>
      </c>
      <c r="J4" s="47">
        <f>'1.지아이씨'!Q34</f>
        <v>0</v>
      </c>
      <c r="K4" s="42">
        <f>H4/E4</f>
        <v>0</v>
      </c>
      <c r="L4" s="43"/>
      <c r="M4" s="43"/>
      <c r="N4" s="66"/>
    </row>
    <row r="5" spans="2:14">
      <c r="B5" s="44">
        <v>2</v>
      </c>
      <c r="C5" s="73" t="s">
        <v>24</v>
      </c>
      <c r="D5" s="74"/>
      <c r="E5" s="49">
        <f>SUM(F5:G5)</f>
        <v>2111793700</v>
      </c>
      <c r="F5" s="38">
        <f>'2.현대로템'!S34</f>
        <v>294790700</v>
      </c>
      <c r="G5" s="41">
        <f>'2.현대로템'!T34</f>
        <v>1817003000</v>
      </c>
      <c r="H5" s="45">
        <f>'2.현대로템'!O34</f>
        <v>294790700</v>
      </c>
      <c r="I5" s="46">
        <f>'2.현대로템'!P34</f>
        <v>294790700</v>
      </c>
      <c r="J5" s="47">
        <f>'2.현대로템'!Q34</f>
        <v>0</v>
      </c>
      <c r="K5" s="42">
        <f>H5/E5</f>
        <v>0.13959256531544725</v>
      </c>
      <c r="L5" s="43"/>
      <c r="M5" s="43"/>
      <c r="N5" s="66" t="s">
        <v>116</v>
      </c>
    </row>
    <row r="6" spans="2:14">
      <c r="B6" s="44">
        <v>3</v>
      </c>
      <c r="C6" s="73" t="s">
        <v>115</v>
      </c>
      <c r="D6" s="74"/>
      <c r="E6" s="49">
        <f>SUM(F6:G6)</f>
        <v>0</v>
      </c>
      <c r="F6" s="38">
        <f>'3.HST_Turkey'!S34</f>
        <v>0</v>
      </c>
      <c r="G6" s="41">
        <f>'3.HST_Turkey'!T34</f>
        <v>0</v>
      </c>
      <c r="H6" s="45">
        <f>'3.HST_Turkey'!O34</f>
        <v>0</v>
      </c>
      <c r="I6" s="46">
        <f>'3.HST_Turkey'!P34</f>
        <v>0</v>
      </c>
      <c r="J6" s="47">
        <f>'3.HST_Turkey'!Q34</f>
        <v>0</v>
      </c>
      <c r="K6" s="42" t="e">
        <f>H6/E6</f>
        <v>#DIV/0!</v>
      </c>
      <c r="L6" s="43"/>
      <c r="M6" s="43"/>
      <c r="N6" s="66"/>
    </row>
    <row r="7" spans="2:14">
      <c r="B7" s="44">
        <v>4</v>
      </c>
      <c r="C7" s="73" t="s">
        <v>38</v>
      </c>
      <c r="D7" s="74"/>
      <c r="E7" s="49">
        <f>SUM(F7:G7)</f>
        <v>18312700</v>
      </c>
      <c r="F7" s="38">
        <f>'4.인터모빌리티'!S34</f>
        <v>18312700</v>
      </c>
      <c r="G7" s="41">
        <f>'4.인터모빌리티'!T34</f>
        <v>0</v>
      </c>
      <c r="H7" s="45">
        <f>'4.인터모빌리티'!O34</f>
        <v>18312700</v>
      </c>
      <c r="I7" s="46">
        <f>'4.인터모빌리티'!P34</f>
        <v>18312700</v>
      </c>
      <c r="J7" s="47">
        <f>'4.인터모빌리티'!Q34</f>
        <v>0</v>
      </c>
      <c r="K7" s="42">
        <f>H7/E7</f>
        <v>1</v>
      </c>
      <c r="L7" s="43"/>
      <c r="M7" s="43"/>
      <c r="N7" s="66" t="s">
        <v>117</v>
      </c>
    </row>
    <row r="8" spans="2:14">
      <c r="B8" s="44">
        <v>5</v>
      </c>
      <c r="C8" s="73" t="s">
        <v>50</v>
      </c>
      <c r="D8" s="74"/>
      <c r="E8" s="49">
        <f>SUM(F8:G8)</f>
        <v>24632800</v>
      </c>
      <c r="F8" s="38">
        <f>'5.GMTECH'!S34</f>
        <v>24632800</v>
      </c>
      <c r="G8" s="41">
        <f>'5.GMTECH'!T34</f>
        <v>0</v>
      </c>
      <c r="H8" s="45">
        <f>'5.GMTECH'!O34</f>
        <v>24632800</v>
      </c>
      <c r="I8" s="45">
        <f>'5.GMTECH'!P34</f>
        <v>24632800</v>
      </c>
      <c r="J8" s="47">
        <f>'5.GMTECH'!Q34</f>
        <v>0</v>
      </c>
      <c r="K8" s="42">
        <f>H8/E8</f>
        <v>1</v>
      </c>
      <c r="L8" s="43"/>
      <c r="M8" s="43"/>
      <c r="N8" s="66" t="s">
        <v>118</v>
      </c>
    </row>
    <row r="9" spans="2:14">
      <c r="B9" s="44">
        <v>6</v>
      </c>
      <c r="C9" s="73" t="s">
        <v>30</v>
      </c>
      <c r="D9" s="74"/>
      <c r="E9" s="49">
        <f>SUM(F9:G9)</f>
        <v>56000000</v>
      </c>
      <c r="F9" s="38">
        <f>'6.다원시스'!S34</f>
        <v>56000000</v>
      </c>
      <c r="G9" s="41">
        <f>'6.다원시스'!T34</f>
        <v>0</v>
      </c>
      <c r="H9" s="45">
        <f>'6.다원시스'!O34</f>
        <v>56000000</v>
      </c>
      <c r="I9" s="46">
        <f>'6.다원시스'!P34</f>
        <v>56000000</v>
      </c>
      <c r="J9" s="47">
        <f>'6.다원시스'!Q34</f>
        <v>0</v>
      </c>
      <c r="K9" s="42">
        <f>H9/E9</f>
        <v>1</v>
      </c>
      <c r="L9" s="43"/>
      <c r="M9" s="43"/>
      <c r="N9" s="66" t="s">
        <v>119</v>
      </c>
    </row>
    <row r="10" spans="2:14">
      <c r="B10" s="44">
        <v>7</v>
      </c>
      <c r="C10" s="73" t="s">
        <v>52</v>
      </c>
      <c r="D10" s="74"/>
      <c r="E10" s="49">
        <f t="shared" ref="E10:E20" si="0">SUM(F10:G10)</f>
        <v>72080000</v>
      </c>
      <c r="F10" s="38">
        <f>'7.서울교통공사'!S34</f>
        <v>0</v>
      </c>
      <c r="G10" s="41">
        <f>'7.서울교통공사'!T34</f>
        <v>72080000</v>
      </c>
      <c r="H10" s="45">
        <f>'7.서울교통공사'!O34</f>
        <v>0</v>
      </c>
      <c r="I10" s="46">
        <f>'7.서울교통공사'!P34</f>
        <v>0</v>
      </c>
      <c r="J10" s="47">
        <f>'7.서울교통공사'!Q34</f>
        <v>0</v>
      </c>
      <c r="K10" s="42">
        <f t="shared" ref="K10:K20" si="1">H10/E10</f>
        <v>0</v>
      </c>
      <c r="L10" s="43"/>
      <c r="M10" s="43"/>
      <c r="N10" s="56"/>
    </row>
    <row r="11" spans="2:14">
      <c r="B11" s="62" t="s">
        <v>68</v>
      </c>
      <c r="C11" s="75" t="s">
        <v>57</v>
      </c>
      <c r="D11" s="44" t="s">
        <v>62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7"/>
    </row>
    <row r="12" spans="2:14">
      <c r="B12" s="62" t="s">
        <v>69</v>
      </c>
      <c r="C12" s="76"/>
      <c r="D12" s="44" t="s">
        <v>63</v>
      </c>
      <c r="E12" s="49">
        <f t="shared" ref="E12:E18" si="2">SUM(F12:G12)</f>
        <v>0</v>
      </c>
      <c r="F12" s="38">
        <f>SUMIF('8.기타'!$C$4:$C$33, Total!D12, '8.기타'!$S$4:$S$33)</f>
        <v>0</v>
      </c>
      <c r="G12" s="41">
        <f>SUMIF('8.기타'!$C$4:$C$33, Total!D12, '8.기타'!$T$4:$T$33)</f>
        <v>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 t="e">
        <f t="shared" ref="K12" si="3">H12/E12</f>
        <v>#DIV/0!</v>
      </c>
      <c r="L12" s="43"/>
      <c r="M12" s="43"/>
      <c r="N12" s="43"/>
    </row>
    <row r="13" spans="2:14">
      <c r="B13" s="62" t="s">
        <v>70</v>
      </c>
      <c r="C13" s="76"/>
      <c r="D13" s="44" t="s">
        <v>26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71</v>
      </c>
      <c r="C14" s="76"/>
      <c r="D14" s="44" t="s">
        <v>28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72</v>
      </c>
      <c r="C15" s="76"/>
      <c r="D15" s="44" t="s">
        <v>32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73</v>
      </c>
      <c r="C16" s="76"/>
      <c r="D16" s="44" t="s">
        <v>34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74</v>
      </c>
      <c r="C17" s="76"/>
      <c r="D17" s="44" t="s">
        <v>36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75</v>
      </c>
      <c r="C18" s="77"/>
      <c r="D18" s="44" t="s">
        <v>61</v>
      </c>
      <c r="E18" s="49">
        <f t="shared" si="2"/>
        <v>0</v>
      </c>
      <c r="F18" s="38">
        <f>SUMIF('8.기타'!$C$4:$C$33, Total!D18, '8.기타'!$S$4:$S$33)</f>
        <v>0</v>
      </c>
      <c r="G18" s="41">
        <f>SUMIF('8.기타'!$C$4:$C$33, Total!D18, '8.기타'!$T$4:$T$33)</f>
        <v>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 t="e">
        <f t="shared" ref="K18" si="4">H18/E18</f>
        <v>#DIV/0!</v>
      </c>
      <c r="L18" s="43"/>
      <c r="M18" s="43"/>
      <c r="N18" s="67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48</v>
      </c>
      <c r="D20" s="44"/>
      <c r="E20" s="49">
        <f t="shared" si="0"/>
        <v>3168610900</v>
      </c>
      <c r="F20" s="38">
        <f>SUM(F4:F19)</f>
        <v>1012911900</v>
      </c>
      <c r="G20" s="41">
        <f>SUM(G4:G19)</f>
        <v>2155699000</v>
      </c>
      <c r="H20" s="45">
        <f>SUM(H4:H19)</f>
        <v>393736200</v>
      </c>
      <c r="I20" s="46">
        <f>SUM(I4:I19)</f>
        <v>393736200</v>
      </c>
      <c r="J20" s="47">
        <f>SUM(J4:J19)</f>
        <v>0</v>
      </c>
      <c r="K20" s="42">
        <f t="shared" si="1"/>
        <v>0.12426145475924481</v>
      </c>
      <c r="L20" s="43"/>
      <c r="M20" s="43"/>
      <c r="N20" s="43"/>
    </row>
  </sheetData>
  <mergeCells count="11">
    <mergeCell ref="C8:D8"/>
    <mergeCell ref="C11:C18"/>
    <mergeCell ref="C6:D6"/>
    <mergeCell ref="E2:G2"/>
    <mergeCell ref="H2:M2"/>
    <mergeCell ref="C3:D3"/>
    <mergeCell ref="C4:D4"/>
    <mergeCell ref="C10:D10"/>
    <mergeCell ref="C5:D5"/>
    <mergeCell ref="C9:D9"/>
    <mergeCell ref="C7:D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92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2:24" s="14" customFormat="1" ht="34">
      <c r="B4" s="71">
        <v>1</v>
      </c>
      <c r="C4" s="69" t="s">
        <v>14</v>
      </c>
      <c r="D4" s="71" t="s">
        <v>55</v>
      </c>
      <c r="E4" s="69"/>
      <c r="F4" s="69"/>
      <c r="G4" s="65"/>
      <c r="H4" s="65"/>
      <c r="I4" s="69"/>
      <c r="J4" s="65"/>
      <c r="K4" s="82"/>
      <c r="L4" s="72"/>
      <c r="M4" s="69" t="s">
        <v>93</v>
      </c>
      <c r="N4" s="69"/>
      <c r="O4" s="15"/>
      <c r="P4" s="15"/>
      <c r="Q4" s="26"/>
      <c r="R4" s="15">
        <v>266616000</v>
      </c>
      <c r="S4" s="15"/>
      <c r="T4" s="15">
        <v>266616000</v>
      </c>
      <c r="U4" s="15"/>
      <c r="V4" s="15"/>
      <c r="W4" s="33"/>
      <c r="X4" s="69" t="s">
        <v>96</v>
      </c>
    </row>
    <row r="5" spans="2:24" s="14" customFormat="1" ht="34">
      <c r="B5" s="16">
        <v>2</v>
      </c>
      <c r="C5" s="17" t="s">
        <v>14</v>
      </c>
      <c r="D5" s="16" t="s">
        <v>55</v>
      </c>
      <c r="E5" s="17"/>
      <c r="F5" s="17"/>
      <c r="G5" s="50"/>
      <c r="H5" s="50"/>
      <c r="I5" s="17"/>
      <c r="J5" s="50"/>
      <c r="K5" s="63"/>
      <c r="L5" s="18"/>
      <c r="M5" s="17" t="s">
        <v>95</v>
      </c>
      <c r="N5" s="69"/>
      <c r="O5" s="15"/>
      <c r="P5" s="15"/>
      <c r="Q5" s="26"/>
      <c r="R5" s="15"/>
      <c r="S5" s="15"/>
      <c r="T5" s="15"/>
      <c r="U5" s="15"/>
      <c r="V5" s="15"/>
      <c r="W5" s="33"/>
      <c r="X5" s="17" t="s">
        <v>97</v>
      </c>
    </row>
    <row r="6" spans="2:24" s="14" customFormat="1" ht="34">
      <c r="B6" s="71">
        <v>3</v>
      </c>
      <c r="C6" s="69" t="s">
        <v>14</v>
      </c>
      <c r="D6" s="71" t="s">
        <v>55</v>
      </c>
      <c r="E6" s="69"/>
      <c r="F6" s="69"/>
      <c r="G6" s="65"/>
      <c r="H6" s="65"/>
      <c r="I6" s="69"/>
      <c r="J6" s="65"/>
      <c r="K6" s="82"/>
      <c r="L6" s="72"/>
      <c r="M6" s="69" t="s">
        <v>94</v>
      </c>
      <c r="N6" s="69"/>
      <c r="O6" s="15"/>
      <c r="P6" s="15"/>
      <c r="Q6" s="26"/>
      <c r="R6" s="15">
        <v>619175700</v>
      </c>
      <c r="S6" s="15">
        <v>619175700</v>
      </c>
      <c r="T6" s="15"/>
      <c r="U6" s="11"/>
      <c r="V6" s="11"/>
      <c r="W6" s="12"/>
      <c r="X6" s="69" t="s">
        <v>98</v>
      </c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/>
      <c r="M7" s="9"/>
      <c r="N7" s="9"/>
      <c r="O7" s="11"/>
      <c r="P7" s="11"/>
      <c r="Q7" s="26"/>
      <c r="R7" s="11"/>
      <c r="S7" s="11"/>
      <c r="T7" s="11"/>
      <c r="U7" s="11"/>
      <c r="V7" s="11"/>
      <c r="W7" s="12"/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/>
      <c r="M8" s="9"/>
      <c r="N8" s="9"/>
      <c r="O8" s="11"/>
      <c r="P8" s="11"/>
      <c r="Q8" s="26"/>
      <c r="R8" s="11"/>
      <c r="S8" s="11"/>
      <c r="T8" s="11"/>
      <c r="U8" s="11"/>
      <c r="V8" s="11"/>
      <c r="W8" s="12"/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/>
      <c r="M9" s="9"/>
      <c r="N9" s="9"/>
      <c r="O9" s="11"/>
      <c r="P9" s="11"/>
      <c r="Q9" s="26"/>
      <c r="R9" s="11"/>
      <c r="S9" s="11"/>
      <c r="T9" s="11"/>
      <c r="U9" s="11"/>
      <c r="V9" s="11"/>
      <c r="W9" s="12"/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/>
      <c r="M10" s="9"/>
      <c r="N10" s="9"/>
      <c r="O10" s="11"/>
      <c r="P10" s="11"/>
      <c r="Q10" s="26"/>
      <c r="R10" s="11"/>
      <c r="S10" s="11"/>
      <c r="T10" s="11"/>
      <c r="U10" s="11"/>
      <c r="V10" s="11"/>
      <c r="W10" s="12"/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/>
      <c r="M11" s="9"/>
      <c r="N11" s="9"/>
      <c r="O11" s="11"/>
      <c r="P11" s="11"/>
      <c r="Q11" s="26"/>
      <c r="R11" s="11"/>
      <c r="S11" s="11"/>
      <c r="T11" s="11"/>
      <c r="U11" s="11"/>
      <c r="V11" s="11"/>
      <c r="W11" s="12"/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/>
      <c r="M12" s="9"/>
      <c r="N12" s="9"/>
      <c r="O12" s="11"/>
      <c r="P12" s="11"/>
      <c r="Q12" s="26"/>
      <c r="R12" s="11"/>
      <c r="S12" s="11"/>
      <c r="T12" s="11"/>
      <c r="U12" s="11"/>
      <c r="V12" s="11"/>
      <c r="W12" s="12"/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/>
      <c r="M13" s="9"/>
      <c r="N13" s="9"/>
      <c r="O13" s="11"/>
      <c r="P13" s="11"/>
      <c r="Q13" s="26"/>
      <c r="R13" s="11"/>
      <c r="S13" s="11"/>
      <c r="T13" s="11"/>
      <c r="U13" s="11"/>
      <c r="V13" s="11"/>
      <c r="W13" s="12"/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/>
      <c r="M14" s="9"/>
      <c r="N14" s="9"/>
      <c r="O14" s="11"/>
      <c r="P14" s="11"/>
      <c r="Q14" s="26"/>
      <c r="R14" s="11"/>
      <c r="S14" s="11"/>
      <c r="T14" s="11"/>
      <c r="U14" s="11"/>
      <c r="V14" s="11"/>
      <c r="W14" s="12"/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/>
      <c r="M15" s="9"/>
      <c r="N15" s="9"/>
      <c r="O15" s="11"/>
      <c r="P15" s="11"/>
      <c r="Q15" s="26"/>
      <c r="R15" s="11"/>
      <c r="S15" s="11"/>
      <c r="T15" s="11"/>
      <c r="U15" s="11"/>
      <c r="V15" s="11"/>
      <c r="W15" s="12"/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/>
      <c r="M16" s="9"/>
      <c r="N16" s="9"/>
      <c r="O16" s="11"/>
      <c r="P16" s="11"/>
      <c r="Q16" s="26"/>
      <c r="R16" s="11"/>
      <c r="S16" s="11"/>
      <c r="T16" s="11"/>
      <c r="U16" s="11"/>
      <c r="V16" s="11"/>
      <c r="W16" s="12"/>
      <c r="X16" s="17"/>
    </row>
    <row r="17" spans="2:24" s="14" customFormat="1">
      <c r="B17" s="8"/>
      <c r="C17" s="9"/>
      <c r="D17" s="8"/>
      <c r="E17" s="9"/>
      <c r="F17" s="9"/>
      <c r="G17" s="51"/>
      <c r="H17" s="51"/>
      <c r="I17" s="9"/>
      <c r="J17" s="51"/>
      <c r="K17" s="52"/>
      <c r="L17" s="10"/>
      <c r="M17" s="9"/>
      <c r="N17" s="9"/>
      <c r="O17" s="11"/>
      <c r="P17" s="11"/>
      <c r="Q17" s="26"/>
      <c r="R17" s="11"/>
      <c r="S17" s="11"/>
      <c r="T17" s="11"/>
      <c r="U17" s="11"/>
      <c r="V17" s="11"/>
      <c r="W17" s="12"/>
      <c r="X17" s="17"/>
    </row>
    <row r="18" spans="2:24" s="14" customFormat="1">
      <c r="B18" s="8"/>
      <c r="C18" s="9"/>
      <c r="D18" s="8"/>
      <c r="E18" s="9"/>
      <c r="F18" s="9"/>
      <c r="G18" s="8"/>
      <c r="H18" s="51"/>
      <c r="I18" s="9"/>
      <c r="J18" s="8"/>
      <c r="K18" s="52"/>
      <c r="L18" s="10"/>
      <c r="M18" s="9"/>
      <c r="N18" s="9"/>
      <c r="O18" s="11"/>
      <c r="P18" s="11"/>
      <c r="Q18" s="26"/>
      <c r="R18" s="11"/>
      <c r="S18" s="11"/>
      <c r="T18" s="11"/>
      <c r="U18" s="11"/>
      <c r="V18" s="11"/>
      <c r="W18" s="12"/>
      <c r="X18" s="17"/>
    </row>
    <row r="19" spans="2:24" s="14" customFormat="1">
      <c r="B19" s="8"/>
      <c r="C19" s="9"/>
      <c r="D19" s="8"/>
      <c r="E19" s="9"/>
      <c r="F19" s="9"/>
      <c r="G19" s="8"/>
      <c r="H19" s="51"/>
      <c r="I19" s="9"/>
      <c r="J19" s="8"/>
      <c r="K19" s="52"/>
      <c r="L19" s="10"/>
      <c r="M19" s="9"/>
      <c r="N19" s="9"/>
      <c r="O19" s="11"/>
      <c r="P19" s="11"/>
      <c r="Q19" s="26"/>
      <c r="R19" s="11"/>
      <c r="S19" s="11"/>
      <c r="T19" s="11"/>
      <c r="U19" s="11"/>
      <c r="V19" s="35"/>
      <c r="W19" s="12"/>
      <c r="X19" s="17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885791700</v>
      </c>
      <c r="S34" s="13">
        <f t="shared" si="0"/>
        <v>619175700</v>
      </c>
      <c r="T34" s="13">
        <f t="shared" si="0"/>
        <v>266616000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47.332031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64.33203125" style="6" bestFit="1" customWidth="1"/>
    <col min="26" max="26" width="9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92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83">
        <v>1</v>
      </c>
      <c r="C4" s="84" t="s">
        <v>25</v>
      </c>
      <c r="D4" s="84" t="s">
        <v>56</v>
      </c>
      <c r="E4" s="85">
        <v>2025041501</v>
      </c>
      <c r="F4" s="85"/>
      <c r="G4" s="86">
        <v>45762</v>
      </c>
      <c r="H4" s="87">
        <f>G4+15</f>
        <v>45777</v>
      </c>
      <c r="I4" s="85"/>
      <c r="J4" s="84"/>
      <c r="K4" s="88"/>
      <c r="L4" s="88"/>
      <c r="M4" s="88" t="s">
        <v>54</v>
      </c>
      <c r="N4" s="85"/>
      <c r="O4" s="89"/>
      <c r="P4" s="89"/>
      <c r="Q4" s="90"/>
      <c r="R4" s="89">
        <v>188500000</v>
      </c>
      <c r="S4" s="89"/>
      <c r="T4" s="89">
        <v>188500000</v>
      </c>
      <c r="U4" s="89"/>
      <c r="V4" s="89"/>
      <c r="W4" s="91"/>
      <c r="X4" s="85" t="s">
        <v>99</v>
      </c>
    </row>
    <row r="5" spans="1:24" s="14" customFormat="1" ht="34">
      <c r="A5" s="1"/>
      <c r="B5" s="8">
        <v>2</v>
      </c>
      <c r="C5" s="9" t="s">
        <v>25</v>
      </c>
      <c r="D5" s="8" t="s">
        <v>55</v>
      </c>
      <c r="E5" s="9" t="s">
        <v>83</v>
      </c>
      <c r="F5" s="9"/>
      <c r="G5" s="51">
        <v>45910</v>
      </c>
      <c r="H5" s="52">
        <v>45930</v>
      </c>
      <c r="I5" s="9"/>
      <c r="J5" s="8"/>
      <c r="K5" s="10"/>
      <c r="L5" s="10"/>
      <c r="M5" s="9" t="s">
        <v>58</v>
      </c>
      <c r="N5" s="9"/>
      <c r="O5" s="11">
        <v>294790700</v>
      </c>
      <c r="P5" s="11">
        <v>294790700</v>
      </c>
      <c r="Q5" s="11"/>
      <c r="R5" s="11">
        <v>294790700</v>
      </c>
      <c r="S5" s="11">
        <v>294790700</v>
      </c>
      <c r="T5" s="11"/>
      <c r="U5" s="11"/>
      <c r="V5" s="11"/>
      <c r="W5" s="11">
        <v>0</v>
      </c>
      <c r="X5" s="9" t="s">
        <v>111</v>
      </c>
    </row>
    <row r="6" spans="1:24" s="14" customFormat="1">
      <c r="B6" s="84">
        <v>3</v>
      </c>
      <c r="C6" s="85" t="s">
        <v>25</v>
      </c>
      <c r="D6" s="84" t="s">
        <v>64</v>
      </c>
      <c r="E6" s="85"/>
      <c r="F6" s="85"/>
      <c r="G6" s="84"/>
      <c r="H6" s="88" t="s">
        <v>100</v>
      </c>
      <c r="I6" s="85"/>
      <c r="J6" s="84"/>
      <c r="K6" s="88"/>
      <c r="L6" s="88"/>
      <c r="M6" s="85" t="s">
        <v>79</v>
      </c>
      <c r="N6" s="85"/>
      <c r="O6" s="89"/>
      <c r="P6" s="89"/>
      <c r="Q6" s="89"/>
      <c r="R6" s="89">
        <v>97470000</v>
      </c>
      <c r="S6" s="89"/>
      <c r="T6" s="89">
        <v>97470000</v>
      </c>
      <c r="U6" s="89"/>
      <c r="V6" s="89"/>
      <c r="W6" s="91"/>
      <c r="X6" s="85" t="s">
        <v>99</v>
      </c>
    </row>
    <row r="7" spans="1:24" s="14" customFormat="1">
      <c r="B7" s="84">
        <v>4</v>
      </c>
      <c r="C7" s="85" t="s">
        <v>25</v>
      </c>
      <c r="D7" s="84" t="s">
        <v>64</v>
      </c>
      <c r="E7" s="85"/>
      <c r="F7" s="85"/>
      <c r="G7" s="84"/>
      <c r="H7" s="88"/>
      <c r="I7" s="85"/>
      <c r="J7" s="84"/>
      <c r="K7" s="88"/>
      <c r="L7" s="88"/>
      <c r="M7" s="85" t="s">
        <v>76</v>
      </c>
      <c r="N7" s="85"/>
      <c r="O7" s="89"/>
      <c r="P7" s="89"/>
      <c r="Q7" s="89"/>
      <c r="R7" s="89">
        <v>695290000</v>
      </c>
      <c r="S7" s="89"/>
      <c r="T7" s="89">
        <v>695290000</v>
      </c>
      <c r="U7" s="89"/>
      <c r="V7" s="89"/>
      <c r="W7" s="91"/>
      <c r="X7" s="85" t="s">
        <v>99</v>
      </c>
    </row>
    <row r="8" spans="1:24" s="14" customFormat="1">
      <c r="B8" s="16">
        <v>5</v>
      </c>
      <c r="C8" s="17" t="s">
        <v>25</v>
      </c>
      <c r="D8" s="16" t="s">
        <v>64</v>
      </c>
      <c r="E8" s="17"/>
      <c r="F8" s="17"/>
      <c r="G8" s="16"/>
      <c r="H8" s="18"/>
      <c r="I8" s="17"/>
      <c r="J8" s="16"/>
      <c r="K8" s="18"/>
      <c r="L8" s="18"/>
      <c r="M8" s="17" t="s">
        <v>86</v>
      </c>
      <c r="N8" s="17"/>
      <c r="O8" s="13"/>
      <c r="P8" s="13"/>
      <c r="Q8" s="13"/>
      <c r="R8" s="13"/>
      <c r="S8" s="13"/>
      <c r="T8" s="13"/>
      <c r="U8" s="13"/>
      <c r="V8" s="13"/>
      <c r="W8" s="19"/>
      <c r="X8" s="17"/>
    </row>
    <row r="9" spans="1:24" s="14" customFormat="1">
      <c r="A9" s="1"/>
      <c r="B9" s="84">
        <v>6</v>
      </c>
      <c r="C9" s="85" t="s">
        <v>25</v>
      </c>
      <c r="D9" s="84" t="s">
        <v>64</v>
      </c>
      <c r="E9" s="85"/>
      <c r="F9" s="85"/>
      <c r="G9" s="86">
        <v>45944</v>
      </c>
      <c r="H9" s="88"/>
      <c r="I9" s="85"/>
      <c r="J9" s="84"/>
      <c r="K9" s="88"/>
      <c r="L9" s="88"/>
      <c r="M9" s="85" t="s">
        <v>87</v>
      </c>
      <c r="N9" s="85"/>
      <c r="O9" s="89"/>
      <c r="P9" s="89"/>
      <c r="Q9" s="89"/>
      <c r="R9" s="89">
        <v>64440000</v>
      </c>
      <c r="S9" s="89"/>
      <c r="T9" s="89">
        <v>64440000</v>
      </c>
      <c r="U9" s="89"/>
      <c r="V9" s="89"/>
      <c r="W9" s="91"/>
      <c r="X9" s="85" t="s">
        <v>99</v>
      </c>
    </row>
    <row r="10" spans="1:24" s="14" customFormat="1">
      <c r="B10" s="84">
        <v>7</v>
      </c>
      <c r="C10" s="85" t="s">
        <v>25</v>
      </c>
      <c r="D10" s="84" t="s">
        <v>64</v>
      </c>
      <c r="E10" s="85"/>
      <c r="F10" s="85"/>
      <c r="G10" s="84"/>
      <c r="H10" s="88"/>
      <c r="I10" s="85"/>
      <c r="J10" s="84"/>
      <c r="K10" s="88"/>
      <c r="L10" s="88"/>
      <c r="M10" s="85" t="s">
        <v>88</v>
      </c>
      <c r="N10" s="85"/>
      <c r="O10" s="89"/>
      <c r="P10" s="89"/>
      <c r="Q10" s="89"/>
      <c r="R10" s="89">
        <v>31310000</v>
      </c>
      <c r="S10" s="89"/>
      <c r="T10" s="89">
        <v>31310000</v>
      </c>
      <c r="U10" s="89"/>
      <c r="V10" s="89"/>
      <c r="W10" s="91"/>
      <c r="X10" s="85" t="s">
        <v>99</v>
      </c>
    </row>
    <row r="11" spans="1:24" s="14" customFormat="1">
      <c r="B11" s="84">
        <v>8</v>
      </c>
      <c r="C11" s="85" t="s">
        <v>25</v>
      </c>
      <c r="D11" s="84" t="s">
        <v>65</v>
      </c>
      <c r="E11" s="92"/>
      <c r="F11" s="92"/>
      <c r="G11" s="86"/>
      <c r="H11" s="93"/>
      <c r="I11" s="92"/>
      <c r="J11" s="94"/>
      <c r="K11" s="93"/>
      <c r="L11" s="93"/>
      <c r="M11" s="85" t="s">
        <v>89</v>
      </c>
      <c r="N11" s="85"/>
      <c r="O11" s="89"/>
      <c r="P11" s="89"/>
      <c r="Q11" s="89"/>
      <c r="R11" s="89">
        <v>13165000</v>
      </c>
      <c r="S11" s="89"/>
      <c r="T11" s="89">
        <v>13165000</v>
      </c>
      <c r="U11" s="89"/>
      <c r="V11" s="89"/>
      <c r="W11" s="91"/>
      <c r="X11" s="85" t="s">
        <v>99</v>
      </c>
    </row>
    <row r="12" spans="1:24" s="14" customFormat="1">
      <c r="B12" s="84">
        <v>9</v>
      </c>
      <c r="C12" s="85" t="s">
        <v>25</v>
      </c>
      <c r="D12" s="84" t="s">
        <v>65</v>
      </c>
      <c r="E12" s="92"/>
      <c r="F12" s="92"/>
      <c r="G12" s="86">
        <v>45944</v>
      </c>
      <c r="H12" s="93"/>
      <c r="I12" s="92"/>
      <c r="J12" s="94"/>
      <c r="K12" s="93"/>
      <c r="L12" s="93"/>
      <c r="M12" s="85" t="s">
        <v>66</v>
      </c>
      <c r="N12" s="85"/>
      <c r="O12" s="89"/>
      <c r="P12" s="89"/>
      <c r="Q12" s="89"/>
      <c r="R12" s="89">
        <v>179400000</v>
      </c>
      <c r="S12" s="89"/>
      <c r="T12" s="89">
        <v>179400000</v>
      </c>
      <c r="U12" s="89"/>
      <c r="V12" s="89"/>
      <c r="W12" s="91"/>
      <c r="X12" s="85" t="s">
        <v>99</v>
      </c>
    </row>
    <row r="13" spans="1:24" s="14" customFormat="1">
      <c r="B13" s="84">
        <v>10</v>
      </c>
      <c r="C13" s="85" t="s">
        <v>25</v>
      </c>
      <c r="D13" s="84" t="s">
        <v>60</v>
      </c>
      <c r="E13" s="85"/>
      <c r="F13" s="85"/>
      <c r="G13" s="84"/>
      <c r="H13" s="88"/>
      <c r="I13" s="85"/>
      <c r="J13" s="84"/>
      <c r="K13" s="88"/>
      <c r="L13" s="88"/>
      <c r="M13" s="85" t="s">
        <v>90</v>
      </c>
      <c r="N13" s="85"/>
      <c r="O13" s="89"/>
      <c r="P13" s="89"/>
      <c r="Q13" s="89"/>
      <c r="R13" s="89">
        <v>547428000</v>
      </c>
      <c r="S13" s="89"/>
      <c r="T13" s="89">
        <v>547428000</v>
      </c>
      <c r="U13" s="89"/>
      <c r="V13" s="89"/>
      <c r="W13" s="91"/>
      <c r="X13" s="85" t="s">
        <v>91</v>
      </c>
    </row>
    <row r="14" spans="1:24" s="14" customFormat="1">
      <c r="B14" s="16">
        <v>11</v>
      </c>
      <c r="C14" s="17" t="s">
        <v>25</v>
      </c>
      <c r="D14" s="16" t="s">
        <v>103</v>
      </c>
      <c r="E14" s="17"/>
      <c r="F14" s="17"/>
      <c r="G14" s="50"/>
      <c r="H14" s="18"/>
      <c r="I14" s="17"/>
      <c r="J14" s="16"/>
      <c r="K14" s="18"/>
      <c r="L14" s="18"/>
      <c r="M14" s="17" t="s">
        <v>104</v>
      </c>
      <c r="N14" s="17"/>
      <c r="O14" s="13"/>
      <c r="P14" s="13"/>
      <c r="Q14" s="13"/>
      <c r="R14" s="13"/>
      <c r="S14" s="13"/>
      <c r="T14" s="13"/>
      <c r="U14" s="13"/>
      <c r="V14" s="13"/>
      <c r="W14" s="19"/>
      <c r="X14" s="48" t="s">
        <v>120</v>
      </c>
    </row>
    <row r="15" spans="1:24" s="14" customFormat="1">
      <c r="B15" s="16">
        <v>12</v>
      </c>
      <c r="C15" s="17" t="s">
        <v>25</v>
      </c>
      <c r="D15" s="16" t="s">
        <v>103</v>
      </c>
      <c r="E15" s="17"/>
      <c r="F15" s="17"/>
      <c r="G15" s="16"/>
      <c r="H15" s="18"/>
      <c r="I15" s="17"/>
      <c r="J15" s="16"/>
      <c r="K15" s="18"/>
      <c r="L15" s="18"/>
      <c r="M15" s="17" t="s">
        <v>105</v>
      </c>
      <c r="N15" s="17"/>
      <c r="O15" s="13"/>
      <c r="P15" s="13"/>
      <c r="Q15" s="13"/>
      <c r="R15" s="13"/>
      <c r="S15" s="13"/>
      <c r="T15" s="13"/>
      <c r="U15" s="13"/>
      <c r="V15" s="13"/>
      <c r="W15" s="19"/>
      <c r="X15" s="48" t="s">
        <v>120</v>
      </c>
    </row>
    <row r="16" spans="1:24" s="14" customFormat="1">
      <c r="B16" s="16">
        <v>13</v>
      </c>
      <c r="C16" s="17" t="s">
        <v>25</v>
      </c>
      <c r="D16" s="16" t="s">
        <v>103</v>
      </c>
      <c r="E16" s="17"/>
      <c r="F16" s="17"/>
      <c r="G16" s="50"/>
      <c r="H16" s="18"/>
      <c r="I16" s="17"/>
      <c r="J16" s="16"/>
      <c r="K16" s="18"/>
      <c r="L16" s="18"/>
      <c r="M16" s="17" t="s">
        <v>106</v>
      </c>
      <c r="N16" s="17"/>
      <c r="O16" s="13"/>
      <c r="P16" s="13"/>
      <c r="Q16" s="13"/>
      <c r="R16" s="13"/>
      <c r="S16" s="13"/>
      <c r="T16" s="13"/>
      <c r="U16" s="13"/>
      <c r="V16" s="13"/>
      <c r="W16" s="19"/>
      <c r="X16" s="48" t="s">
        <v>120</v>
      </c>
    </row>
    <row r="17" spans="2:24" s="14" customFormat="1">
      <c r="B17" s="16">
        <v>14</v>
      </c>
      <c r="C17" s="17" t="s">
        <v>25</v>
      </c>
      <c r="D17" s="16" t="s">
        <v>103</v>
      </c>
      <c r="E17" s="17"/>
      <c r="F17" s="17"/>
      <c r="G17" s="57"/>
      <c r="H17" s="59"/>
      <c r="I17" s="48"/>
      <c r="J17" s="54"/>
      <c r="K17" s="59"/>
      <c r="L17" s="59"/>
      <c r="M17" s="17" t="s">
        <v>107</v>
      </c>
      <c r="N17" s="17"/>
      <c r="O17" s="13"/>
      <c r="P17" s="11"/>
      <c r="Q17" s="15"/>
      <c r="R17" s="53"/>
      <c r="S17" s="53"/>
      <c r="T17" s="53"/>
      <c r="U17" s="13"/>
      <c r="V17" s="13"/>
      <c r="W17" s="19"/>
      <c r="X17" s="48" t="s">
        <v>120</v>
      </c>
    </row>
    <row r="18" spans="2:24" s="14" customFormat="1">
      <c r="B18" s="16">
        <v>15</v>
      </c>
      <c r="C18" s="17" t="s">
        <v>25</v>
      </c>
      <c r="D18" s="16" t="s">
        <v>103</v>
      </c>
      <c r="E18" s="17"/>
      <c r="F18" s="17"/>
      <c r="G18" s="71"/>
      <c r="H18" s="72"/>
      <c r="I18" s="69"/>
      <c r="J18" s="71"/>
      <c r="K18" s="72"/>
      <c r="L18" s="72"/>
      <c r="M18" s="17" t="s">
        <v>108</v>
      </c>
      <c r="N18" s="17"/>
      <c r="O18" s="13"/>
      <c r="P18" s="11"/>
      <c r="Q18" s="15"/>
      <c r="R18" s="15"/>
      <c r="S18" s="13"/>
      <c r="T18" s="15"/>
      <c r="U18" s="13"/>
      <c r="V18" s="13"/>
      <c r="W18" s="19"/>
      <c r="X18" s="48" t="s">
        <v>120</v>
      </c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294790700</v>
      </c>
      <c r="P34" s="13">
        <f t="shared" si="0"/>
        <v>294790700</v>
      </c>
      <c r="Q34" s="13">
        <f t="shared" si="0"/>
        <v>0</v>
      </c>
      <c r="R34" s="13">
        <f t="shared" si="0"/>
        <v>2111793700</v>
      </c>
      <c r="S34" s="13">
        <f t="shared" si="0"/>
        <v>294790700</v>
      </c>
      <c r="T34" s="13">
        <f t="shared" si="0"/>
        <v>1817003000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8.7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49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 ht="34">
      <c r="B4" s="16">
        <v>1</v>
      </c>
      <c r="C4" s="17" t="s">
        <v>112</v>
      </c>
      <c r="D4" s="16" t="s">
        <v>103</v>
      </c>
      <c r="E4" s="17"/>
      <c r="F4" s="17"/>
      <c r="G4" s="50"/>
      <c r="H4" s="50"/>
      <c r="I4" s="17"/>
      <c r="J4" s="50"/>
      <c r="K4" s="50"/>
      <c r="L4" s="18"/>
      <c r="M4" s="18" t="s">
        <v>113</v>
      </c>
      <c r="N4" s="17"/>
      <c r="O4" s="13"/>
      <c r="P4" s="13"/>
      <c r="Q4" s="13"/>
      <c r="R4" s="13"/>
      <c r="S4" s="13"/>
      <c r="T4" s="13"/>
      <c r="U4" s="13"/>
      <c r="V4" s="13"/>
      <c r="W4" s="19"/>
      <c r="X4" s="48" t="s">
        <v>114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5.33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92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8">
        <v>1</v>
      </c>
      <c r="C4" s="9" t="s">
        <v>38</v>
      </c>
      <c r="D4" s="8" t="s">
        <v>13</v>
      </c>
      <c r="E4" s="9" t="s">
        <v>67</v>
      </c>
      <c r="F4" s="9"/>
      <c r="G4" s="51">
        <v>45793</v>
      </c>
      <c r="H4" s="51">
        <f>G4+15</f>
        <v>45808</v>
      </c>
      <c r="I4" s="9"/>
      <c r="J4" s="51">
        <v>45840</v>
      </c>
      <c r="K4" s="10"/>
      <c r="L4" s="10"/>
      <c r="M4" s="9" t="s">
        <v>78</v>
      </c>
      <c r="N4" s="9"/>
      <c r="O4" s="11">
        <v>18312700</v>
      </c>
      <c r="P4" s="11">
        <v>18312700</v>
      </c>
      <c r="Q4" s="36">
        <f>O4-P4</f>
        <v>0</v>
      </c>
      <c r="R4" s="11">
        <v>18312700</v>
      </c>
      <c r="S4" s="11">
        <v>18312700</v>
      </c>
      <c r="T4" s="11"/>
      <c r="U4" s="11"/>
      <c r="V4" s="11"/>
      <c r="W4" s="11">
        <v>0</v>
      </c>
      <c r="X4" s="9" t="s">
        <v>110</v>
      </c>
    </row>
    <row r="5" spans="1:24" s="14" customFormat="1">
      <c r="A5" s="1"/>
      <c r="B5" s="16"/>
      <c r="C5" s="9"/>
      <c r="D5" s="8"/>
      <c r="E5" s="9"/>
      <c r="F5" s="9"/>
      <c r="G5" s="51"/>
      <c r="H5" s="51"/>
      <c r="I5" s="68"/>
      <c r="J5" s="51"/>
      <c r="K5" s="18"/>
      <c r="L5" s="18"/>
      <c r="M5" s="17"/>
      <c r="N5" s="17"/>
      <c r="O5" s="11"/>
      <c r="P5" s="11"/>
      <c r="Q5" s="26"/>
      <c r="R5" s="11"/>
      <c r="S5" s="11"/>
      <c r="T5" s="53"/>
      <c r="U5" s="13"/>
      <c r="V5" s="13"/>
      <c r="W5" s="11"/>
      <c r="X5" s="9"/>
    </row>
    <row r="6" spans="1:24" s="14" customFormat="1">
      <c r="B6" s="16"/>
      <c r="C6" s="9"/>
      <c r="D6" s="8"/>
      <c r="E6" s="9"/>
      <c r="F6" s="9"/>
      <c r="G6" s="51"/>
      <c r="H6" s="51"/>
      <c r="I6" s="68"/>
      <c r="J6" s="51"/>
      <c r="K6" s="18"/>
      <c r="L6" s="18"/>
      <c r="M6" s="17"/>
      <c r="N6" s="17"/>
      <c r="O6" s="11"/>
      <c r="P6" s="11"/>
      <c r="Q6" s="26"/>
      <c r="R6" s="11"/>
      <c r="S6" s="11"/>
      <c r="T6" s="53"/>
      <c r="U6" s="13"/>
      <c r="V6" s="13"/>
      <c r="W6" s="12"/>
      <c r="X6" s="48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18312700</v>
      </c>
      <c r="P34" s="13">
        <f t="shared" si="0"/>
        <v>18312700</v>
      </c>
      <c r="Q34" s="13">
        <f t="shared" si="0"/>
        <v>0</v>
      </c>
      <c r="R34" s="13">
        <f t="shared" si="0"/>
        <v>18312700</v>
      </c>
      <c r="S34" s="13">
        <f t="shared" si="0"/>
        <v>18312700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3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92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8">
        <v>1</v>
      </c>
      <c r="C4" s="9" t="s">
        <v>50</v>
      </c>
      <c r="D4" s="8" t="s">
        <v>59</v>
      </c>
      <c r="E4" s="9" t="s">
        <v>84</v>
      </c>
      <c r="F4" s="9"/>
      <c r="G4" s="51">
        <v>45912</v>
      </c>
      <c r="H4" s="51">
        <v>45930</v>
      </c>
      <c r="I4" s="9" t="s">
        <v>85</v>
      </c>
      <c r="J4" s="51">
        <v>45925</v>
      </c>
      <c r="K4" s="51">
        <v>46053</v>
      </c>
      <c r="L4" s="10"/>
      <c r="M4" s="9" t="s">
        <v>51</v>
      </c>
      <c r="N4" s="9"/>
      <c r="O4" s="11">
        <v>24632800</v>
      </c>
      <c r="P4" s="11">
        <v>24632800</v>
      </c>
      <c r="Q4" s="15">
        <f>O4-P4</f>
        <v>0</v>
      </c>
      <c r="R4" s="11">
        <v>24632800</v>
      </c>
      <c r="S4" s="11">
        <v>24632800</v>
      </c>
      <c r="T4" s="11"/>
      <c r="U4" s="11"/>
      <c r="V4" s="11"/>
      <c r="W4" s="11">
        <v>0</v>
      </c>
      <c r="X4" s="9" t="s">
        <v>109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24632800</v>
      </c>
      <c r="P34" s="13">
        <f t="shared" si="0"/>
        <v>24632800</v>
      </c>
      <c r="Q34" s="13">
        <f t="shared" si="0"/>
        <v>0</v>
      </c>
      <c r="R34" s="13">
        <f t="shared" si="0"/>
        <v>24632800</v>
      </c>
      <c r="S34" s="13">
        <f t="shared" si="0"/>
        <v>24632800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92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 ht="34">
      <c r="B4" s="8">
        <v>1</v>
      </c>
      <c r="C4" s="9" t="s">
        <v>30</v>
      </c>
      <c r="D4" s="8" t="s">
        <v>13</v>
      </c>
      <c r="E4" s="9">
        <v>202406241</v>
      </c>
      <c r="F4" s="9"/>
      <c r="G4" s="51">
        <v>45533</v>
      </c>
      <c r="H4" s="51">
        <v>45838</v>
      </c>
      <c r="I4" s="9" t="s">
        <v>53</v>
      </c>
      <c r="J4" s="51">
        <f t="shared" ref="J4" si="0">G4</f>
        <v>45533</v>
      </c>
      <c r="K4" s="51">
        <f t="shared" ref="K4" si="1">H4</f>
        <v>45838</v>
      </c>
      <c r="L4" s="10"/>
      <c r="M4" s="9" t="s">
        <v>31</v>
      </c>
      <c r="N4" s="9"/>
      <c r="O4" s="11">
        <v>56000000</v>
      </c>
      <c r="P4" s="11">
        <v>56000000</v>
      </c>
      <c r="Q4" s="15">
        <f>O4-P4</f>
        <v>0</v>
      </c>
      <c r="R4" s="11">
        <v>56000000</v>
      </c>
      <c r="S4" s="11">
        <v>56000000</v>
      </c>
      <c r="T4" s="11"/>
      <c r="U4" s="11"/>
      <c r="V4" s="11"/>
      <c r="W4" s="11">
        <v>0</v>
      </c>
      <c r="X4" s="8" t="s">
        <v>77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9"/>
      <c r="N5" s="9"/>
      <c r="O5" s="11"/>
      <c r="P5" s="11"/>
      <c r="Q5" s="15"/>
      <c r="R5" s="11"/>
      <c r="S5" s="11"/>
      <c r="T5" s="11"/>
      <c r="U5" s="11"/>
      <c r="V5" s="11"/>
      <c r="W5" s="11"/>
      <c r="X5" s="8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2">SUM(O4:O33)</f>
        <v>56000000</v>
      </c>
      <c r="P34" s="13">
        <f t="shared" si="2"/>
        <v>56000000</v>
      </c>
      <c r="Q34" s="13">
        <f t="shared" si="2"/>
        <v>0</v>
      </c>
      <c r="R34" s="13">
        <f t="shared" si="2"/>
        <v>56000000</v>
      </c>
      <c r="S34" s="13">
        <f t="shared" si="2"/>
        <v>56000000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4.33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49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71">
        <v>1</v>
      </c>
      <c r="C4" s="69" t="s">
        <v>52</v>
      </c>
      <c r="D4" s="71"/>
      <c r="E4" s="69" t="s">
        <v>80</v>
      </c>
      <c r="F4" s="69"/>
      <c r="G4" s="65">
        <v>45888</v>
      </c>
      <c r="H4" s="65">
        <v>45900</v>
      </c>
      <c r="I4" s="69"/>
      <c r="J4" s="71"/>
      <c r="K4" s="72"/>
      <c r="L4" s="72"/>
      <c r="M4" s="69" t="s">
        <v>81</v>
      </c>
      <c r="N4" s="69"/>
      <c r="O4" s="15"/>
      <c r="P4" s="15"/>
      <c r="Q4" s="26"/>
      <c r="R4" s="15">
        <v>72080000</v>
      </c>
      <c r="S4" s="15"/>
      <c r="T4" s="15">
        <v>72080000</v>
      </c>
      <c r="U4" s="15"/>
      <c r="V4" s="15"/>
      <c r="W4" s="15"/>
      <c r="X4" s="48" t="s">
        <v>82</v>
      </c>
    </row>
    <row r="5" spans="1:24" s="14" customFormat="1">
      <c r="A5" s="1"/>
      <c r="B5" s="8"/>
      <c r="C5" s="17"/>
      <c r="D5" s="8"/>
      <c r="E5" s="17"/>
      <c r="F5" s="9"/>
      <c r="G5" s="50"/>
      <c r="H5" s="50"/>
      <c r="I5" s="9"/>
      <c r="J5" s="8"/>
      <c r="K5" s="10"/>
      <c r="L5" s="10"/>
      <c r="M5" s="17"/>
      <c r="N5" s="9"/>
      <c r="O5" s="11"/>
      <c r="P5" s="11"/>
      <c r="Q5" s="36"/>
      <c r="R5" s="13"/>
      <c r="S5" s="13"/>
      <c r="T5" s="13"/>
      <c r="U5" s="11"/>
      <c r="V5" s="11"/>
      <c r="W5" s="11"/>
      <c r="X5" s="17"/>
    </row>
    <row r="6" spans="1:24" s="14" customFormat="1">
      <c r="B6" s="8"/>
      <c r="C6" s="17"/>
      <c r="D6" s="8"/>
      <c r="E6" s="17"/>
      <c r="F6" s="9"/>
      <c r="G6" s="50"/>
      <c r="H6" s="50"/>
      <c r="I6" s="9"/>
      <c r="J6" s="8"/>
      <c r="K6" s="10"/>
      <c r="L6" s="10"/>
      <c r="M6" s="17"/>
      <c r="N6" s="9"/>
      <c r="O6" s="11"/>
      <c r="P6" s="11"/>
      <c r="Q6" s="36"/>
      <c r="R6" s="13"/>
      <c r="S6" s="13"/>
      <c r="T6" s="13"/>
      <c r="U6" s="11"/>
      <c r="V6" s="11"/>
      <c r="W6" s="11"/>
      <c r="X6" s="48"/>
    </row>
    <row r="7" spans="1:24" s="14" customFormat="1">
      <c r="B7" s="54"/>
      <c r="C7" s="48"/>
      <c r="D7" s="54"/>
      <c r="E7" s="48"/>
      <c r="F7" s="48"/>
      <c r="G7" s="57"/>
      <c r="H7" s="58"/>
      <c r="I7" s="48"/>
      <c r="J7" s="57"/>
      <c r="K7" s="58"/>
      <c r="L7" s="59"/>
      <c r="M7" s="48"/>
      <c r="N7" s="48"/>
      <c r="O7" s="53"/>
      <c r="P7" s="53"/>
      <c r="Q7" s="53"/>
      <c r="R7" s="53"/>
      <c r="S7" s="53"/>
      <c r="T7" s="53"/>
      <c r="U7" s="53"/>
      <c r="V7" s="53"/>
      <c r="W7" s="60"/>
      <c r="X7" s="56"/>
    </row>
    <row r="8" spans="1:24" s="14" customFormat="1">
      <c r="B8" s="8"/>
      <c r="C8" s="9"/>
      <c r="D8" s="16"/>
      <c r="E8" s="17"/>
      <c r="F8" s="17"/>
      <c r="G8" s="16"/>
      <c r="H8" s="18"/>
      <c r="I8" s="17"/>
      <c r="J8" s="16"/>
      <c r="K8" s="18"/>
      <c r="L8" s="18"/>
      <c r="M8" s="10"/>
      <c r="N8" s="17"/>
      <c r="O8" s="11"/>
      <c r="P8" s="11"/>
      <c r="Q8" s="26"/>
      <c r="R8" s="11"/>
      <c r="S8" s="11"/>
      <c r="T8" s="13"/>
      <c r="U8" s="13"/>
      <c r="V8" s="13"/>
      <c r="W8" s="19"/>
      <c r="X8" s="70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72080000</v>
      </c>
      <c r="S34" s="13">
        <f t="shared" si="0"/>
        <v>0</v>
      </c>
      <c r="T34" s="13">
        <f t="shared" si="0"/>
        <v>72080000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6.6640625" style="2" bestFit="1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49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62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63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/>
      <c r="N5" s="17"/>
      <c r="O5" s="13"/>
      <c r="P5" s="11"/>
      <c r="Q5" s="15"/>
      <c r="R5" s="13"/>
      <c r="S5" s="13"/>
      <c r="T5" s="13"/>
      <c r="U5" s="13"/>
      <c r="V5" s="13"/>
      <c r="W5" s="19"/>
      <c r="X5" s="55"/>
    </row>
    <row r="6" spans="1:24" s="14" customFormat="1">
      <c r="A6" s="1"/>
      <c r="B6" s="16">
        <v>3</v>
      </c>
      <c r="C6" s="17" t="s">
        <v>27</v>
      </c>
      <c r="D6" s="16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16">
        <v>4</v>
      </c>
      <c r="C7" s="17" t="s">
        <v>29</v>
      </c>
      <c r="D7" s="16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33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35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37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61</v>
      </c>
      <c r="D11" s="16" t="s">
        <v>13</v>
      </c>
      <c r="E11" s="17"/>
      <c r="F11" s="17"/>
      <c r="G11" s="65"/>
      <c r="H11" s="18"/>
      <c r="I11" s="17"/>
      <c r="J11" s="16"/>
      <c r="K11" s="18"/>
      <c r="L11" s="18"/>
      <c r="M11" s="64"/>
      <c r="N11" s="17"/>
      <c r="O11" s="13"/>
      <c r="P11" s="11"/>
      <c r="Q11" s="15"/>
      <c r="R11" s="15"/>
      <c r="S11" s="15"/>
      <c r="T11" s="15"/>
      <c r="U11" s="13"/>
      <c r="V11" s="13"/>
      <c r="W11" s="19"/>
      <c r="X11" s="68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3.HST_Turkey</vt:lpstr>
      <vt:lpstr>4.인터모빌리티</vt:lpstr>
      <vt:lpstr>5.GMTECH</vt:lpstr>
      <vt:lpstr>6.다원시스</vt:lpstr>
      <vt:lpstr>7.서울교통공사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dcterms:created xsi:type="dcterms:W3CDTF">2024-12-31T06:54:11Z</dcterms:created>
  <dcterms:modified xsi:type="dcterms:W3CDTF">2026-01-05T04:26:23Z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
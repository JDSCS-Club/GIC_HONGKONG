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Z:\2-7_PIS PA Division\0_사업계획및수주현황\2_수주현황\"/>
    </mc:Choice>
  </mc:AlternateContent>
  <xr:revisionPtr revIDLastSave="0" documentId="13_ncr:1_{F4E1080D-94F3-4A98-9518-2F9AB6443FF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otal" sheetId="4" r:id="rId1"/>
    <sheet name="지아이씨" sheetId="5" r:id="rId2"/>
    <sheet name="다원시스" sheetId="12" r:id="rId3"/>
    <sheet name="실리콘큐브" sheetId="13" r:id="rId4"/>
    <sheet name="티랩" sheetId="14" r:id="rId5"/>
    <sheet name="수주2" sheetId="9" r:id="rId6"/>
    <sheet name="Sheet1" sheetId="10" r:id="rId7"/>
    <sheet name="Sheet2" sheetId="11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P8" i="5" l="1"/>
  <c r="K7" i="4" l="1"/>
  <c r="J7" i="4"/>
  <c r="I7" i="4"/>
  <c r="G7" i="4"/>
  <c r="F7" i="4"/>
  <c r="M7" i="4"/>
  <c r="M5" i="4"/>
  <c r="M6" i="4"/>
  <c r="L7" i="4"/>
  <c r="E7" i="4"/>
  <c r="Q4" i="14"/>
  <c r="U26" i="14"/>
  <c r="T26" i="14"/>
  <c r="O26" i="14"/>
  <c r="N26" i="14"/>
  <c r="P26" i="14"/>
  <c r="K6" i="4"/>
  <c r="J6" i="4"/>
  <c r="I6" i="4"/>
  <c r="G6" i="4"/>
  <c r="F6" i="4"/>
  <c r="E6" i="4"/>
  <c r="K5" i="4"/>
  <c r="J5" i="4"/>
  <c r="I5" i="4"/>
  <c r="F5" i="4"/>
  <c r="E5" i="4"/>
  <c r="L6" i="4"/>
  <c r="G5" i="4"/>
  <c r="L5" i="4"/>
  <c r="U26" i="13"/>
  <c r="O26" i="13"/>
  <c r="N26" i="13"/>
  <c r="T26" i="13"/>
  <c r="P4" i="13"/>
  <c r="R4" i="13" s="1"/>
  <c r="U26" i="12"/>
  <c r="O26" i="12"/>
  <c r="N26" i="12"/>
  <c r="T26" i="12"/>
  <c r="P4" i="12"/>
  <c r="P7" i="5"/>
  <c r="R7" i="5" s="1"/>
  <c r="S7" i="5" s="1"/>
  <c r="P6" i="5"/>
  <c r="R6" i="5" s="1"/>
  <c r="T6" i="5" s="1"/>
  <c r="P5" i="5"/>
  <c r="R5" i="5" s="1"/>
  <c r="S5" i="5" s="1"/>
  <c r="P26" i="12" l="1"/>
  <c r="P26" i="13"/>
  <c r="R26" i="13"/>
  <c r="S4" i="13"/>
  <c r="S4" i="12"/>
  <c r="G4" i="4"/>
  <c r="D4" i="4"/>
  <c r="P4" i="5"/>
  <c r="R4" i="5" s="1"/>
  <c r="S4" i="5" s="1"/>
  <c r="T26" i="5"/>
  <c r="K4" i="4" s="1"/>
  <c r="R26" i="14" l="1"/>
  <c r="S4" i="14"/>
  <c r="S26" i="14" s="1"/>
  <c r="S26" i="13"/>
  <c r="R26" i="12"/>
  <c r="S26" i="12"/>
  <c r="K17" i="4"/>
  <c r="U26" i="5" l="1"/>
  <c r="M4" i="4" s="1"/>
  <c r="N26" i="5" l="1"/>
  <c r="O26" i="5" l="1"/>
  <c r="E4" i="4" s="1"/>
  <c r="P26" i="5" l="1"/>
  <c r="F4" i="4" s="1"/>
  <c r="R26" i="5" l="1"/>
  <c r="I4" i="4" s="1"/>
  <c r="L4" i="4" s="1"/>
  <c r="S26" i="5" l="1"/>
  <c r="J4" i="4" s="1"/>
  <c r="J17" i="4" l="1"/>
  <c r="G17" i="4" l="1"/>
  <c r="F17" i="4" l="1"/>
  <c r="M17" i="4"/>
  <c r="I17" i="4" l="1"/>
  <c r="E17" i="4"/>
  <c r="N17" i="4" l="1"/>
  <c r="O17" i="4" l="1"/>
  <c r="L17" i="4" l="1"/>
</calcChain>
</file>

<file path=xl/sharedStrings.xml><?xml version="1.0" encoding="utf-8"?>
<sst xmlns="http://schemas.openxmlformats.org/spreadsheetml/2006/main" count="161" uniqueCount="67">
  <si>
    <t>순</t>
    <phoneticPr fontId="2" type="noConversion"/>
  </si>
  <si>
    <t>구분</t>
    <phoneticPr fontId="2" type="noConversion"/>
  </si>
  <si>
    <t>고객</t>
  </si>
  <si>
    <t>견적번호</t>
    <phoneticPr fontId="1" type="noConversion"/>
  </si>
  <si>
    <t>유효일</t>
    <phoneticPr fontId="1" type="noConversion"/>
  </si>
  <si>
    <t>비고</t>
    <phoneticPr fontId="1" type="noConversion"/>
  </si>
  <si>
    <t>견적금액(외화)</t>
    <phoneticPr fontId="1" type="noConversion"/>
  </si>
  <si>
    <t>견적금액(KRW)</t>
    <phoneticPr fontId="1" type="noConversion"/>
  </si>
  <si>
    <t>국가</t>
    <phoneticPr fontId="1" type="noConversion"/>
  </si>
  <si>
    <t>견적일</t>
    <phoneticPr fontId="1" type="noConversion"/>
  </si>
  <si>
    <t>가능등급</t>
    <phoneticPr fontId="1" type="noConversion"/>
  </si>
  <si>
    <t>AB 등급</t>
    <phoneticPr fontId="1" type="noConversion"/>
  </si>
  <si>
    <t>CD등급</t>
    <phoneticPr fontId="1" type="noConversion"/>
  </si>
  <si>
    <t>Sub-Amount</t>
    <phoneticPr fontId="1" type="noConversion"/>
  </si>
  <si>
    <t>업체가</t>
    <phoneticPr fontId="1" type="noConversion"/>
  </si>
  <si>
    <t>순</t>
    <phoneticPr fontId="1" type="noConversion"/>
  </si>
  <si>
    <t>제작사원가</t>
    <phoneticPr fontId="1" type="noConversion"/>
  </si>
  <si>
    <t>매출손익</t>
    <phoneticPr fontId="1" type="noConversion"/>
  </si>
  <si>
    <t>견적가</t>
    <phoneticPr fontId="1" type="noConversion"/>
  </si>
  <si>
    <t>AB</t>
    <phoneticPr fontId="1" type="noConversion"/>
  </si>
  <si>
    <t>CD</t>
    <phoneticPr fontId="1" type="noConversion"/>
  </si>
  <si>
    <t>Total</t>
    <phoneticPr fontId="1" type="noConversion"/>
  </si>
  <si>
    <t>수주가</t>
    <phoneticPr fontId="1" type="noConversion"/>
  </si>
  <si>
    <t>손익율</t>
    <phoneticPr fontId="1" type="noConversion"/>
  </si>
  <si>
    <t>수주율</t>
    <phoneticPr fontId="1" type="noConversion"/>
  </si>
  <si>
    <t>수주금액 (전체)</t>
    <phoneticPr fontId="1" type="noConversion"/>
  </si>
  <si>
    <t>전체수주가</t>
    <phoneticPr fontId="1" type="noConversion"/>
  </si>
  <si>
    <t>구분</t>
    <phoneticPr fontId="1" type="noConversion"/>
  </si>
  <si>
    <t>소계</t>
    <phoneticPr fontId="1" type="noConversion"/>
  </si>
  <si>
    <t>수주금액 (2024년)</t>
    <phoneticPr fontId="1" type="noConversion"/>
  </si>
  <si>
    <t>2024년 수주가</t>
    <phoneticPr fontId="1" type="noConversion"/>
  </si>
  <si>
    <t>수주금액 (2025년)</t>
    <phoneticPr fontId="1" type="noConversion"/>
  </si>
  <si>
    <t>2025년 수주가</t>
    <phoneticPr fontId="1" type="noConversion"/>
  </si>
  <si>
    <t>Item</t>
    <phoneticPr fontId="1" type="noConversion"/>
  </si>
  <si>
    <t>RFQ no.</t>
    <phoneticPr fontId="1" type="noConversion"/>
  </si>
  <si>
    <t>수량</t>
    <phoneticPr fontId="1" type="noConversion"/>
  </si>
  <si>
    <t>한국</t>
    <phoneticPr fontId="1" type="noConversion"/>
  </si>
  <si>
    <t>지아이씨</t>
    <phoneticPr fontId="1" type="noConversion"/>
  </si>
  <si>
    <t>CSP24-0409-1</t>
    <phoneticPr fontId="1" type="noConversion"/>
  </si>
  <si>
    <t>240930</t>
    <phoneticPr fontId="1" type="noConversion"/>
  </si>
  <si>
    <t>A</t>
    <phoneticPr fontId="1" type="noConversion"/>
  </si>
  <si>
    <t>생산</t>
    <phoneticPr fontId="1" type="noConversion"/>
  </si>
  <si>
    <t>고객명</t>
    <phoneticPr fontId="1" type="noConversion"/>
  </si>
  <si>
    <t>PAB, EID PSR, ETND, EDD 생산</t>
    <phoneticPr fontId="1" type="noConversion"/>
  </si>
  <si>
    <t>CSP24-0409-2</t>
    <phoneticPr fontId="1" type="noConversion"/>
  </si>
  <si>
    <t>240412</t>
    <phoneticPr fontId="1" type="noConversion"/>
  </si>
  <si>
    <t>CSP24-0524-1</t>
    <phoneticPr fontId="1" type="noConversion"/>
  </si>
  <si>
    <t>250227</t>
    <phoneticPr fontId="1" type="noConversion"/>
  </si>
  <si>
    <t>MOP, MSR, CTM생산</t>
    <phoneticPr fontId="1" type="noConversion"/>
  </si>
  <si>
    <t>CSP24-0524-2</t>
    <phoneticPr fontId="1" type="noConversion"/>
  </si>
  <si>
    <t>240726</t>
    <phoneticPr fontId="1" type="noConversion"/>
  </si>
  <si>
    <t>Board수리</t>
    <phoneticPr fontId="1" type="noConversion"/>
  </si>
  <si>
    <t>PAB, EID, PSR, ETND, EDD생산</t>
    <phoneticPr fontId="1" type="noConversion"/>
  </si>
  <si>
    <t>PSR-Hub외 9종생산</t>
    <phoneticPr fontId="1" type="noConversion"/>
  </si>
  <si>
    <t>실리콘큐브</t>
    <phoneticPr fontId="1" type="noConversion"/>
  </si>
  <si>
    <t>MSR/PSR/MOP/CTM 수리</t>
    <phoneticPr fontId="1" type="noConversion"/>
  </si>
  <si>
    <t>뉴펄스진행</t>
    <phoneticPr fontId="1" type="noConversion"/>
  </si>
  <si>
    <t>다원시스</t>
    <phoneticPr fontId="1" type="noConversion"/>
  </si>
  <si>
    <t>240524</t>
    <phoneticPr fontId="1" type="noConversion"/>
  </si>
  <si>
    <t>7호선3차분 TCMS 개조</t>
    <phoneticPr fontId="1" type="noConversion"/>
  </si>
  <si>
    <t>240712</t>
    <phoneticPr fontId="1" type="noConversion"/>
  </si>
  <si>
    <t>4호선방송편집기</t>
    <phoneticPr fontId="1" type="noConversion"/>
  </si>
  <si>
    <t>B</t>
    <phoneticPr fontId="1" type="noConversion"/>
  </si>
  <si>
    <t>티랩</t>
    <phoneticPr fontId="1" type="noConversion"/>
  </si>
  <si>
    <t>240718</t>
    <phoneticPr fontId="1" type="noConversion"/>
  </si>
  <si>
    <t>C</t>
    <phoneticPr fontId="1" type="noConversion"/>
  </si>
  <si>
    <t>PCB boards 생산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</si>
</sst>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_ "/>
    <numFmt numFmtId="177" formatCode="[$HKD]\ #,##0.00"/>
    <numFmt numFmtId="178" formatCode="yyyy&quot;년&quot;\ m&quot;월&quot;\ d&quot;일&quot;;@"/>
    <numFmt numFmtId="179" formatCode="#,##0_);[Red]\(#,##0\)"/>
  </numFmts>
  <fonts count="1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2"/>
      <name val="바탕"/>
      <family val="1"/>
      <charset val="129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rgb="FF00B050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b/>
      <u/>
      <sz val="11"/>
      <color rgb="FF00B050"/>
      <name val="맑은 고딕"/>
      <family val="3"/>
      <charset val="129"/>
      <scheme val="minor"/>
    </font>
    <font>
      <b/>
      <u/>
      <sz val="1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8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176" fontId="0" fillId="0" borderId="0" xfId="0" applyNumberFormat="1" applyAlignment="1">
      <alignment horizontal="center" vertical="center"/>
    </xf>
    <xf numFmtId="176" fontId="0" fillId="0" borderId="1" xfId="0" applyNumberForma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176" fontId="4" fillId="0" borderId="0" xfId="0" applyNumberFormat="1" applyFont="1" applyAlignment="1">
      <alignment horizontal="center" vertical="center"/>
    </xf>
    <xf numFmtId="10" fontId="5" fillId="0" borderId="0" xfId="0" applyNumberFormat="1" applyFon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176" fontId="0" fillId="0" borderId="0" xfId="0" applyNumberFormat="1" applyAlignment="1">
      <alignment horizontal="center" vertical="center" wrapText="1"/>
    </xf>
    <xf numFmtId="179" fontId="5" fillId="0" borderId="0" xfId="0" applyNumberFormat="1" applyFont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3" fontId="0" fillId="0" borderId="1" xfId="0" applyNumberFormat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3" fontId="6" fillId="0" borderId="1" xfId="0" applyNumberFormat="1" applyFont="1" applyBorder="1">
      <alignment vertical="center"/>
    </xf>
    <xf numFmtId="0" fontId="6" fillId="0" borderId="0" xfId="0" applyFont="1">
      <alignment vertical="center"/>
    </xf>
    <xf numFmtId="179" fontId="0" fillId="0" borderId="1" xfId="0" applyNumberFormat="1" applyBorder="1">
      <alignment vertical="center"/>
    </xf>
    <xf numFmtId="179" fontId="0" fillId="0" borderId="0" xfId="0" applyNumberFormat="1">
      <alignment vertical="center"/>
    </xf>
    <xf numFmtId="10" fontId="0" fillId="0" borderId="1" xfId="0" applyNumberFormat="1" applyBorder="1">
      <alignment vertical="center"/>
    </xf>
    <xf numFmtId="10" fontId="6" fillId="0" borderId="1" xfId="0" applyNumberFormat="1" applyFont="1" applyBorder="1">
      <alignment vertical="center"/>
    </xf>
    <xf numFmtId="3" fontId="0" fillId="0" borderId="2" xfId="0" applyNumberFormat="1" applyBorder="1">
      <alignment vertical="center"/>
    </xf>
    <xf numFmtId="3" fontId="6" fillId="0" borderId="2" xfId="0" applyNumberFormat="1" applyFont="1" applyBorder="1">
      <alignment vertical="center"/>
    </xf>
    <xf numFmtId="3" fontId="0" fillId="0" borderId="4" xfId="0" applyNumberFormat="1" applyBorder="1">
      <alignment vertical="center"/>
    </xf>
    <xf numFmtId="3" fontId="6" fillId="0" borderId="4" xfId="0" applyNumberFormat="1" applyFont="1" applyBorder="1">
      <alignment vertical="center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0" fontId="0" fillId="0" borderId="4" xfId="0" applyNumberFormat="1" applyBorder="1">
      <alignment vertical="center"/>
    </xf>
    <xf numFmtId="10" fontId="6" fillId="0" borderId="4" xfId="0" applyNumberFormat="1" applyFont="1" applyBorder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3" fontId="8" fillId="0" borderId="1" xfId="0" applyNumberFormat="1" applyFont="1" applyBorder="1" applyAlignment="1">
      <alignment horizontal="center" vertical="center"/>
    </xf>
    <xf numFmtId="0" fontId="7" fillId="0" borderId="0" xfId="0" applyFo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0" fillId="0" borderId="1" xfId="0" applyBorder="1" applyAlignment="1">
      <alignment vertical="center" wrapText="1"/>
    </xf>
    <xf numFmtId="179" fontId="0" fillId="0" borderId="1" xfId="0" applyNumberForma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 wrapText="1"/>
    </xf>
    <xf numFmtId="177" fontId="8" fillId="0" borderId="1" xfId="0" applyNumberFormat="1" applyFont="1" applyBorder="1" applyAlignment="1">
      <alignment horizontal="center" vertical="center"/>
    </xf>
    <xf numFmtId="3" fontId="8" fillId="0" borderId="7" xfId="0" applyNumberFormat="1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177" fontId="7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177" fontId="9" fillId="0" borderId="1" xfId="0" applyNumberFormat="1" applyFont="1" applyBorder="1" applyAlignment="1">
      <alignment horizontal="center" vertical="center"/>
    </xf>
    <xf numFmtId="3" fontId="9" fillId="0" borderId="1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/>
    </xf>
    <xf numFmtId="0" fontId="6" fillId="0" borderId="8" xfId="0" applyFont="1" applyBorder="1" applyAlignment="1">
      <alignment vertical="center" wrapText="1"/>
    </xf>
    <xf numFmtId="3" fontId="6" fillId="0" borderId="8" xfId="0" applyNumberFormat="1" applyFont="1" applyBorder="1">
      <alignment vertical="center"/>
    </xf>
    <xf numFmtId="10" fontId="6" fillId="0" borderId="8" xfId="0" applyNumberFormat="1" applyFont="1" applyBorder="1">
      <alignment vertical="center"/>
    </xf>
    <xf numFmtId="0" fontId="6" fillId="0" borderId="8" xfId="0" applyFont="1" applyBorder="1">
      <alignment vertical="center"/>
    </xf>
    <xf numFmtId="3" fontId="6" fillId="0" borderId="0" xfId="0" applyNumberFormat="1" applyFont="1" applyBorder="1">
      <alignment vertical="center"/>
    </xf>
    <xf numFmtId="0" fontId="6" fillId="0" borderId="9" xfId="0" applyFont="1" applyBorder="1" applyAlignment="1">
      <alignment horizontal="center" vertical="center"/>
    </xf>
    <xf numFmtId="3" fontId="0" fillId="0" borderId="9" xfId="0" applyNumberFormat="1" applyBorder="1">
      <alignment vertical="center"/>
    </xf>
    <xf numFmtId="3" fontId="6" fillId="0" borderId="9" xfId="0" applyNumberFormat="1" applyFont="1" applyBorder="1">
      <alignment vertical="center"/>
    </xf>
    <xf numFmtId="0" fontId="0" fillId="0" borderId="4" xfId="0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P18"/>
  <sheetViews>
    <sheetView tabSelected="1" workbookViewId="0">
      <selection activeCell="I17" sqref="I17"/>
    </sheetView>
  </sheetViews>
  <sheetFormatPr defaultRowHeight="16.5" x14ac:dyDescent="0.3"/>
  <cols>
    <col min="1" max="1" width="4" customWidth="1"/>
    <col min="2" max="2" width="16.25" style="7" customWidth="1"/>
    <col min="3" max="3" width="5.25" style="1" bestFit="1" customWidth="1"/>
    <col min="4" max="4" width="15.25" style="52" bestFit="1" customWidth="1"/>
    <col min="5" max="6" width="16.25" bestFit="1" customWidth="1"/>
    <col min="7" max="7" width="15" bestFit="1" customWidth="1"/>
    <col min="8" max="8" width="1.25" customWidth="1"/>
    <col min="9" max="9" width="15" bestFit="1" customWidth="1"/>
    <col min="10" max="11" width="14.875" bestFit="1" customWidth="1"/>
    <col min="12" max="13" width="14.875" customWidth="1"/>
    <col min="14" max="14" width="15" bestFit="1" customWidth="1"/>
    <col min="15" max="15" width="13.75" customWidth="1"/>
    <col min="16" max="16" width="14.75" customWidth="1"/>
    <col min="17" max="17" width="10.125" customWidth="1"/>
  </cols>
  <sheetData>
    <row r="2" spans="2:16" x14ac:dyDescent="0.3">
      <c r="B2" s="46"/>
      <c r="C2" s="34"/>
      <c r="D2" s="48"/>
      <c r="E2" s="80" t="s">
        <v>18</v>
      </c>
      <c r="F2" s="81"/>
      <c r="G2" s="82"/>
      <c r="H2" s="25"/>
      <c r="I2" s="35" t="s">
        <v>22</v>
      </c>
      <c r="J2" s="45"/>
      <c r="K2" s="45"/>
      <c r="L2" s="45"/>
      <c r="M2" s="45"/>
      <c r="N2" s="45"/>
      <c r="O2" s="36"/>
      <c r="P2" s="25"/>
    </row>
    <row r="3" spans="2:16" s="1" customFormat="1" x14ac:dyDescent="0.3">
      <c r="B3" s="47" t="s">
        <v>27</v>
      </c>
      <c r="C3" s="22" t="s">
        <v>15</v>
      </c>
      <c r="D3" s="47" t="s">
        <v>42</v>
      </c>
      <c r="E3" s="22" t="s">
        <v>21</v>
      </c>
      <c r="F3" s="22" t="s">
        <v>19</v>
      </c>
      <c r="G3" s="35" t="s">
        <v>20</v>
      </c>
      <c r="H3" s="76"/>
      <c r="I3" s="36" t="s">
        <v>26</v>
      </c>
      <c r="J3" s="36" t="s">
        <v>30</v>
      </c>
      <c r="K3" s="36" t="s">
        <v>32</v>
      </c>
      <c r="L3" s="36" t="s">
        <v>24</v>
      </c>
      <c r="M3" s="22" t="s">
        <v>16</v>
      </c>
      <c r="N3" s="22" t="s">
        <v>17</v>
      </c>
      <c r="O3" s="22" t="s">
        <v>23</v>
      </c>
      <c r="P3" s="22" t="s">
        <v>5</v>
      </c>
    </row>
    <row r="4" spans="2:16" x14ac:dyDescent="0.3">
      <c r="B4" s="55" t="s">
        <v>41</v>
      </c>
      <c r="C4" s="2">
        <v>1</v>
      </c>
      <c r="D4" s="49" t="str">
        <f>지아이씨!D4</f>
        <v>지아이씨</v>
      </c>
      <c r="E4" s="21">
        <f>지아이씨!O26</f>
        <v>1137263287</v>
      </c>
      <c r="F4" s="21">
        <f>지아이씨!P26</f>
        <v>1137263287</v>
      </c>
      <c r="G4" s="30">
        <f>지아이씨!Q26</f>
        <v>0</v>
      </c>
      <c r="H4" s="77"/>
      <c r="I4" s="32">
        <f>지아이씨!R26</f>
        <v>975546450</v>
      </c>
      <c r="J4" s="32">
        <f>지아이씨!S26</f>
        <v>624835700</v>
      </c>
      <c r="K4" s="32">
        <f>지아이씨!T26</f>
        <v>350710750</v>
      </c>
      <c r="L4" s="37">
        <f>I4/E4</f>
        <v>0.85780176072807668</v>
      </c>
      <c r="M4" s="21">
        <f>지아이씨!U26</f>
        <v>0</v>
      </c>
      <c r="N4" s="21"/>
      <c r="O4" s="28"/>
      <c r="P4" s="20"/>
    </row>
    <row r="5" spans="2:16" x14ac:dyDescent="0.3">
      <c r="B5" s="56"/>
      <c r="C5" s="2">
        <v>2</v>
      </c>
      <c r="D5" s="49" t="s">
        <v>57</v>
      </c>
      <c r="E5" s="21">
        <f>다원시스!O26</f>
        <v>286485635</v>
      </c>
      <c r="F5" s="21">
        <f>다원시스!P26</f>
        <v>270843306</v>
      </c>
      <c r="G5" s="30">
        <f>지아이씨!Q26</f>
        <v>0</v>
      </c>
      <c r="H5" s="77"/>
      <c r="I5" s="32">
        <f>다원시스!R26</f>
        <v>270000000</v>
      </c>
      <c r="J5" s="32">
        <f>다원시스!S26</f>
        <v>270000000</v>
      </c>
      <c r="K5" s="32">
        <f>다원시스!T26</f>
        <v>0</v>
      </c>
      <c r="L5" s="37">
        <f>I5/E5</f>
        <v>0.94245563132685517</v>
      </c>
      <c r="M5" s="21">
        <f>다원시스!U26</f>
        <v>0</v>
      </c>
      <c r="N5" s="21"/>
      <c r="O5" s="28"/>
      <c r="P5" s="20"/>
    </row>
    <row r="6" spans="2:16" x14ac:dyDescent="0.3">
      <c r="B6" s="56"/>
      <c r="C6" s="2">
        <v>3</v>
      </c>
      <c r="D6" s="49" t="s">
        <v>54</v>
      </c>
      <c r="E6" s="21">
        <f>실리콘큐브!O26</f>
        <v>46840000</v>
      </c>
      <c r="F6" s="21">
        <f>실리콘큐브!P26</f>
        <v>46840000</v>
      </c>
      <c r="G6" s="30">
        <f>실리콘큐브!Q26</f>
        <v>0</v>
      </c>
      <c r="H6" s="77"/>
      <c r="I6" s="32">
        <f>실리콘큐브!R26</f>
        <v>46840000</v>
      </c>
      <c r="J6" s="32">
        <f>실리콘큐브!S26</f>
        <v>46840000</v>
      </c>
      <c r="K6" s="32">
        <f>실리콘큐브!T26</f>
        <v>0</v>
      </c>
      <c r="L6" s="37">
        <f>I6/E6</f>
        <v>1</v>
      </c>
      <c r="M6" s="21">
        <f>실리콘큐브!U26</f>
        <v>0</v>
      </c>
      <c r="N6" s="21"/>
      <c r="O6" s="28"/>
      <c r="P6" s="20"/>
    </row>
    <row r="7" spans="2:16" s="27" customFormat="1" x14ac:dyDescent="0.3">
      <c r="B7" s="56"/>
      <c r="C7" s="2">
        <v>4</v>
      </c>
      <c r="D7" s="50" t="s">
        <v>63</v>
      </c>
      <c r="E7" s="21">
        <f>티랩!O26</f>
        <v>482560000</v>
      </c>
      <c r="F7" s="21">
        <f>티랩!P26</f>
        <v>0</v>
      </c>
      <c r="G7" s="30">
        <f>티랩!Q26</f>
        <v>0</v>
      </c>
      <c r="H7" s="77"/>
      <c r="I7" s="32">
        <f>티랩!R26</f>
        <v>0</v>
      </c>
      <c r="J7" s="32">
        <f>티랩!S26</f>
        <v>0</v>
      </c>
      <c r="K7" s="32">
        <f>티랩!T26</f>
        <v>0</v>
      </c>
      <c r="L7" s="37">
        <f>I7/E7</f>
        <v>0</v>
      </c>
      <c r="M7" s="21">
        <f>티랩!U26</f>
        <v>0</v>
      </c>
      <c r="N7" s="21"/>
      <c r="O7" s="28"/>
      <c r="P7" s="26"/>
    </row>
    <row r="8" spans="2:16" x14ac:dyDescent="0.3">
      <c r="B8" s="56"/>
      <c r="C8" s="2">
        <v>5</v>
      </c>
      <c r="D8" s="49"/>
      <c r="E8" s="21"/>
      <c r="F8" s="21"/>
      <c r="G8" s="30"/>
      <c r="H8" s="77"/>
      <c r="I8" s="32"/>
      <c r="J8" s="32"/>
      <c r="K8" s="32"/>
      <c r="L8" s="37"/>
      <c r="M8" s="21"/>
      <c r="N8" s="21"/>
      <c r="O8" s="28"/>
      <c r="P8" s="20"/>
    </row>
    <row r="9" spans="2:16" x14ac:dyDescent="0.3">
      <c r="B9" s="56"/>
      <c r="C9" s="2">
        <v>6</v>
      </c>
      <c r="D9" s="49"/>
      <c r="E9" s="21"/>
      <c r="F9" s="21"/>
      <c r="G9" s="30"/>
      <c r="H9" s="77"/>
      <c r="I9" s="32"/>
      <c r="J9" s="32"/>
      <c r="K9" s="32"/>
      <c r="L9" s="37"/>
      <c r="M9" s="21"/>
      <c r="N9" s="21"/>
      <c r="O9" s="28"/>
      <c r="P9" s="20"/>
    </row>
    <row r="10" spans="2:16" x14ac:dyDescent="0.3">
      <c r="B10" s="56"/>
      <c r="C10" s="2"/>
      <c r="D10" s="49"/>
      <c r="E10" s="21"/>
      <c r="F10" s="21"/>
      <c r="G10" s="30"/>
      <c r="H10" s="77"/>
      <c r="I10" s="32"/>
      <c r="J10" s="32"/>
      <c r="K10" s="32"/>
      <c r="L10" s="37"/>
      <c r="M10" s="21"/>
      <c r="N10" s="21"/>
      <c r="O10" s="28"/>
      <c r="P10" s="20"/>
    </row>
    <row r="11" spans="2:16" x14ac:dyDescent="0.3">
      <c r="B11" s="56"/>
      <c r="C11" s="2"/>
      <c r="D11" s="49"/>
      <c r="E11" s="21"/>
      <c r="F11" s="21"/>
      <c r="G11" s="30"/>
      <c r="H11" s="77"/>
      <c r="I11" s="32"/>
      <c r="J11" s="32"/>
      <c r="K11" s="32"/>
      <c r="L11" s="37"/>
      <c r="M11" s="21"/>
      <c r="N11" s="21"/>
      <c r="O11" s="28"/>
      <c r="P11" s="20"/>
    </row>
    <row r="12" spans="2:16" x14ac:dyDescent="0.3">
      <c r="B12" s="56"/>
      <c r="C12" s="2"/>
      <c r="D12" s="49"/>
      <c r="E12" s="21"/>
      <c r="F12" s="21"/>
      <c r="G12" s="30"/>
      <c r="H12" s="77"/>
      <c r="I12" s="32"/>
      <c r="J12" s="32"/>
      <c r="K12" s="32"/>
      <c r="L12" s="37"/>
      <c r="M12" s="21"/>
      <c r="N12" s="21"/>
      <c r="O12" s="28"/>
      <c r="P12" s="20"/>
    </row>
    <row r="13" spans="2:16" x14ac:dyDescent="0.3">
      <c r="B13" s="56"/>
      <c r="C13" s="2"/>
      <c r="D13" s="49"/>
      <c r="E13" s="21"/>
      <c r="F13" s="21"/>
      <c r="G13" s="30"/>
      <c r="H13" s="77"/>
      <c r="I13" s="32"/>
      <c r="J13" s="32"/>
      <c r="K13" s="32"/>
      <c r="L13" s="37"/>
      <c r="M13" s="21"/>
      <c r="N13" s="21"/>
      <c r="O13" s="28"/>
      <c r="P13" s="20"/>
    </row>
    <row r="14" spans="2:16" x14ac:dyDescent="0.3">
      <c r="B14" s="56"/>
      <c r="C14" s="2"/>
      <c r="D14" s="49"/>
      <c r="E14" s="21"/>
      <c r="F14" s="21"/>
      <c r="G14" s="30"/>
      <c r="H14" s="77"/>
      <c r="I14" s="32"/>
      <c r="J14" s="32"/>
      <c r="K14" s="32"/>
      <c r="L14" s="37"/>
      <c r="M14" s="21"/>
      <c r="N14" s="21"/>
      <c r="O14" s="28"/>
      <c r="P14" s="20"/>
    </row>
    <row r="15" spans="2:16" x14ac:dyDescent="0.3">
      <c r="B15" s="56"/>
      <c r="C15" s="2"/>
      <c r="D15" s="49"/>
      <c r="E15" s="21"/>
      <c r="F15" s="21"/>
      <c r="G15" s="30"/>
      <c r="H15" s="77"/>
      <c r="I15" s="32"/>
      <c r="J15" s="32"/>
      <c r="K15" s="32"/>
      <c r="L15" s="37"/>
      <c r="M15" s="21"/>
      <c r="N15" s="21"/>
      <c r="O15" s="28"/>
      <c r="P15" s="20"/>
    </row>
    <row r="16" spans="2:16" x14ac:dyDescent="0.3">
      <c r="B16" s="56"/>
      <c r="C16" s="2"/>
      <c r="D16" s="49"/>
      <c r="E16" s="21"/>
      <c r="F16" s="21"/>
      <c r="G16" s="30"/>
      <c r="H16" s="77"/>
      <c r="I16" s="32"/>
      <c r="J16" s="32"/>
      <c r="K16" s="32"/>
      <c r="L16" s="37"/>
      <c r="M16" s="21"/>
      <c r="N16" s="21"/>
      <c r="O16" s="28"/>
      <c r="P16" s="20"/>
    </row>
    <row r="17" spans="2:16" s="25" customFormat="1" x14ac:dyDescent="0.3">
      <c r="B17" s="47"/>
      <c r="C17" s="22"/>
      <c r="D17" s="51" t="s">
        <v>28</v>
      </c>
      <c r="E17" s="24">
        <f>SUM(E4:E9)</f>
        <v>1953148922</v>
      </c>
      <c r="F17" s="24">
        <f>SUM(F4:F9)</f>
        <v>1454946593</v>
      </c>
      <c r="G17" s="31">
        <f>SUM(G4:G9)</f>
        <v>0</v>
      </c>
      <c r="H17" s="78"/>
      <c r="I17" s="33">
        <f>SUM(I4:I9)</f>
        <v>1292386450</v>
      </c>
      <c r="J17" s="33">
        <f>SUM(J4:J9)</f>
        <v>941675700</v>
      </c>
      <c r="K17" s="33">
        <f>SUM(K4:K8)</f>
        <v>350710750</v>
      </c>
      <c r="L17" s="38">
        <f t="shared" ref="L17" si="0">I17/E17</f>
        <v>0.6616937579325044</v>
      </c>
      <c r="M17" s="24">
        <f>SUM(M4:M9)</f>
        <v>0</v>
      </c>
      <c r="N17" s="24">
        <f>SUM(N4:N9)</f>
        <v>0</v>
      </c>
      <c r="O17" s="29">
        <f>N17/I17</f>
        <v>0</v>
      </c>
      <c r="P17" s="23"/>
    </row>
    <row r="18" spans="2:16" s="25" customFormat="1" x14ac:dyDescent="0.3">
      <c r="B18" s="69"/>
      <c r="C18" s="70"/>
      <c r="D18" s="71"/>
      <c r="E18" s="72"/>
      <c r="F18" s="72"/>
      <c r="G18" s="72"/>
      <c r="H18" s="75"/>
      <c r="I18" s="72"/>
      <c r="J18" s="72"/>
      <c r="K18" s="72"/>
      <c r="L18" s="73"/>
      <c r="M18" s="72"/>
      <c r="N18" s="72"/>
      <c r="O18" s="73"/>
      <c r="P18" s="74"/>
    </row>
  </sheetData>
  <mergeCells count="1">
    <mergeCell ref="E2:G2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V27"/>
  <sheetViews>
    <sheetView zoomScale="85" zoomScaleNormal="85" workbookViewId="0">
      <pane xSplit="9" ySplit="3" topLeftCell="K4" activePane="bottomRight" state="frozen"/>
      <selection pane="topRight" activeCell="J1" sqref="J1"/>
      <selection pane="bottomLeft" activeCell="A4" sqref="A4"/>
      <selection pane="bottomRight" activeCell="R8" sqref="R8"/>
    </sheetView>
  </sheetViews>
  <sheetFormatPr defaultRowHeight="16.5" x14ac:dyDescent="0.3"/>
  <cols>
    <col min="1" max="1" width="4.25" customWidth="1"/>
    <col min="2" max="2" width="5.75" style="1" customWidth="1"/>
    <col min="3" max="3" width="5.25" style="1" bestFit="1" customWidth="1"/>
    <col min="4" max="4" width="8.75" style="7" bestFit="1" customWidth="1"/>
    <col min="5" max="5" width="20.875" style="7" customWidth="1"/>
    <col min="6" max="6" width="14.875" style="7" bestFit="1" customWidth="1"/>
    <col min="7" max="7" width="9.25" style="1" customWidth="1"/>
    <col min="8" max="8" width="9.125" style="12" customWidth="1"/>
    <col min="9" max="9" width="5.875" style="12" bestFit="1" customWidth="1"/>
    <col min="10" max="11" width="33.25" style="7" customWidth="1"/>
    <col min="12" max="12" width="11" style="7" customWidth="1"/>
    <col min="13" max="13" width="5.75" style="7" customWidth="1"/>
    <col min="14" max="14" width="21.5" style="8" bestFit="1" customWidth="1"/>
    <col min="15" max="15" width="15.875" style="8" customWidth="1"/>
    <col min="16" max="18" width="16.125" style="8" customWidth="1"/>
    <col min="19" max="20" width="18.125" style="8" customWidth="1"/>
    <col min="21" max="21" width="16.125" style="8" customWidth="1"/>
    <col min="22" max="22" width="12.75" style="17" customWidth="1"/>
    <col min="23" max="23" width="17.25" customWidth="1"/>
  </cols>
  <sheetData>
    <row r="2" spans="2:22" x14ac:dyDescent="0.3">
      <c r="B2" s="6"/>
      <c r="C2" s="6"/>
    </row>
    <row r="3" spans="2:22" s="1" customFormat="1" ht="33" x14ac:dyDescent="0.3">
      <c r="B3" s="2" t="s">
        <v>0</v>
      </c>
      <c r="C3" s="2" t="s">
        <v>8</v>
      </c>
      <c r="D3" s="3" t="s">
        <v>2</v>
      </c>
      <c r="E3" s="3" t="s">
        <v>3</v>
      </c>
      <c r="F3" s="3" t="s">
        <v>34</v>
      </c>
      <c r="G3" s="3" t="s">
        <v>9</v>
      </c>
      <c r="H3" s="4" t="s">
        <v>4</v>
      </c>
      <c r="I3" s="4" t="s">
        <v>33</v>
      </c>
      <c r="J3" s="5" t="s">
        <v>1</v>
      </c>
      <c r="K3" s="5" t="s">
        <v>27</v>
      </c>
      <c r="L3" s="5" t="s">
        <v>35</v>
      </c>
      <c r="M3" s="5" t="s">
        <v>10</v>
      </c>
      <c r="N3" s="9" t="s">
        <v>6</v>
      </c>
      <c r="O3" s="9" t="s">
        <v>7</v>
      </c>
      <c r="P3" s="9" t="s">
        <v>11</v>
      </c>
      <c r="Q3" s="9" t="s">
        <v>12</v>
      </c>
      <c r="R3" s="9" t="s">
        <v>25</v>
      </c>
      <c r="S3" s="9" t="s">
        <v>29</v>
      </c>
      <c r="T3" s="9" t="s">
        <v>31</v>
      </c>
      <c r="U3" s="9" t="s">
        <v>14</v>
      </c>
      <c r="V3" s="9" t="s">
        <v>5</v>
      </c>
    </row>
    <row r="4" spans="2:22" s="1" customFormat="1" x14ac:dyDescent="0.3">
      <c r="B4" s="39">
        <v>1</v>
      </c>
      <c r="C4" s="39" t="s">
        <v>36</v>
      </c>
      <c r="D4" s="40" t="s">
        <v>37</v>
      </c>
      <c r="E4" s="40" t="s">
        <v>38</v>
      </c>
      <c r="F4" s="40"/>
      <c r="G4" s="39">
        <v>240409</v>
      </c>
      <c r="H4" s="58" t="s">
        <v>39</v>
      </c>
      <c r="I4" s="58"/>
      <c r="J4" s="58" t="s">
        <v>43</v>
      </c>
      <c r="K4" s="58" t="s">
        <v>52</v>
      </c>
      <c r="L4" s="64"/>
      <c r="M4" s="39" t="s">
        <v>40</v>
      </c>
      <c r="N4" s="59"/>
      <c r="O4" s="41">
        <v>423083700</v>
      </c>
      <c r="P4" s="41">
        <f>O4</f>
        <v>423083700</v>
      </c>
      <c r="Q4" s="41"/>
      <c r="R4" s="41">
        <f>P4</f>
        <v>423083700</v>
      </c>
      <c r="S4" s="41">
        <f>R4</f>
        <v>423083700</v>
      </c>
      <c r="T4" s="41"/>
      <c r="U4" s="41"/>
      <c r="V4" s="41"/>
    </row>
    <row r="5" spans="2:22" s="42" customFormat="1" x14ac:dyDescent="0.3">
      <c r="B5" s="39">
        <v>2</v>
      </c>
      <c r="C5" s="39" t="s">
        <v>36</v>
      </c>
      <c r="D5" s="40" t="s">
        <v>37</v>
      </c>
      <c r="E5" s="40" t="s">
        <v>44</v>
      </c>
      <c r="F5" s="40"/>
      <c r="G5" s="39">
        <v>240409</v>
      </c>
      <c r="H5" s="58" t="s">
        <v>45</v>
      </c>
      <c r="I5" s="58"/>
      <c r="J5" s="40"/>
      <c r="K5" s="40" t="s">
        <v>51</v>
      </c>
      <c r="L5" s="40"/>
      <c r="M5" s="39" t="s">
        <v>40</v>
      </c>
      <c r="N5" s="59"/>
      <c r="O5" s="41">
        <v>3942000</v>
      </c>
      <c r="P5" s="41">
        <f>O5</f>
        <v>3942000</v>
      </c>
      <c r="Q5" s="41"/>
      <c r="R5" s="41">
        <f>P5</f>
        <v>3942000</v>
      </c>
      <c r="S5" s="41">
        <f>R5</f>
        <v>3942000</v>
      </c>
      <c r="T5" s="60"/>
      <c r="U5" s="41"/>
      <c r="V5" s="40"/>
    </row>
    <row r="6" spans="2:22" s="42" customFormat="1" x14ac:dyDescent="0.3">
      <c r="B6" s="39">
        <v>3</v>
      </c>
      <c r="C6" s="39" t="s">
        <v>36</v>
      </c>
      <c r="D6" s="40" t="s">
        <v>37</v>
      </c>
      <c r="E6" s="40" t="s">
        <v>46</v>
      </c>
      <c r="F6" s="40"/>
      <c r="G6" s="39">
        <v>240524</v>
      </c>
      <c r="H6" s="58" t="s">
        <v>47</v>
      </c>
      <c r="I6" s="58"/>
      <c r="J6" s="40" t="s">
        <v>48</v>
      </c>
      <c r="K6" s="40" t="s">
        <v>48</v>
      </c>
      <c r="L6" s="40"/>
      <c r="M6" s="39" t="s">
        <v>40</v>
      </c>
      <c r="N6" s="59"/>
      <c r="O6" s="41">
        <v>350710750</v>
      </c>
      <c r="P6" s="41">
        <f>O6</f>
        <v>350710750</v>
      </c>
      <c r="Q6" s="41"/>
      <c r="R6" s="41">
        <f>P6</f>
        <v>350710750</v>
      </c>
      <c r="S6" s="41"/>
      <c r="T6" s="60">
        <f>R6</f>
        <v>350710750</v>
      </c>
      <c r="U6" s="41"/>
      <c r="V6" s="40"/>
    </row>
    <row r="7" spans="2:22" s="42" customFormat="1" x14ac:dyDescent="0.3">
      <c r="B7" s="39">
        <v>4</v>
      </c>
      <c r="C7" s="39" t="s">
        <v>36</v>
      </c>
      <c r="D7" s="40" t="s">
        <v>37</v>
      </c>
      <c r="E7" s="40" t="s">
        <v>49</v>
      </c>
      <c r="F7" s="40"/>
      <c r="G7" s="39">
        <v>240524</v>
      </c>
      <c r="H7" s="58" t="s">
        <v>50</v>
      </c>
      <c r="I7" s="58"/>
      <c r="J7" s="40"/>
      <c r="K7" s="40" t="s">
        <v>53</v>
      </c>
      <c r="L7" s="40"/>
      <c r="M7" s="39" t="s">
        <v>40</v>
      </c>
      <c r="N7" s="59"/>
      <c r="O7" s="41">
        <v>197810000</v>
      </c>
      <c r="P7" s="41">
        <f>O7</f>
        <v>197810000</v>
      </c>
      <c r="Q7" s="41"/>
      <c r="R7" s="41">
        <f>P7</f>
        <v>197810000</v>
      </c>
      <c r="S7" s="41">
        <f>R7</f>
        <v>197810000</v>
      </c>
      <c r="T7" s="41"/>
      <c r="U7" s="41"/>
      <c r="V7" s="40"/>
    </row>
    <row r="8" spans="2:22" s="42" customFormat="1" x14ac:dyDescent="0.3">
      <c r="B8" s="43">
        <v>5</v>
      </c>
      <c r="C8" s="43" t="s">
        <v>36</v>
      </c>
      <c r="D8" s="44" t="s">
        <v>37</v>
      </c>
      <c r="E8" s="44"/>
      <c r="F8" s="44"/>
      <c r="G8" s="43">
        <v>240801</v>
      </c>
      <c r="H8" s="62"/>
      <c r="I8" s="62"/>
      <c r="J8" s="44"/>
      <c r="K8" s="44" t="s">
        <v>66</v>
      </c>
      <c r="L8" s="44"/>
      <c r="M8" s="43" t="s">
        <v>40</v>
      </c>
      <c r="N8" s="63"/>
      <c r="O8" s="19">
        <v>161716837</v>
      </c>
      <c r="P8" s="19">
        <f>O8</f>
        <v>161716837</v>
      </c>
      <c r="Q8" s="19"/>
      <c r="R8" s="19"/>
      <c r="S8" s="19"/>
      <c r="T8" s="19"/>
      <c r="U8" s="19"/>
      <c r="V8" s="44"/>
    </row>
    <row r="9" spans="2:22" s="42" customFormat="1" x14ac:dyDescent="0.3">
      <c r="B9" s="39"/>
      <c r="C9" s="39"/>
      <c r="D9" s="40"/>
      <c r="E9" s="40"/>
      <c r="F9" s="40"/>
      <c r="G9" s="39"/>
      <c r="H9" s="58"/>
      <c r="I9" s="58"/>
      <c r="J9" s="40"/>
      <c r="K9" s="40"/>
      <c r="L9" s="40"/>
      <c r="M9" s="39"/>
      <c r="N9" s="59"/>
      <c r="O9" s="41"/>
      <c r="P9" s="41"/>
      <c r="Q9" s="41"/>
      <c r="R9" s="41"/>
      <c r="S9" s="41"/>
      <c r="T9" s="41"/>
      <c r="U9" s="41"/>
      <c r="V9" s="40"/>
    </row>
    <row r="10" spans="2:22" s="42" customFormat="1" x14ac:dyDescent="0.3">
      <c r="B10" s="39"/>
      <c r="C10" s="39"/>
      <c r="D10" s="40"/>
      <c r="E10" s="40"/>
      <c r="F10" s="40"/>
      <c r="G10" s="39"/>
      <c r="H10" s="61"/>
      <c r="I10" s="58"/>
      <c r="J10" s="40"/>
      <c r="K10" s="40"/>
      <c r="L10" s="40"/>
      <c r="M10" s="39"/>
      <c r="N10" s="59"/>
      <c r="O10" s="41"/>
      <c r="P10" s="41"/>
      <c r="Q10" s="41"/>
      <c r="R10" s="41"/>
      <c r="S10" s="41"/>
      <c r="T10" s="41"/>
      <c r="U10" s="41"/>
      <c r="V10" s="40"/>
    </row>
    <row r="11" spans="2:22" s="42" customFormat="1" x14ac:dyDescent="0.3">
      <c r="B11" s="43"/>
      <c r="C11" s="43"/>
      <c r="D11" s="44"/>
      <c r="E11" s="44"/>
      <c r="F11" s="44"/>
      <c r="G11" s="43"/>
      <c r="H11" s="62"/>
      <c r="I11" s="62"/>
      <c r="J11" s="44"/>
      <c r="K11" s="44"/>
      <c r="L11" s="44"/>
      <c r="M11" s="43"/>
      <c r="N11" s="63"/>
      <c r="O11" s="19"/>
      <c r="P11" s="19"/>
      <c r="Q11" s="19"/>
      <c r="R11" s="19"/>
      <c r="S11" s="19"/>
      <c r="T11" s="19"/>
      <c r="U11" s="19"/>
      <c r="V11" s="44"/>
    </row>
    <row r="12" spans="2:22" s="42" customFormat="1" x14ac:dyDescent="0.3">
      <c r="B12" s="43"/>
      <c r="C12" s="43"/>
      <c r="D12" s="44"/>
      <c r="E12" s="44"/>
      <c r="F12" s="44"/>
      <c r="G12" s="43"/>
      <c r="H12" s="62"/>
      <c r="I12" s="62"/>
      <c r="J12" s="44"/>
      <c r="K12" s="44"/>
      <c r="L12" s="44"/>
      <c r="M12" s="43"/>
      <c r="N12" s="63"/>
      <c r="O12" s="19"/>
      <c r="P12" s="19"/>
      <c r="Q12" s="19"/>
      <c r="R12" s="19"/>
      <c r="S12" s="19"/>
      <c r="T12" s="19"/>
      <c r="U12" s="19"/>
      <c r="V12" s="44"/>
    </row>
    <row r="13" spans="2:22" s="42" customFormat="1" x14ac:dyDescent="0.3">
      <c r="B13" s="43"/>
      <c r="C13" s="43"/>
      <c r="D13" s="44"/>
      <c r="E13" s="44"/>
      <c r="F13" s="44"/>
      <c r="G13" s="43"/>
      <c r="H13" s="62"/>
      <c r="I13" s="62"/>
      <c r="J13" s="44"/>
      <c r="K13" s="44"/>
      <c r="L13" s="44"/>
      <c r="M13" s="43"/>
      <c r="N13" s="63"/>
      <c r="O13" s="19"/>
      <c r="P13" s="19"/>
      <c r="Q13" s="19"/>
      <c r="R13" s="19"/>
      <c r="S13" s="19"/>
      <c r="T13" s="19"/>
      <c r="U13" s="19"/>
      <c r="V13" s="44"/>
    </row>
    <row r="14" spans="2:22" s="42" customFormat="1" x14ac:dyDescent="0.3">
      <c r="B14" s="43"/>
      <c r="C14" s="43"/>
      <c r="D14" s="44"/>
      <c r="E14" s="44"/>
      <c r="F14" s="44"/>
      <c r="G14" s="43"/>
      <c r="H14" s="62"/>
      <c r="I14" s="62"/>
      <c r="J14" s="44"/>
      <c r="K14" s="44"/>
      <c r="L14" s="44"/>
      <c r="M14" s="43"/>
      <c r="N14" s="63"/>
      <c r="O14" s="19"/>
      <c r="P14" s="19"/>
      <c r="Q14" s="19"/>
      <c r="R14" s="19"/>
      <c r="S14" s="19"/>
      <c r="T14" s="19"/>
      <c r="U14" s="19"/>
      <c r="V14" s="44"/>
    </row>
    <row r="15" spans="2:22" s="42" customFormat="1" x14ac:dyDescent="0.3">
      <c r="B15" s="39"/>
      <c r="C15" s="39"/>
      <c r="D15" s="40"/>
      <c r="E15" s="40"/>
      <c r="F15" s="40"/>
      <c r="G15" s="39"/>
      <c r="H15" s="58"/>
      <c r="I15" s="58"/>
      <c r="J15" s="40"/>
      <c r="K15" s="40"/>
      <c r="L15" s="40"/>
      <c r="M15" s="39"/>
      <c r="N15" s="59"/>
      <c r="O15" s="41"/>
      <c r="P15" s="41"/>
      <c r="Q15" s="41"/>
      <c r="R15" s="41"/>
      <c r="S15" s="41"/>
      <c r="T15" s="41"/>
      <c r="U15" s="41"/>
      <c r="V15" s="40"/>
    </row>
    <row r="16" spans="2:22" s="42" customFormat="1" x14ac:dyDescent="0.3">
      <c r="B16" s="43"/>
      <c r="C16" s="43"/>
      <c r="D16" s="44"/>
      <c r="E16" s="44"/>
      <c r="F16" s="44"/>
      <c r="G16" s="43"/>
      <c r="H16" s="62"/>
      <c r="I16" s="62"/>
      <c r="J16" s="44"/>
      <c r="K16" s="44"/>
      <c r="L16" s="44"/>
      <c r="M16" s="43"/>
      <c r="N16" s="63"/>
      <c r="O16" s="19"/>
      <c r="P16" s="19"/>
      <c r="Q16" s="19"/>
      <c r="R16" s="19"/>
      <c r="S16" s="19"/>
      <c r="T16" s="19"/>
      <c r="U16" s="19"/>
      <c r="V16" s="44"/>
    </row>
    <row r="17" spans="2:22" s="42" customFormat="1" x14ac:dyDescent="0.3">
      <c r="B17" s="43"/>
      <c r="C17" s="43"/>
      <c r="D17" s="44"/>
      <c r="E17" s="44"/>
      <c r="F17" s="44"/>
      <c r="G17" s="43"/>
      <c r="H17" s="62"/>
      <c r="I17" s="62"/>
      <c r="J17" s="44"/>
      <c r="K17" s="44"/>
      <c r="L17" s="44"/>
      <c r="M17" s="43"/>
      <c r="N17" s="63"/>
      <c r="O17" s="19"/>
      <c r="P17" s="19"/>
      <c r="Q17" s="19"/>
      <c r="R17" s="19"/>
      <c r="S17" s="19"/>
      <c r="T17" s="19"/>
      <c r="U17" s="19"/>
      <c r="V17" s="44"/>
    </row>
    <row r="18" spans="2:22" s="42" customFormat="1" x14ac:dyDescent="0.3">
      <c r="B18" s="43"/>
      <c r="C18" s="43"/>
      <c r="D18" s="44"/>
      <c r="E18" s="44"/>
      <c r="F18" s="44"/>
      <c r="G18" s="43"/>
      <c r="H18" s="62"/>
      <c r="I18" s="62"/>
      <c r="J18" s="44"/>
      <c r="K18" s="44"/>
      <c r="L18" s="44"/>
      <c r="M18" s="43"/>
      <c r="N18" s="63"/>
      <c r="O18" s="19"/>
      <c r="P18" s="19"/>
      <c r="Q18" s="19"/>
      <c r="R18" s="19"/>
      <c r="S18" s="19"/>
      <c r="T18" s="19"/>
      <c r="U18" s="19"/>
      <c r="V18" s="44"/>
    </row>
    <row r="19" spans="2:22" s="42" customFormat="1" x14ac:dyDescent="0.3">
      <c r="B19" s="43"/>
      <c r="C19" s="43"/>
      <c r="D19" s="44"/>
      <c r="E19" s="44"/>
      <c r="F19" s="44"/>
      <c r="G19" s="43"/>
      <c r="H19" s="62"/>
      <c r="I19" s="62"/>
      <c r="J19" s="44"/>
      <c r="K19" s="44"/>
      <c r="L19" s="44"/>
      <c r="M19" s="43"/>
      <c r="N19" s="63"/>
      <c r="O19" s="19"/>
      <c r="P19" s="19"/>
      <c r="Q19" s="19"/>
      <c r="R19" s="19"/>
      <c r="S19" s="19"/>
      <c r="T19" s="19"/>
      <c r="U19" s="19"/>
      <c r="V19" s="44"/>
    </row>
    <row r="20" spans="2:22" s="42" customFormat="1" x14ac:dyDescent="0.3">
      <c r="B20" s="43"/>
      <c r="C20" s="43"/>
      <c r="D20" s="44"/>
      <c r="E20" s="44"/>
      <c r="F20" s="44"/>
      <c r="G20" s="43"/>
      <c r="H20" s="62"/>
      <c r="I20" s="62"/>
      <c r="J20" s="44"/>
      <c r="K20" s="44"/>
      <c r="L20" s="44"/>
      <c r="M20" s="43"/>
      <c r="N20" s="63"/>
      <c r="O20" s="19"/>
      <c r="P20" s="19"/>
      <c r="Q20" s="19"/>
      <c r="R20" s="19"/>
      <c r="S20" s="19"/>
      <c r="T20" s="19"/>
      <c r="U20" s="19"/>
      <c r="V20" s="44"/>
    </row>
    <row r="21" spans="2:22" s="42" customFormat="1" x14ac:dyDescent="0.3">
      <c r="B21" s="43"/>
      <c r="C21" s="43"/>
      <c r="D21" s="44"/>
      <c r="E21" s="44"/>
      <c r="F21" s="44"/>
      <c r="G21" s="43"/>
      <c r="H21" s="62"/>
      <c r="I21" s="62"/>
      <c r="J21" s="44"/>
      <c r="K21" s="44"/>
      <c r="L21" s="44"/>
      <c r="M21" s="43"/>
      <c r="N21" s="63"/>
      <c r="O21" s="19"/>
      <c r="P21" s="19"/>
      <c r="Q21" s="19"/>
      <c r="R21" s="19"/>
      <c r="S21" s="19"/>
      <c r="T21" s="19"/>
      <c r="U21" s="19"/>
      <c r="V21" s="44"/>
    </row>
    <row r="22" spans="2:22" s="42" customFormat="1" x14ac:dyDescent="0.3">
      <c r="B22" s="43"/>
      <c r="C22" s="43"/>
      <c r="D22" s="44"/>
      <c r="E22" s="44"/>
      <c r="F22" s="44"/>
      <c r="G22" s="43"/>
      <c r="H22" s="62"/>
      <c r="I22" s="62"/>
      <c r="J22" s="44"/>
      <c r="K22" s="44"/>
      <c r="L22" s="44"/>
      <c r="M22" s="43"/>
      <c r="N22" s="63"/>
      <c r="O22" s="19"/>
      <c r="P22" s="19"/>
      <c r="Q22" s="19"/>
      <c r="R22" s="19"/>
      <c r="S22" s="19"/>
      <c r="T22" s="19"/>
      <c r="U22" s="19"/>
      <c r="V22" s="44"/>
    </row>
    <row r="23" spans="2:22" s="42" customFormat="1" x14ac:dyDescent="0.3">
      <c r="B23" s="43"/>
      <c r="C23" s="43"/>
      <c r="D23" s="44"/>
      <c r="E23" s="44"/>
      <c r="F23" s="44"/>
      <c r="G23" s="43"/>
      <c r="H23" s="62"/>
      <c r="I23" s="62"/>
      <c r="J23" s="44"/>
      <c r="K23" s="44"/>
      <c r="L23" s="44"/>
      <c r="M23" s="43"/>
      <c r="N23" s="63"/>
      <c r="O23" s="19"/>
      <c r="P23" s="19"/>
      <c r="Q23" s="19"/>
      <c r="R23" s="19"/>
      <c r="S23" s="19"/>
      <c r="T23" s="19"/>
      <c r="U23" s="19"/>
      <c r="V23" s="44"/>
    </row>
    <row r="24" spans="2:22" s="42" customFormat="1" x14ac:dyDescent="0.3">
      <c r="B24" s="43"/>
      <c r="C24" s="43"/>
      <c r="D24" s="44"/>
      <c r="E24" s="44"/>
      <c r="F24" s="44"/>
      <c r="G24" s="43"/>
      <c r="H24" s="62"/>
      <c r="I24" s="62"/>
      <c r="J24" s="44"/>
      <c r="K24" s="44"/>
      <c r="L24" s="44"/>
      <c r="M24" s="43"/>
      <c r="N24" s="63"/>
      <c r="O24" s="19"/>
      <c r="P24" s="19"/>
      <c r="Q24" s="19"/>
      <c r="R24" s="19"/>
      <c r="S24" s="19"/>
      <c r="T24" s="19"/>
      <c r="U24" s="19"/>
      <c r="V24" s="44"/>
    </row>
    <row r="25" spans="2:22" s="42" customFormat="1" x14ac:dyDescent="0.3">
      <c r="B25" s="43"/>
      <c r="C25" s="43"/>
      <c r="D25" s="44"/>
      <c r="E25" s="44"/>
      <c r="F25" s="44"/>
      <c r="G25" s="43"/>
      <c r="H25" s="62"/>
      <c r="I25" s="62"/>
      <c r="J25" s="44"/>
      <c r="K25" s="44"/>
      <c r="L25" s="44"/>
      <c r="M25" s="43"/>
      <c r="N25" s="63"/>
      <c r="O25" s="19"/>
      <c r="P25" s="19"/>
      <c r="Q25" s="19"/>
      <c r="R25" s="19"/>
      <c r="S25" s="19"/>
      <c r="T25" s="19"/>
      <c r="U25" s="19"/>
      <c r="V25" s="44"/>
    </row>
    <row r="26" spans="2:22" x14ac:dyDescent="0.3">
      <c r="B26" s="2"/>
      <c r="C26" s="83" t="s">
        <v>13</v>
      </c>
      <c r="D26" s="84"/>
      <c r="E26" s="84"/>
      <c r="F26" s="84"/>
      <c r="G26" s="84"/>
      <c r="H26" s="84"/>
      <c r="I26" s="84"/>
      <c r="J26" s="85"/>
      <c r="K26" s="68"/>
      <c r="L26" s="57"/>
      <c r="M26" s="5"/>
      <c r="N26" s="11">
        <f>SUM(N4:N25)</f>
        <v>0</v>
      </c>
      <c r="O26" s="16">
        <f>SUM(O4:O25)</f>
        <v>1137263287</v>
      </c>
      <c r="P26" s="10">
        <f>SUM(P4:P25)</f>
        <v>1137263287</v>
      </c>
      <c r="Q26" s="10"/>
      <c r="R26" s="16">
        <f>SUM(R4:R25)</f>
        <v>975546450</v>
      </c>
      <c r="S26" s="16">
        <f>SUM(S4:S25)</f>
        <v>624835700</v>
      </c>
      <c r="T26" s="16">
        <f>SUM(T4:T25)</f>
        <v>350710750</v>
      </c>
      <c r="U26" s="16">
        <f>SUM(U4:U25)</f>
        <v>0</v>
      </c>
      <c r="V26" s="9"/>
    </row>
    <row r="27" spans="2:22" x14ac:dyDescent="0.3">
      <c r="O27" s="15"/>
      <c r="Q27" s="13"/>
      <c r="R27" s="14"/>
      <c r="S27" s="14"/>
      <c r="T27" s="14"/>
      <c r="U27" s="18"/>
    </row>
  </sheetData>
  <mergeCells count="1">
    <mergeCell ref="C26:J26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30B0F-D364-499C-AF7D-BBDEA65A1EDA}">
  <dimension ref="B2:V27"/>
  <sheetViews>
    <sheetView zoomScale="85" zoomScaleNormal="85" workbookViewId="0">
      <pane xSplit="9" ySplit="3" topLeftCell="L4" activePane="bottomRight" state="frozen"/>
      <selection pane="topRight" activeCell="J1" sqref="J1"/>
      <selection pane="bottomLeft" activeCell="A4" sqref="A4"/>
      <selection pane="bottomRight" activeCell="O26" sqref="O26"/>
    </sheetView>
  </sheetViews>
  <sheetFormatPr defaultRowHeight="16.5" x14ac:dyDescent="0.3"/>
  <cols>
    <col min="1" max="1" width="4.25" customWidth="1"/>
    <col min="2" max="2" width="5.75" style="1" customWidth="1"/>
    <col min="3" max="3" width="5.25" style="1" bestFit="1" customWidth="1"/>
    <col min="4" max="4" width="8.75" style="7" bestFit="1" customWidth="1"/>
    <col min="5" max="5" width="20.875" style="7" customWidth="1"/>
    <col min="6" max="6" width="14.875" style="7" bestFit="1" customWidth="1"/>
    <col min="7" max="7" width="10.75" style="1" customWidth="1"/>
    <col min="8" max="8" width="10.75" style="12" customWidth="1"/>
    <col min="9" max="9" width="5.875" style="12" bestFit="1" customWidth="1"/>
    <col min="10" max="11" width="33.25" style="7" customWidth="1"/>
    <col min="12" max="12" width="11" style="7" customWidth="1"/>
    <col min="13" max="13" width="5.75" style="7" customWidth="1"/>
    <col min="14" max="14" width="21.5" style="8" bestFit="1" customWidth="1"/>
    <col min="15" max="15" width="15.875" style="8" customWidth="1"/>
    <col min="16" max="18" width="16.125" style="8" customWidth="1"/>
    <col min="19" max="20" width="18.125" style="8" customWidth="1"/>
    <col min="21" max="21" width="16.125" style="8" customWidth="1"/>
    <col min="22" max="22" width="12.75" style="17" customWidth="1"/>
    <col min="23" max="23" width="17.25" customWidth="1"/>
  </cols>
  <sheetData>
    <row r="2" spans="2:22" x14ac:dyDescent="0.3">
      <c r="B2" s="6"/>
      <c r="C2" s="6"/>
    </row>
    <row r="3" spans="2:22" s="1" customFormat="1" ht="33" x14ac:dyDescent="0.3">
      <c r="B3" s="2" t="s">
        <v>0</v>
      </c>
      <c r="C3" s="2" t="s">
        <v>8</v>
      </c>
      <c r="D3" s="3" t="s">
        <v>2</v>
      </c>
      <c r="E3" s="3" t="s">
        <v>3</v>
      </c>
      <c r="F3" s="3" t="s">
        <v>34</v>
      </c>
      <c r="G3" s="3" t="s">
        <v>9</v>
      </c>
      <c r="H3" s="4" t="s">
        <v>4</v>
      </c>
      <c r="I3" s="4" t="s">
        <v>33</v>
      </c>
      <c r="J3" s="5" t="s">
        <v>1</v>
      </c>
      <c r="K3" s="5" t="s">
        <v>27</v>
      </c>
      <c r="L3" s="5" t="s">
        <v>35</v>
      </c>
      <c r="M3" s="5" t="s">
        <v>10</v>
      </c>
      <c r="N3" s="9" t="s">
        <v>6</v>
      </c>
      <c r="O3" s="9" t="s">
        <v>7</v>
      </c>
      <c r="P3" s="9" t="s">
        <v>11</v>
      </c>
      <c r="Q3" s="9" t="s">
        <v>12</v>
      </c>
      <c r="R3" s="9" t="s">
        <v>25</v>
      </c>
      <c r="S3" s="9" t="s">
        <v>29</v>
      </c>
      <c r="T3" s="9" t="s">
        <v>31</v>
      </c>
      <c r="U3" s="9" t="s">
        <v>14</v>
      </c>
      <c r="V3" s="9" t="s">
        <v>5</v>
      </c>
    </row>
    <row r="4" spans="2:22" s="1" customFormat="1" x14ac:dyDescent="0.3">
      <c r="B4" s="39">
        <v>1</v>
      </c>
      <c r="C4" s="39" t="s">
        <v>36</v>
      </c>
      <c r="D4" s="40" t="s">
        <v>57</v>
      </c>
      <c r="E4" s="40">
        <v>2024050901</v>
      </c>
      <c r="F4" s="40"/>
      <c r="G4" s="39">
        <v>240509</v>
      </c>
      <c r="H4" s="58" t="s">
        <v>58</v>
      </c>
      <c r="I4" s="58"/>
      <c r="J4" s="58" t="s">
        <v>59</v>
      </c>
      <c r="K4" s="58"/>
      <c r="L4" s="64"/>
      <c r="M4" s="39" t="s">
        <v>40</v>
      </c>
      <c r="N4" s="59"/>
      <c r="O4" s="41">
        <v>270843306</v>
      </c>
      <c r="P4" s="41">
        <f>O4</f>
        <v>270843306</v>
      </c>
      <c r="Q4" s="41"/>
      <c r="R4" s="41">
        <v>270000000</v>
      </c>
      <c r="S4" s="41">
        <f>R4</f>
        <v>270000000</v>
      </c>
      <c r="T4" s="41"/>
      <c r="U4" s="41"/>
      <c r="V4" s="41"/>
    </row>
    <row r="5" spans="2:22" s="42" customFormat="1" x14ac:dyDescent="0.3">
      <c r="B5" s="39">
        <v>2</v>
      </c>
      <c r="C5" s="39" t="s">
        <v>36</v>
      </c>
      <c r="D5" s="40" t="s">
        <v>57</v>
      </c>
      <c r="E5" s="40">
        <v>202406241</v>
      </c>
      <c r="F5" s="40"/>
      <c r="G5" s="39">
        <v>240627</v>
      </c>
      <c r="H5" s="58" t="s">
        <v>60</v>
      </c>
      <c r="I5" s="58"/>
      <c r="J5" s="40" t="s">
        <v>61</v>
      </c>
      <c r="K5" s="40"/>
      <c r="L5" s="40"/>
      <c r="M5" s="39" t="s">
        <v>62</v>
      </c>
      <c r="N5" s="59"/>
      <c r="O5" s="41">
        <v>15642329</v>
      </c>
      <c r="P5" s="41"/>
      <c r="Q5" s="41"/>
      <c r="R5" s="41"/>
      <c r="S5" s="41"/>
      <c r="T5" s="60"/>
      <c r="U5" s="41"/>
      <c r="V5" s="40"/>
    </row>
    <row r="6" spans="2:22" s="42" customFormat="1" x14ac:dyDescent="0.3">
      <c r="B6" s="39"/>
      <c r="C6" s="39"/>
      <c r="D6" s="40"/>
      <c r="E6" s="40"/>
      <c r="F6" s="40"/>
      <c r="G6" s="39"/>
      <c r="H6" s="58"/>
      <c r="I6" s="58"/>
      <c r="J6" s="40"/>
      <c r="K6" s="40"/>
      <c r="L6" s="40"/>
      <c r="M6" s="39"/>
      <c r="N6" s="59"/>
      <c r="O6" s="41"/>
      <c r="P6" s="41"/>
      <c r="Q6" s="41"/>
      <c r="R6" s="41"/>
      <c r="S6" s="41"/>
      <c r="T6" s="60"/>
      <c r="U6" s="41"/>
      <c r="V6" s="40"/>
    </row>
    <row r="7" spans="2:22" s="42" customFormat="1" x14ac:dyDescent="0.3">
      <c r="B7" s="39"/>
      <c r="C7" s="39"/>
      <c r="D7" s="40"/>
      <c r="E7" s="40"/>
      <c r="F7" s="40"/>
      <c r="G7" s="39"/>
      <c r="H7" s="58"/>
      <c r="I7" s="58"/>
      <c r="J7" s="40"/>
      <c r="K7" s="40"/>
      <c r="L7" s="40"/>
      <c r="M7" s="39"/>
      <c r="N7" s="59"/>
      <c r="O7" s="41"/>
      <c r="P7" s="41"/>
      <c r="Q7" s="41"/>
      <c r="R7" s="41"/>
      <c r="S7" s="41"/>
      <c r="T7" s="41"/>
      <c r="U7" s="41"/>
      <c r="V7" s="40"/>
    </row>
    <row r="8" spans="2:22" s="42" customFormat="1" x14ac:dyDescent="0.3">
      <c r="B8" s="43"/>
      <c r="C8" s="43"/>
      <c r="D8" s="44"/>
      <c r="E8" s="44"/>
      <c r="F8" s="44"/>
      <c r="G8" s="43"/>
      <c r="H8" s="65"/>
      <c r="I8" s="65"/>
      <c r="J8" s="53"/>
      <c r="K8" s="53"/>
      <c r="L8" s="53"/>
      <c r="M8" s="54"/>
      <c r="N8" s="66"/>
      <c r="O8" s="67"/>
      <c r="P8" s="67"/>
      <c r="Q8" s="67"/>
      <c r="R8" s="67"/>
      <c r="S8" s="67"/>
      <c r="T8" s="67"/>
      <c r="U8" s="67"/>
      <c r="V8" s="53"/>
    </row>
    <row r="9" spans="2:22" s="42" customFormat="1" x14ac:dyDescent="0.3">
      <c r="B9" s="39"/>
      <c r="C9" s="39"/>
      <c r="D9" s="40"/>
      <c r="E9" s="40"/>
      <c r="F9" s="40"/>
      <c r="G9" s="39"/>
      <c r="H9" s="58"/>
      <c r="I9" s="58"/>
      <c r="J9" s="40"/>
      <c r="K9" s="40"/>
      <c r="L9" s="40"/>
      <c r="M9" s="39"/>
      <c r="N9" s="59"/>
      <c r="O9" s="41"/>
      <c r="P9" s="41"/>
      <c r="Q9" s="41"/>
      <c r="R9" s="41"/>
      <c r="S9" s="41"/>
      <c r="T9" s="41"/>
      <c r="U9" s="41"/>
      <c r="V9" s="40"/>
    </row>
    <row r="10" spans="2:22" s="42" customFormat="1" x14ac:dyDescent="0.3">
      <c r="B10" s="39"/>
      <c r="C10" s="39"/>
      <c r="D10" s="40"/>
      <c r="E10" s="40"/>
      <c r="F10" s="40"/>
      <c r="G10" s="39"/>
      <c r="H10" s="61"/>
      <c r="I10" s="58"/>
      <c r="J10" s="40"/>
      <c r="K10" s="40"/>
      <c r="L10" s="40"/>
      <c r="M10" s="39"/>
      <c r="N10" s="59"/>
      <c r="O10" s="41"/>
      <c r="P10" s="41"/>
      <c r="Q10" s="41"/>
      <c r="R10" s="41"/>
      <c r="S10" s="41"/>
      <c r="T10" s="41"/>
      <c r="U10" s="41"/>
      <c r="V10" s="40"/>
    </row>
    <row r="11" spans="2:22" s="42" customFormat="1" x14ac:dyDescent="0.3">
      <c r="B11" s="43"/>
      <c r="C11" s="43"/>
      <c r="D11" s="44"/>
      <c r="E11" s="44"/>
      <c r="F11" s="44"/>
      <c r="G11" s="43"/>
      <c r="H11" s="62"/>
      <c r="I11" s="62"/>
      <c r="J11" s="44"/>
      <c r="K11" s="44"/>
      <c r="L11" s="44"/>
      <c r="M11" s="43"/>
      <c r="N11" s="63"/>
      <c r="O11" s="19"/>
      <c r="P11" s="19"/>
      <c r="Q11" s="19"/>
      <c r="R11" s="19"/>
      <c r="S11" s="19"/>
      <c r="T11" s="19"/>
      <c r="U11" s="19"/>
      <c r="V11" s="44"/>
    </row>
    <row r="12" spans="2:22" s="42" customFormat="1" x14ac:dyDescent="0.3">
      <c r="B12" s="43"/>
      <c r="C12" s="43"/>
      <c r="D12" s="44"/>
      <c r="E12" s="44"/>
      <c r="F12" s="44"/>
      <c r="G12" s="43"/>
      <c r="H12" s="62"/>
      <c r="I12" s="62"/>
      <c r="J12" s="44"/>
      <c r="K12" s="44"/>
      <c r="L12" s="44"/>
      <c r="M12" s="43"/>
      <c r="N12" s="63"/>
      <c r="O12" s="19"/>
      <c r="P12" s="19"/>
      <c r="Q12" s="19"/>
      <c r="R12" s="19"/>
      <c r="S12" s="19"/>
      <c r="T12" s="19"/>
      <c r="U12" s="19"/>
      <c r="V12" s="44"/>
    </row>
    <row r="13" spans="2:22" s="42" customFormat="1" x14ac:dyDescent="0.3">
      <c r="B13" s="43"/>
      <c r="C13" s="43"/>
      <c r="D13" s="44"/>
      <c r="E13" s="44"/>
      <c r="F13" s="44"/>
      <c r="G13" s="43"/>
      <c r="H13" s="62"/>
      <c r="I13" s="62"/>
      <c r="J13" s="44"/>
      <c r="K13" s="44"/>
      <c r="L13" s="44"/>
      <c r="M13" s="43"/>
      <c r="N13" s="63"/>
      <c r="O13" s="19"/>
      <c r="P13" s="19"/>
      <c r="Q13" s="19"/>
      <c r="R13" s="19"/>
      <c r="S13" s="19"/>
      <c r="T13" s="19"/>
      <c r="U13" s="19"/>
      <c r="V13" s="44"/>
    </row>
    <row r="14" spans="2:22" s="42" customFormat="1" x14ac:dyDescent="0.3">
      <c r="B14" s="43"/>
      <c r="C14" s="43"/>
      <c r="D14" s="44"/>
      <c r="E14" s="44"/>
      <c r="F14" s="44"/>
      <c r="G14" s="43"/>
      <c r="H14" s="62"/>
      <c r="I14" s="62"/>
      <c r="J14" s="44"/>
      <c r="K14" s="44"/>
      <c r="L14" s="44"/>
      <c r="M14" s="43"/>
      <c r="N14" s="63"/>
      <c r="O14" s="19"/>
      <c r="P14" s="19"/>
      <c r="Q14" s="19"/>
      <c r="R14" s="19"/>
      <c r="S14" s="19"/>
      <c r="T14" s="19"/>
      <c r="U14" s="19"/>
      <c r="V14" s="44"/>
    </row>
    <row r="15" spans="2:22" s="42" customFormat="1" x14ac:dyDescent="0.3">
      <c r="B15" s="39"/>
      <c r="C15" s="39"/>
      <c r="D15" s="40"/>
      <c r="E15" s="40"/>
      <c r="F15" s="40"/>
      <c r="G15" s="39"/>
      <c r="H15" s="58"/>
      <c r="I15" s="58"/>
      <c r="J15" s="40"/>
      <c r="K15" s="40"/>
      <c r="L15" s="40"/>
      <c r="M15" s="39"/>
      <c r="N15" s="59"/>
      <c r="O15" s="41"/>
      <c r="P15" s="41"/>
      <c r="Q15" s="41"/>
      <c r="R15" s="41"/>
      <c r="S15" s="41"/>
      <c r="T15" s="41"/>
      <c r="U15" s="41"/>
      <c r="V15" s="40"/>
    </row>
    <row r="16" spans="2:22" s="42" customFormat="1" x14ac:dyDescent="0.3">
      <c r="B16" s="43"/>
      <c r="C16" s="43"/>
      <c r="D16" s="44"/>
      <c r="E16" s="44"/>
      <c r="F16" s="44"/>
      <c r="G16" s="43"/>
      <c r="H16" s="62"/>
      <c r="I16" s="62"/>
      <c r="J16" s="44"/>
      <c r="K16" s="44"/>
      <c r="L16" s="44"/>
      <c r="M16" s="43"/>
      <c r="N16" s="63"/>
      <c r="O16" s="19"/>
      <c r="P16" s="19"/>
      <c r="Q16" s="19"/>
      <c r="R16" s="19"/>
      <c r="S16" s="19"/>
      <c r="T16" s="19"/>
      <c r="U16" s="19"/>
      <c r="V16" s="44"/>
    </row>
    <row r="17" spans="2:22" s="42" customFormat="1" x14ac:dyDescent="0.3">
      <c r="B17" s="43"/>
      <c r="C17" s="43"/>
      <c r="D17" s="44"/>
      <c r="E17" s="44"/>
      <c r="F17" s="44"/>
      <c r="G17" s="43"/>
      <c r="H17" s="62"/>
      <c r="I17" s="62"/>
      <c r="J17" s="44"/>
      <c r="K17" s="44"/>
      <c r="L17" s="44"/>
      <c r="M17" s="43"/>
      <c r="N17" s="63"/>
      <c r="O17" s="19"/>
      <c r="P17" s="19"/>
      <c r="Q17" s="19"/>
      <c r="R17" s="19"/>
      <c r="S17" s="19"/>
      <c r="T17" s="19"/>
      <c r="U17" s="19"/>
      <c r="V17" s="44"/>
    </row>
    <row r="18" spans="2:22" s="42" customFormat="1" x14ac:dyDescent="0.3">
      <c r="B18" s="43"/>
      <c r="C18" s="43"/>
      <c r="D18" s="44"/>
      <c r="E18" s="44"/>
      <c r="F18" s="44"/>
      <c r="G18" s="43"/>
      <c r="H18" s="62"/>
      <c r="I18" s="62"/>
      <c r="J18" s="44"/>
      <c r="K18" s="44"/>
      <c r="L18" s="44"/>
      <c r="M18" s="43"/>
      <c r="N18" s="63"/>
      <c r="O18" s="19"/>
      <c r="P18" s="19"/>
      <c r="Q18" s="19"/>
      <c r="R18" s="19"/>
      <c r="S18" s="19"/>
      <c r="T18" s="19"/>
      <c r="U18" s="19"/>
      <c r="V18" s="44"/>
    </row>
    <row r="19" spans="2:22" s="42" customFormat="1" x14ac:dyDescent="0.3">
      <c r="B19" s="43"/>
      <c r="C19" s="43"/>
      <c r="D19" s="44"/>
      <c r="E19" s="44"/>
      <c r="F19" s="44"/>
      <c r="G19" s="43"/>
      <c r="H19" s="62"/>
      <c r="I19" s="62"/>
      <c r="J19" s="44"/>
      <c r="K19" s="44"/>
      <c r="L19" s="44"/>
      <c r="M19" s="43"/>
      <c r="N19" s="63"/>
      <c r="O19" s="19"/>
      <c r="P19" s="19"/>
      <c r="Q19" s="19"/>
      <c r="R19" s="19"/>
      <c r="S19" s="19"/>
      <c r="T19" s="19"/>
      <c r="U19" s="19"/>
      <c r="V19" s="44"/>
    </row>
    <row r="20" spans="2:22" s="42" customFormat="1" x14ac:dyDescent="0.3">
      <c r="B20" s="43"/>
      <c r="C20" s="43"/>
      <c r="D20" s="44"/>
      <c r="E20" s="44"/>
      <c r="F20" s="44"/>
      <c r="G20" s="43"/>
      <c r="H20" s="62"/>
      <c r="I20" s="62"/>
      <c r="J20" s="44"/>
      <c r="K20" s="44"/>
      <c r="L20" s="44"/>
      <c r="M20" s="43"/>
      <c r="N20" s="63"/>
      <c r="O20" s="19"/>
      <c r="P20" s="19"/>
      <c r="Q20" s="19"/>
      <c r="R20" s="19"/>
      <c r="S20" s="19"/>
      <c r="T20" s="19"/>
      <c r="U20" s="19"/>
      <c r="V20" s="44"/>
    </row>
    <row r="21" spans="2:22" s="42" customFormat="1" x14ac:dyDescent="0.3">
      <c r="B21" s="43"/>
      <c r="C21" s="43"/>
      <c r="D21" s="44"/>
      <c r="E21" s="44"/>
      <c r="F21" s="44"/>
      <c r="G21" s="43"/>
      <c r="H21" s="62"/>
      <c r="I21" s="62"/>
      <c r="J21" s="44"/>
      <c r="K21" s="44"/>
      <c r="L21" s="44"/>
      <c r="M21" s="43"/>
      <c r="N21" s="63"/>
      <c r="O21" s="19"/>
      <c r="P21" s="19"/>
      <c r="Q21" s="19"/>
      <c r="R21" s="19"/>
      <c r="S21" s="19"/>
      <c r="T21" s="19"/>
      <c r="U21" s="19"/>
      <c r="V21" s="44"/>
    </row>
    <row r="22" spans="2:22" s="42" customFormat="1" x14ac:dyDescent="0.3">
      <c r="B22" s="43"/>
      <c r="C22" s="43"/>
      <c r="D22" s="44"/>
      <c r="E22" s="44"/>
      <c r="F22" s="44"/>
      <c r="G22" s="43"/>
      <c r="H22" s="62"/>
      <c r="I22" s="62"/>
      <c r="J22" s="44"/>
      <c r="K22" s="44"/>
      <c r="L22" s="44"/>
      <c r="M22" s="43"/>
      <c r="N22" s="63"/>
      <c r="O22" s="19"/>
      <c r="P22" s="19"/>
      <c r="Q22" s="19"/>
      <c r="R22" s="19"/>
      <c r="S22" s="19"/>
      <c r="T22" s="19"/>
      <c r="U22" s="19"/>
      <c r="V22" s="44"/>
    </row>
    <row r="23" spans="2:22" s="42" customFormat="1" x14ac:dyDescent="0.3">
      <c r="B23" s="43"/>
      <c r="C23" s="43"/>
      <c r="D23" s="44"/>
      <c r="E23" s="44"/>
      <c r="F23" s="44"/>
      <c r="G23" s="43"/>
      <c r="H23" s="62"/>
      <c r="I23" s="62"/>
      <c r="J23" s="44"/>
      <c r="K23" s="44"/>
      <c r="L23" s="44"/>
      <c r="M23" s="43"/>
      <c r="N23" s="63"/>
      <c r="O23" s="19"/>
      <c r="P23" s="19"/>
      <c r="Q23" s="19"/>
      <c r="R23" s="19"/>
      <c r="S23" s="19"/>
      <c r="T23" s="19"/>
      <c r="U23" s="19"/>
      <c r="V23" s="44"/>
    </row>
    <row r="24" spans="2:22" s="42" customFormat="1" x14ac:dyDescent="0.3">
      <c r="B24" s="43"/>
      <c r="C24" s="43"/>
      <c r="D24" s="44"/>
      <c r="E24" s="44"/>
      <c r="F24" s="44"/>
      <c r="G24" s="43"/>
      <c r="H24" s="62"/>
      <c r="I24" s="62"/>
      <c r="J24" s="44"/>
      <c r="K24" s="44"/>
      <c r="L24" s="44"/>
      <c r="M24" s="43"/>
      <c r="N24" s="63"/>
      <c r="O24" s="19"/>
      <c r="P24" s="19"/>
      <c r="Q24" s="19"/>
      <c r="R24" s="19"/>
      <c r="S24" s="19"/>
      <c r="T24" s="19"/>
      <c r="U24" s="19"/>
      <c r="V24" s="44"/>
    </row>
    <row r="25" spans="2:22" s="42" customFormat="1" x14ac:dyDescent="0.3">
      <c r="B25" s="43"/>
      <c r="C25" s="43"/>
      <c r="D25" s="44"/>
      <c r="E25" s="44"/>
      <c r="F25" s="44"/>
      <c r="G25" s="43"/>
      <c r="H25" s="62"/>
      <c r="I25" s="62"/>
      <c r="J25" s="44"/>
      <c r="K25" s="44"/>
      <c r="L25" s="44"/>
      <c r="M25" s="43"/>
      <c r="N25" s="63"/>
      <c r="O25" s="19"/>
      <c r="P25" s="19"/>
      <c r="Q25" s="19"/>
      <c r="R25" s="19"/>
      <c r="S25" s="19"/>
      <c r="T25" s="19"/>
      <c r="U25" s="19"/>
      <c r="V25" s="44"/>
    </row>
    <row r="26" spans="2:22" x14ac:dyDescent="0.3">
      <c r="B26" s="2"/>
      <c r="C26" s="83" t="s">
        <v>13</v>
      </c>
      <c r="D26" s="84"/>
      <c r="E26" s="84"/>
      <c r="F26" s="84"/>
      <c r="G26" s="84"/>
      <c r="H26" s="84"/>
      <c r="I26" s="84"/>
      <c r="J26" s="85"/>
      <c r="K26" s="79"/>
      <c r="L26" s="79"/>
      <c r="M26" s="5"/>
      <c r="N26" s="11">
        <f>SUM(N4:N25)</f>
        <v>0</v>
      </c>
      <c r="O26" s="16">
        <f>SUM(O4:O25)</f>
        <v>286485635</v>
      </c>
      <c r="P26" s="10">
        <f>SUM(P4:P25)</f>
        <v>270843306</v>
      </c>
      <c r="Q26" s="10"/>
      <c r="R26" s="16">
        <f>SUM(R4:R25)</f>
        <v>270000000</v>
      </c>
      <c r="S26" s="16">
        <f>SUM(S4:S25)</f>
        <v>270000000</v>
      </c>
      <c r="T26" s="16">
        <f>SUM(T4:T25)</f>
        <v>0</v>
      </c>
      <c r="U26" s="16">
        <f>SUM(U4:U25)</f>
        <v>0</v>
      </c>
      <c r="V26" s="9"/>
    </row>
    <row r="27" spans="2:22" x14ac:dyDescent="0.3">
      <c r="O27" s="15"/>
      <c r="Q27" s="13"/>
      <c r="R27" s="14"/>
      <c r="S27" s="14"/>
      <c r="T27" s="14"/>
      <c r="U27" s="18"/>
    </row>
  </sheetData>
  <mergeCells count="1">
    <mergeCell ref="C26:J26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6CCE3-59A9-49C9-A7A9-DD883987F014}">
  <dimension ref="B2:V27"/>
  <sheetViews>
    <sheetView zoomScale="85" zoomScaleNormal="85" workbookViewId="0">
      <pane xSplit="9" ySplit="3" topLeftCell="M4" activePane="bottomRight" state="frozen"/>
      <selection pane="topRight" activeCell="J1" sqref="J1"/>
      <selection pane="bottomLeft" activeCell="A4" sqref="A4"/>
      <selection pane="bottomRight" activeCell="F8" sqref="F8"/>
    </sheetView>
  </sheetViews>
  <sheetFormatPr defaultRowHeight="16.5" x14ac:dyDescent="0.3"/>
  <cols>
    <col min="1" max="1" width="4.25" customWidth="1"/>
    <col min="2" max="2" width="5.75" style="1" customWidth="1"/>
    <col min="3" max="3" width="5.25" style="1" bestFit="1" customWidth="1"/>
    <col min="4" max="4" width="11" style="7" bestFit="1" customWidth="1"/>
    <col min="5" max="5" width="20.875" style="7" customWidth="1"/>
    <col min="6" max="6" width="14.875" style="7" bestFit="1" customWidth="1"/>
    <col min="7" max="7" width="10.75" style="1" customWidth="1"/>
    <col min="8" max="8" width="10.75" style="12" customWidth="1"/>
    <col min="9" max="9" width="5.875" style="12" bestFit="1" customWidth="1"/>
    <col min="10" max="11" width="33.25" style="7" customWidth="1"/>
    <col min="12" max="12" width="11" style="7" customWidth="1"/>
    <col min="13" max="13" width="5.75" style="7" customWidth="1"/>
    <col min="14" max="14" width="21.5" style="8" bestFit="1" customWidth="1"/>
    <col min="15" max="15" width="15.875" style="8" customWidth="1"/>
    <col min="16" max="18" width="16.125" style="8" customWidth="1"/>
    <col min="19" max="20" width="18.125" style="8" customWidth="1"/>
    <col min="21" max="21" width="16.125" style="8" customWidth="1"/>
    <col min="22" max="22" width="12.75" style="17" customWidth="1"/>
    <col min="23" max="23" width="17.25" customWidth="1"/>
  </cols>
  <sheetData>
    <row r="2" spans="2:22" x14ac:dyDescent="0.3">
      <c r="B2" s="6"/>
      <c r="C2" s="6"/>
    </row>
    <row r="3" spans="2:22" s="1" customFormat="1" ht="33" x14ac:dyDescent="0.3">
      <c r="B3" s="2" t="s">
        <v>0</v>
      </c>
      <c r="C3" s="2" t="s">
        <v>8</v>
      </c>
      <c r="D3" s="3" t="s">
        <v>2</v>
      </c>
      <c r="E3" s="3" t="s">
        <v>3</v>
      </c>
      <c r="F3" s="3" t="s">
        <v>34</v>
      </c>
      <c r="G3" s="3" t="s">
        <v>9</v>
      </c>
      <c r="H3" s="4" t="s">
        <v>4</v>
      </c>
      <c r="I3" s="4" t="s">
        <v>33</v>
      </c>
      <c r="J3" s="5" t="s">
        <v>1</v>
      </c>
      <c r="K3" s="5" t="s">
        <v>27</v>
      </c>
      <c r="L3" s="5" t="s">
        <v>35</v>
      </c>
      <c r="M3" s="5" t="s">
        <v>10</v>
      </c>
      <c r="N3" s="9" t="s">
        <v>6</v>
      </c>
      <c r="O3" s="9" t="s">
        <v>7</v>
      </c>
      <c r="P3" s="9" t="s">
        <v>11</v>
      </c>
      <c r="Q3" s="9" t="s">
        <v>12</v>
      </c>
      <c r="R3" s="9" t="s">
        <v>25</v>
      </c>
      <c r="S3" s="9" t="s">
        <v>29</v>
      </c>
      <c r="T3" s="9" t="s">
        <v>31</v>
      </c>
      <c r="U3" s="9" t="s">
        <v>14</v>
      </c>
      <c r="V3" s="9" t="s">
        <v>5</v>
      </c>
    </row>
    <row r="4" spans="2:22" s="1" customFormat="1" x14ac:dyDescent="0.3">
      <c r="B4" s="39">
        <v>1</v>
      </c>
      <c r="C4" s="39" t="s">
        <v>36</v>
      </c>
      <c r="D4" s="40" t="s">
        <v>54</v>
      </c>
      <c r="E4" s="40" t="s">
        <v>56</v>
      </c>
      <c r="F4" s="40"/>
      <c r="G4" s="39"/>
      <c r="H4" s="58"/>
      <c r="I4" s="58"/>
      <c r="J4" s="58" t="s">
        <v>55</v>
      </c>
      <c r="K4" s="58" t="s">
        <v>55</v>
      </c>
      <c r="L4" s="64"/>
      <c r="M4" s="39" t="s">
        <v>40</v>
      </c>
      <c r="N4" s="59"/>
      <c r="O4" s="41">
        <v>46840000</v>
      </c>
      <c r="P4" s="41">
        <f>O4</f>
        <v>46840000</v>
      </c>
      <c r="Q4" s="41"/>
      <c r="R4" s="41">
        <f>P4</f>
        <v>46840000</v>
      </c>
      <c r="S4" s="41">
        <f>R4</f>
        <v>46840000</v>
      </c>
      <c r="T4" s="41"/>
      <c r="U4" s="41"/>
      <c r="V4" s="41"/>
    </row>
    <row r="5" spans="2:22" s="42" customFormat="1" x14ac:dyDescent="0.3">
      <c r="B5" s="39"/>
      <c r="C5" s="39"/>
      <c r="D5" s="40"/>
      <c r="E5" s="40"/>
      <c r="F5" s="40"/>
      <c r="G5" s="39"/>
      <c r="H5" s="58"/>
      <c r="I5" s="58"/>
      <c r="J5" s="40"/>
      <c r="K5" s="40"/>
      <c r="L5" s="40"/>
      <c r="M5" s="39"/>
      <c r="N5" s="59"/>
      <c r="O5" s="41"/>
      <c r="P5" s="41"/>
      <c r="Q5" s="41"/>
      <c r="R5" s="41"/>
      <c r="S5" s="41"/>
      <c r="T5" s="60"/>
      <c r="U5" s="41"/>
      <c r="V5" s="40"/>
    </row>
    <row r="6" spans="2:22" s="42" customFormat="1" x14ac:dyDescent="0.3">
      <c r="B6" s="39"/>
      <c r="C6" s="39"/>
      <c r="D6" s="40"/>
      <c r="E6" s="40"/>
      <c r="F6" s="40"/>
      <c r="G6" s="39"/>
      <c r="H6" s="58"/>
      <c r="I6" s="58"/>
      <c r="J6" s="40"/>
      <c r="K6" s="40"/>
      <c r="L6" s="40"/>
      <c r="M6" s="39"/>
      <c r="N6" s="59"/>
      <c r="O6" s="41"/>
      <c r="P6" s="41"/>
      <c r="Q6" s="41"/>
      <c r="R6" s="41"/>
      <c r="S6" s="41"/>
      <c r="T6" s="60"/>
      <c r="U6" s="41"/>
      <c r="V6" s="40"/>
    </row>
    <row r="7" spans="2:22" s="42" customFormat="1" x14ac:dyDescent="0.3">
      <c r="B7" s="39"/>
      <c r="C7" s="39"/>
      <c r="D7" s="40"/>
      <c r="E7" s="40"/>
      <c r="F7" s="40"/>
      <c r="G7" s="39"/>
      <c r="H7" s="58"/>
      <c r="I7" s="58"/>
      <c r="J7" s="40"/>
      <c r="K7" s="40"/>
      <c r="L7" s="40"/>
      <c r="M7" s="39"/>
      <c r="N7" s="59"/>
      <c r="O7" s="41"/>
      <c r="P7" s="41"/>
      <c r="Q7" s="41"/>
      <c r="R7" s="41"/>
      <c r="S7" s="41"/>
      <c r="T7" s="41"/>
      <c r="U7" s="41"/>
      <c r="V7" s="40"/>
    </row>
    <row r="8" spans="2:22" s="42" customFormat="1" x14ac:dyDescent="0.3">
      <c r="B8" s="43"/>
      <c r="C8" s="43"/>
      <c r="D8" s="44"/>
      <c r="E8" s="44"/>
      <c r="F8" s="44"/>
      <c r="G8" s="43"/>
      <c r="H8" s="65"/>
      <c r="I8" s="65"/>
      <c r="J8" s="53"/>
      <c r="K8" s="53"/>
      <c r="L8" s="53"/>
      <c r="M8" s="54"/>
      <c r="N8" s="66"/>
      <c r="O8" s="67"/>
      <c r="P8" s="67"/>
      <c r="Q8" s="67"/>
      <c r="R8" s="67"/>
      <c r="S8" s="67"/>
      <c r="T8" s="67"/>
      <c r="U8" s="67"/>
      <c r="V8" s="53"/>
    </row>
    <row r="9" spans="2:22" s="42" customFormat="1" x14ac:dyDescent="0.3">
      <c r="B9" s="39"/>
      <c r="C9" s="39"/>
      <c r="D9" s="40"/>
      <c r="E9" s="40"/>
      <c r="F9" s="40"/>
      <c r="G9" s="39"/>
      <c r="H9" s="58"/>
      <c r="I9" s="58"/>
      <c r="J9" s="40"/>
      <c r="K9" s="40"/>
      <c r="L9" s="40"/>
      <c r="M9" s="39"/>
      <c r="N9" s="59"/>
      <c r="O9" s="41"/>
      <c r="P9" s="41"/>
      <c r="Q9" s="41"/>
      <c r="R9" s="41"/>
      <c r="S9" s="41"/>
      <c r="T9" s="41"/>
      <c r="U9" s="41"/>
      <c r="V9" s="40"/>
    </row>
    <row r="10" spans="2:22" s="42" customFormat="1" x14ac:dyDescent="0.3">
      <c r="B10" s="39"/>
      <c r="C10" s="39"/>
      <c r="D10" s="40"/>
      <c r="E10" s="40"/>
      <c r="F10" s="40"/>
      <c r="G10" s="39"/>
      <c r="H10" s="61"/>
      <c r="I10" s="58"/>
      <c r="J10" s="40"/>
      <c r="K10" s="40"/>
      <c r="L10" s="40"/>
      <c r="M10" s="39"/>
      <c r="N10" s="59"/>
      <c r="O10" s="41"/>
      <c r="P10" s="41"/>
      <c r="Q10" s="41"/>
      <c r="R10" s="41"/>
      <c r="S10" s="41"/>
      <c r="T10" s="41"/>
      <c r="U10" s="41"/>
      <c r="V10" s="40"/>
    </row>
    <row r="11" spans="2:22" s="42" customFormat="1" x14ac:dyDescent="0.3">
      <c r="B11" s="43"/>
      <c r="C11" s="43"/>
      <c r="D11" s="44"/>
      <c r="E11" s="44"/>
      <c r="F11" s="44"/>
      <c r="G11" s="43"/>
      <c r="H11" s="62"/>
      <c r="I11" s="62"/>
      <c r="J11" s="44"/>
      <c r="K11" s="44"/>
      <c r="L11" s="44"/>
      <c r="M11" s="43"/>
      <c r="N11" s="63"/>
      <c r="O11" s="19"/>
      <c r="P11" s="19"/>
      <c r="Q11" s="19"/>
      <c r="R11" s="19"/>
      <c r="S11" s="19"/>
      <c r="T11" s="19"/>
      <c r="U11" s="19"/>
      <c r="V11" s="44"/>
    </row>
    <row r="12" spans="2:22" s="42" customFormat="1" x14ac:dyDescent="0.3">
      <c r="B12" s="43"/>
      <c r="C12" s="43"/>
      <c r="D12" s="44"/>
      <c r="E12" s="44"/>
      <c r="F12" s="44"/>
      <c r="G12" s="43"/>
      <c r="H12" s="62"/>
      <c r="I12" s="62"/>
      <c r="J12" s="44"/>
      <c r="K12" s="44"/>
      <c r="L12" s="44"/>
      <c r="M12" s="43"/>
      <c r="N12" s="63"/>
      <c r="O12" s="19"/>
      <c r="P12" s="19"/>
      <c r="Q12" s="19"/>
      <c r="R12" s="19"/>
      <c r="S12" s="19"/>
      <c r="T12" s="19"/>
      <c r="U12" s="19"/>
      <c r="V12" s="44"/>
    </row>
    <row r="13" spans="2:22" s="42" customFormat="1" x14ac:dyDescent="0.3">
      <c r="B13" s="43"/>
      <c r="C13" s="43"/>
      <c r="D13" s="44"/>
      <c r="E13" s="44"/>
      <c r="F13" s="44"/>
      <c r="G13" s="43"/>
      <c r="H13" s="62"/>
      <c r="I13" s="62"/>
      <c r="J13" s="44"/>
      <c r="K13" s="44"/>
      <c r="L13" s="44"/>
      <c r="M13" s="43"/>
      <c r="N13" s="63"/>
      <c r="O13" s="19"/>
      <c r="P13" s="19"/>
      <c r="Q13" s="19"/>
      <c r="R13" s="19"/>
      <c r="S13" s="19"/>
      <c r="T13" s="19"/>
      <c r="U13" s="19"/>
      <c r="V13" s="44"/>
    </row>
    <row r="14" spans="2:22" s="42" customFormat="1" x14ac:dyDescent="0.3">
      <c r="B14" s="43"/>
      <c r="C14" s="43"/>
      <c r="D14" s="44"/>
      <c r="E14" s="44"/>
      <c r="F14" s="44"/>
      <c r="G14" s="43"/>
      <c r="H14" s="62"/>
      <c r="I14" s="62"/>
      <c r="J14" s="44"/>
      <c r="K14" s="44"/>
      <c r="L14" s="44"/>
      <c r="M14" s="43"/>
      <c r="N14" s="63"/>
      <c r="O14" s="19"/>
      <c r="P14" s="19"/>
      <c r="Q14" s="19"/>
      <c r="R14" s="19"/>
      <c r="S14" s="19"/>
      <c r="T14" s="19"/>
      <c r="U14" s="19"/>
      <c r="V14" s="44"/>
    </row>
    <row r="15" spans="2:22" s="42" customFormat="1" x14ac:dyDescent="0.3">
      <c r="B15" s="39"/>
      <c r="C15" s="39"/>
      <c r="D15" s="40"/>
      <c r="E15" s="40"/>
      <c r="F15" s="40"/>
      <c r="G15" s="39"/>
      <c r="H15" s="58"/>
      <c r="I15" s="58"/>
      <c r="J15" s="40"/>
      <c r="K15" s="40"/>
      <c r="L15" s="40"/>
      <c r="M15" s="39"/>
      <c r="N15" s="59"/>
      <c r="O15" s="41"/>
      <c r="P15" s="41"/>
      <c r="Q15" s="41"/>
      <c r="R15" s="41"/>
      <c r="S15" s="41"/>
      <c r="T15" s="41"/>
      <c r="U15" s="41"/>
      <c r="V15" s="40"/>
    </row>
    <row r="16" spans="2:22" s="42" customFormat="1" x14ac:dyDescent="0.3">
      <c r="B16" s="43"/>
      <c r="C16" s="43"/>
      <c r="D16" s="44"/>
      <c r="E16" s="44"/>
      <c r="F16" s="44"/>
      <c r="G16" s="43"/>
      <c r="H16" s="62"/>
      <c r="I16" s="62"/>
      <c r="J16" s="44"/>
      <c r="K16" s="44"/>
      <c r="L16" s="44"/>
      <c r="M16" s="43"/>
      <c r="N16" s="63"/>
      <c r="O16" s="19"/>
      <c r="P16" s="19"/>
      <c r="Q16" s="19"/>
      <c r="R16" s="19"/>
      <c r="S16" s="19"/>
      <c r="T16" s="19"/>
      <c r="U16" s="19"/>
      <c r="V16" s="44"/>
    </row>
    <row r="17" spans="2:22" s="42" customFormat="1" x14ac:dyDescent="0.3">
      <c r="B17" s="43"/>
      <c r="C17" s="43"/>
      <c r="D17" s="44"/>
      <c r="E17" s="44"/>
      <c r="F17" s="44"/>
      <c r="G17" s="43"/>
      <c r="H17" s="62"/>
      <c r="I17" s="62"/>
      <c r="J17" s="44"/>
      <c r="K17" s="44"/>
      <c r="L17" s="44"/>
      <c r="M17" s="43"/>
      <c r="N17" s="63"/>
      <c r="O17" s="19"/>
      <c r="P17" s="19"/>
      <c r="Q17" s="19"/>
      <c r="R17" s="19"/>
      <c r="S17" s="19"/>
      <c r="T17" s="19"/>
      <c r="U17" s="19"/>
      <c r="V17" s="44"/>
    </row>
    <row r="18" spans="2:22" s="42" customFormat="1" x14ac:dyDescent="0.3">
      <c r="B18" s="43"/>
      <c r="C18" s="43"/>
      <c r="D18" s="44"/>
      <c r="E18" s="44"/>
      <c r="F18" s="44"/>
      <c r="G18" s="43"/>
      <c r="H18" s="62"/>
      <c r="I18" s="62"/>
      <c r="J18" s="44"/>
      <c r="K18" s="44"/>
      <c r="L18" s="44"/>
      <c r="M18" s="43"/>
      <c r="N18" s="63"/>
      <c r="O18" s="19"/>
      <c r="P18" s="19"/>
      <c r="Q18" s="19"/>
      <c r="R18" s="19"/>
      <c r="S18" s="19"/>
      <c r="T18" s="19"/>
      <c r="U18" s="19"/>
      <c r="V18" s="44"/>
    </row>
    <row r="19" spans="2:22" s="42" customFormat="1" x14ac:dyDescent="0.3">
      <c r="B19" s="43"/>
      <c r="C19" s="43"/>
      <c r="D19" s="44"/>
      <c r="E19" s="44"/>
      <c r="F19" s="44"/>
      <c r="G19" s="43"/>
      <c r="H19" s="62"/>
      <c r="I19" s="62"/>
      <c r="J19" s="44"/>
      <c r="K19" s="44"/>
      <c r="L19" s="44"/>
      <c r="M19" s="43"/>
      <c r="N19" s="63"/>
      <c r="O19" s="19"/>
      <c r="P19" s="19"/>
      <c r="Q19" s="19"/>
      <c r="R19" s="19"/>
      <c r="S19" s="19"/>
      <c r="T19" s="19"/>
      <c r="U19" s="19"/>
      <c r="V19" s="44"/>
    </row>
    <row r="20" spans="2:22" s="42" customFormat="1" x14ac:dyDescent="0.3">
      <c r="B20" s="43"/>
      <c r="C20" s="43"/>
      <c r="D20" s="44"/>
      <c r="E20" s="44"/>
      <c r="F20" s="44"/>
      <c r="G20" s="43"/>
      <c r="H20" s="62"/>
      <c r="I20" s="62"/>
      <c r="J20" s="44"/>
      <c r="K20" s="44"/>
      <c r="L20" s="44"/>
      <c r="M20" s="43"/>
      <c r="N20" s="63"/>
      <c r="O20" s="19"/>
      <c r="P20" s="19"/>
      <c r="Q20" s="19"/>
      <c r="R20" s="19"/>
      <c r="S20" s="19"/>
      <c r="T20" s="19"/>
      <c r="U20" s="19"/>
      <c r="V20" s="44"/>
    </row>
    <row r="21" spans="2:22" s="42" customFormat="1" x14ac:dyDescent="0.3">
      <c r="B21" s="43"/>
      <c r="C21" s="43"/>
      <c r="D21" s="44"/>
      <c r="E21" s="44"/>
      <c r="F21" s="44"/>
      <c r="G21" s="43"/>
      <c r="H21" s="62"/>
      <c r="I21" s="62"/>
      <c r="J21" s="44"/>
      <c r="K21" s="44"/>
      <c r="L21" s="44"/>
      <c r="M21" s="43"/>
      <c r="N21" s="63"/>
      <c r="O21" s="19"/>
      <c r="P21" s="19"/>
      <c r="Q21" s="19"/>
      <c r="R21" s="19"/>
      <c r="S21" s="19"/>
      <c r="T21" s="19"/>
      <c r="U21" s="19"/>
      <c r="V21" s="44"/>
    </row>
    <row r="22" spans="2:22" s="42" customFormat="1" x14ac:dyDescent="0.3">
      <c r="B22" s="43"/>
      <c r="C22" s="43"/>
      <c r="D22" s="44"/>
      <c r="E22" s="44"/>
      <c r="F22" s="44"/>
      <c r="G22" s="43"/>
      <c r="H22" s="62"/>
      <c r="I22" s="62"/>
      <c r="J22" s="44"/>
      <c r="K22" s="44"/>
      <c r="L22" s="44"/>
      <c r="M22" s="43"/>
      <c r="N22" s="63"/>
      <c r="O22" s="19"/>
      <c r="P22" s="19"/>
      <c r="Q22" s="19"/>
      <c r="R22" s="19"/>
      <c r="S22" s="19"/>
      <c r="T22" s="19"/>
      <c r="U22" s="19"/>
      <c r="V22" s="44"/>
    </row>
    <row r="23" spans="2:22" s="42" customFormat="1" x14ac:dyDescent="0.3">
      <c r="B23" s="43"/>
      <c r="C23" s="43"/>
      <c r="D23" s="44"/>
      <c r="E23" s="44"/>
      <c r="F23" s="44"/>
      <c r="G23" s="43"/>
      <c r="H23" s="62"/>
      <c r="I23" s="62"/>
      <c r="J23" s="44"/>
      <c r="K23" s="44"/>
      <c r="L23" s="44"/>
      <c r="M23" s="43"/>
      <c r="N23" s="63"/>
      <c r="O23" s="19"/>
      <c r="P23" s="19"/>
      <c r="Q23" s="19"/>
      <c r="R23" s="19"/>
      <c r="S23" s="19"/>
      <c r="T23" s="19"/>
      <c r="U23" s="19"/>
      <c r="V23" s="44"/>
    </row>
    <row r="24" spans="2:22" s="42" customFormat="1" x14ac:dyDescent="0.3">
      <c r="B24" s="43"/>
      <c r="C24" s="43"/>
      <c r="D24" s="44"/>
      <c r="E24" s="44"/>
      <c r="F24" s="44"/>
      <c r="G24" s="43"/>
      <c r="H24" s="62"/>
      <c r="I24" s="62"/>
      <c r="J24" s="44"/>
      <c r="K24" s="44"/>
      <c r="L24" s="44"/>
      <c r="M24" s="43"/>
      <c r="N24" s="63"/>
      <c r="O24" s="19"/>
      <c r="P24" s="19"/>
      <c r="Q24" s="19"/>
      <c r="R24" s="19"/>
      <c r="S24" s="19"/>
      <c r="T24" s="19"/>
      <c r="U24" s="19"/>
      <c r="V24" s="44"/>
    </row>
    <row r="25" spans="2:22" s="42" customFormat="1" x14ac:dyDescent="0.3">
      <c r="B25" s="43"/>
      <c r="C25" s="43"/>
      <c r="D25" s="44"/>
      <c r="E25" s="44"/>
      <c r="F25" s="44"/>
      <c r="G25" s="43"/>
      <c r="H25" s="62"/>
      <c r="I25" s="62"/>
      <c r="J25" s="44"/>
      <c r="K25" s="44"/>
      <c r="L25" s="44"/>
      <c r="M25" s="43"/>
      <c r="N25" s="63"/>
      <c r="O25" s="19"/>
      <c r="P25" s="19"/>
      <c r="Q25" s="19"/>
      <c r="R25" s="19"/>
      <c r="S25" s="19"/>
      <c r="T25" s="19"/>
      <c r="U25" s="19"/>
      <c r="V25" s="44"/>
    </row>
    <row r="26" spans="2:22" x14ac:dyDescent="0.3">
      <c r="B26" s="2"/>
      <c r="C26" s="83" t="s">
        <v>13</v>
      </c>
      <c r="D26" s="84"/>
      <c r="E26" s="84"/>
      <c r="F26" s="84"/>
      <c r="G26" s="84"/>
      <c r="H26" s="84"/>
      <c r="I26" s="84"/>
      <c r="J26" s="85"/>
      <c r="K26" s="79"/>
      <c r="L26" s="79"/>
      <c r="M26" s="5"/>
      <c r="N26" s="11">
        <f>SUM(N4:N25)</f>
        <v>0</v>
      </c>
      <c r="O26" s="16">
        <f>SUM(O4:O25)</f>
        <v>46840000</v>
      </c>
      <c r="P26" s="10">
        <f>SUM(P4:P25)</f>
        <v>46840000</v>
      </c>
      <c r="Q26" s="10"/>
      <c r="R26" s="16">
        <f>SUM(R4:R25)</f>
        <v>46840000</v>
      </c>
      <c r="S26" s="16">
        <f>SUM(S4:S25)</f>
        <v>46840000</v>
      </c>
      <c r="T26" s="16">
        <f>SUM(T4:T25)</f>
        <v>0</v>
      </c>
      <c r="U26" s="16">
        <f>SUM(U4:U25)</f>
        <v>0</v>
      </c>
      <c r="V26" s="9"/>
    </row>
    <row r="27" spans="2:22" x14ac:dyDescent="0.3">
      <c r="O27" s="15"/>
      <c r="Q27" s="13"/>
      <c r="R27" s="14"/>
      <c r="S27" s="14"/>
      <c r="T27" s="14"/>
      <c r="U27" s="18"/>
    </row>
  </sheetData>
  <mergeCells count="1">
    <mergeCell ref="C26:J26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0A3D3-5202-4A20-AEA9-F246E9DF8A0B}">
  <dimension ref="B2:V27"/>
  <sheetViews>
    <sheetView zoomScale="85" zoomScaleNormal="85" workbookViewId="0">
      <pane xSplit="9" ySplit="3" topLeftCell="J4" activePane="bottomRight" state="frozen"/>
      <selection pane="topRight" activeCell="J1" sqref="J1"/>
      <selection pane="bottomLeft" activeCell="A4" sqref="A4"/>
      <selection pane="bottomRight"/>
    </sheetView>
  </sheetViews>
  <sheetFormatPr defaultRowHeight="16.5" x14ac:dyDescent="0.3"/>
  <cols>
    <col min="1" max="1" width="4.25" customWidth="1"/>
    <col min="2" max="2" width="5.75" style="1" customWidth="1"/>
    <col min="3" max="3" width="5.25" style="1" bestFit="1" customWidth="1"/>
    <col min="4" max="4" width="11" style="7" bestFit="1" customWidth="1"/>
    <col min="5" max="5" width="20.875" style="7" customWidth="1"/>
    <col min="6" max="6" width="14.875" style="7" bestFit="1" customWidth="1"/>
    <col min="7" max="7" width="10.75" style="1" customWidth="1"/>
    <col min="8" max="8" width="10.75" style="12" customWidth="1"/>
    <col min="9" max="9" width="5.875" style="12" bestFit="1" customWidth="1"/>
    <col min="10" max="11" width="33.25" style="7" customWidth="1"/>
    <col min="12" max="12" width="11" style="7" customWidth="1"/>
    <col min="13" max="13" width="5.75" style="7" customWidth="1"/>
    <col min="14" max="14" width="21.5" style="8" bestFit="1" customWidth="1"/>
    <col min="15" max="15" width="15.875" style="8" customWidth="1"/>
    <col min="16" max="18" width="16.125" style="8" customWidth="1"/>
    <col min="19" max="20" width="18.125" style="8" customWidth="1"/>
    <col min="21" max="21" width="16.125" style="8" customWidth="1"/>
    <col min="22" max="22" width="12.75" style="17" customWidth="1"/>
    <col min="23" max="23" width="17.25" customWidth="1"/>
  </cols>
  <sheetData>
    <row r="2" spans="2:22" x14ac:dyDescent="0.3">
      <c r="B2" s="6"/>
      <c r="C2" s="6"/>
    </row>
    <row r="3" spans="2:22" s="1" customFormat="1" ht="33" x14ac:dyDescent="0.3">
      <c r="B3" s="2" t="s">
        <v>0</v>
      </c>
      <c r="C3" s="2" t="s">
        <v>8</v>
      </c>
      <c r="D3" s="3" t="s">
        <v>2</v>
      </c>
      <c r="E3" s="3" t="s">
        <v>3</v>
      </c>
      <c r="F3" s="3" t="s">
        <v>34</v>
      </c>
      <c r="G3" s="3" t="s">
        <v>9</v>
      </c>
      <c r="H3" s="4" t="s">
        <v>4</v>
      </c>
      <c r="I3" s="4" t="s">
        <v>33</v>
      </c>
      <c r="J3" s="5" t="s">
        <v>1</v>
      </c>
      <c r="K3" s="5" t="s">
        <v>27</v>
      </c>
      <c r="L3" s="5" t="s">
        <v>35</v>
      </c>
      <c r="M3" s="5" t="s">
        <v>10</v>
      </c>
      <c r="N3" s="9" t="s">
        <v>6</v>
      </c>
      <c r="O3" s="9" t="s">
        <v>7</v>
      </c>
      <c r="P3" s="9" t="s">
        <v>11</v>
      </c>
      <c r="Q3" s="9" t="s">
        <v>12</v>
      </c>
      <c r="R3" s="9" t="s">
        <v>25</v>
      </c>
      <c r="S3" s="9" t="s">
        <v>29</v>
      </c>
      <c r="T3" s="9" t="s">
        <v>31</v>
      </c>
      <c r="U3" s="9" t="s">
        <v>14</v>
      </c>
      <c r="V3" s="9" t="s">
        <v>5</v>
      </c>
    </row>
    <row r="4" spans="2:22" s="1" customFormat="1" x14ac:dyDescent="0.3">
      <c r="B4" s="43">
        <v>1</v>
      </c>
      <c r="C4" s="43" t="s">
        <v>36</v>
      </c>
      <c r="D4" s="44" t="s">
        <v>63</v>
      </c>
      <c r="E4" s="44">
        <v>202407031</v>
      </c>
      <c r="F4" s="44"/>
      <c r="G4" s="43">
        <v>240703</v>
      </c>
      <c r="H4" s="62" t="s">
        <v>64</v>
      </c>
      <c r="I4" s="62"/>
      <c r="J4" s="62" t="s">
        <v>55</v>
      </c>
      <c r="K4" s="62" t="s">
        <v>55</v>
      </c>
      <c r="L4" s="86"/>
      <c r="M4" s="43" t="s">
        <v>65</v>
      </c>
      <c r="N4" s="63"/>
      <c r="O4" s="19">
        <v>482560000</v>
      </c>
      <c r="P4" s="19"/>
      <c r="Q4" s="19">
        <f>O4</f>
        <v>482560000</v>
      </c>
      <c r="R4" s="19"/>
      <c r="S4" s="19">
        <f>R4</f>
        <v>0</v>
      </c>
      <c r="T4" s="19"/>
      <c r="U4" s="19"/>
      <c r="V4" s="19"/>
    </row>
    <row r="5" spans="2:22" s="42" customFormat="1" x14ac:dyDescent="0.3">
      <c r="B5" s="39"/>
      <c r="C5" s="39"/>
      <c r="D5" s="40"/>
      <c r="E5" s="40"/>
      <c r="F5" s="40"/>
      <c r="G5" s="39"/>
      <c r="H5" s="58"/>
      <c r="I5" s="58"/>
      <c r="J5" s="40"/>
      <c r="K5" s="40"/>
      <c r="L5" s="40"/>
      <c r="M5" s="39"/>
      <c r="N5" s="59"/>
      <c r="O5" s="41"/>
      <c r="P5" s="41"/>
      <c r="Q5" s="41"/>
      <c r="R5" s="41"/>
      <c r="S5" s="41"/>
      <c r="T5" s="60"/>
      <c r="U5" s="41"/>
      <c r="V5" s="40"/>
    </row>
    <row r="6" spans="2:22" s="42" customFormat="1" x14ac:dyDescent="0.3">
      <c r="B6" s="39"/>
      <c r="C6" s="39"/>
      <c r="D6" s="40"/>
      <c r="E6" s="40"/>
      <c r="F6" s="40"/>
      <c r="G6" s="39"/>
      <c r="H6" s="58"/>
      <c r="I6" s="58"/>
      <c r="J6" s="40"/>
      <c r="K6" s="40"/>
      <c r="L6" s="40"/>
      <c r="M6" s="39"/>
      <c r="N6" s="59"/>
      <c r="O6" s="41"/>
      <c r="P6" s="41"/>
      <c r="Q6" s="41"/>
      <c r="R6" s="41"/>
      <c r="S6" s="41"/>
      <c r="T6" s="60"/>
      <c r="U6" s="41"/>
      <c r="V6" s="40"/>
    </row>
    <row r="7" spans="2:22" s="42" customFormat="1" x14ac:dyDescent="0.3">
      <c r="B7" s="39"/>
      <c r="C7" s="39"/>
      <c r="D7" s="40"/>
      <c r="E7" s="40"/>
      <c r="F7" s="40"/>
      <c r="G7" s="39"/>
      <c r="H7" s="58"/>
      <c r="I7" s="58"/>
      <c r="J7" s="40"/>
      <c r="K7" s="40"/>
      <c r="L7" s="40"/>
      <c r="M7" s="39"/>
      <c r="N7" s="59"/>
      <c r="O7" s="41"/>
      <c r="P7" s="41"/>
      <c r="Q7" s="41"/>
      <c r="R7" s="41"/>
      <c r="S7" s="41"/>
      <c r="T7" s="41"/>
      <c r="U7" s="41"/>
      <c r="V7" s="40"/>
    </row>
    <row r="8" spans="2:22" s="42" customFormat="1" x14ac:dyDescent="0.3">
      <c r="B8" s="43"/>
      <c r="C8" s="43"/>
      <c r="D8" s="44"/>
      <c r="E8" s="44"/>
      <c r="F8" s="44"/>
      <c r="G8" s="43"/>
      <c r="H8" s="65"/>
      <c r="I8" s="65"/>
      <c r="J8" s="53"/>
      <c r="K8" s="53"/>
      <c r="L8" s="53"/>
      <c r="M8" s="54"/>
      <c r="N8" s="66"/>
      <c r="O8" s="67"/>
      <c r="P8" s="67"/>
      <c r="Q8" s="67"/>
      <c r="R8" s="67"/>
      <c r="S8" s="67"/>
      <c r="T8" s="67"/>
      <c r="U8" s="67"/>
      <c r="V8" s="53"/>
    </row>
    <row r="9" spans="2:22" s="42" customFormat="1" x14ac:dyDescent="0.3">
      <c r="B9" s="39"/>
      <c r="C9" s="39"/>
      <c r="D9" s="40"/>
      <c r="E9" s="40"/>
      <c r="F9" s="40"/>
      <c r="G9" s="39"/>
      <c r="H9" s="58"/>
      <c r="I9" s="58"/>
      <c r="J9" s="40"/>
      <c r="K9" s="40"/>
      <c r="L9" s="40"/>
      <c r="M9" s="39"/>
      <c r="N9" s="59"/>
      <c r="O9" s="41"/>
      <c r="P9" s="41"/>
      <c r="Q9" s="41"/>
      <c r="R9" s="41"/>
      <c r="S9" s="41"/>
      <c r="T9" s="41"/>
      <c r="U9" s="41"/>
      <c r="V9" s="40"/>
    </row>
    <row r="10" spans="2:22" s="42" customFormat="1" x14ac:dyDescent="0.3">
      <c r="B10" s="39"/>
      <c r="C10" s="39"/>
      <c r="D10" s="40"/>
      <c r="E10" s="40"/>
      <c r="F10" s="40"/>
      <c r="G10" s="39"/>
      <c r="H10" s="61"/>
      <c r="I10" s="58"/>
      <c r="J10" s="40"/>
      <c r="K10" s="40"/>
      <c r="L10" s="40"/>
      <c r="M10" s="39"/>
      <c r="N10" s="59"/>
      <c r="O10" s="41"/>
      <c r="P10" s="41"/>
      <c r="Q10" s="41"/>
      <c r="R10" s="41"/>
      <c r="S10" s="41"/>
      <c r="T10" s="41"/>
      <c r="U10" s="41"/>
      <c r="V10" s="40"/>
    </row>
    <row r="11" spans="2:22" s="42" customFormat="1" x14ac:dyDescent="0.3">
      <c r="B11" s="43"/>
      <c r="C11" s="43"/>
      <c r="D11" s="44"/>
      <c r="E11" s="44"/>
      <c r="F11" s="44"/>
      <c r="G11" s="43"/>
      <c r="H11" s="62"/>
      <c r="I11" s="62"/>
      <c r="J11" s="44"/>
      <c r="K11" s="44"/>
      <c r="L11" s="44"/>
      <c r="M11" s="43"/>
      <c r="N11" s="63"/>
      <c r="O11" s="19"/>
      <c r="P11" s="19"/>
      <c r="Q11" s="19"/>
      <c r="R11" s="19"/>
      <c r="S11" s="19"/>
      <c r="T11" s="19"/>
      <c r="U11" s="19"/>
      <c r="V11" s="44"/>
    </row>
    <row r="12" spans="2:22" s="42" customFormat="1" x14ac:dyDescent="0.3">
      <c r="B12" s="43"/>
      <c r="C12" s="43"/>
      <c r="D12" s="44"/>
      <c r="E12" s="44"/>
      <c r="F12" s="44"/>
      <c r="G12" s="43"/>
      <c r="H12" s="62"/>
      <c r="I12" s="62"/>
      <c r="J12" s="44"/>
      <c r="K12" s="44"/>
      <c r="L12" s="44"/>
      <c r="M12" s="43"/>
      <c r="N12" s="63"/>
      <c r="O12" s="19"/>
      <c r="P12" s="19"/>
      <c r="Q12" s="19"/>
      <c r="R12" s="19"/>
      <c r="S12" s="19"/>
      <c r="T12" s="19"/>
      <c r="U12" s="19"/>
      <c r="V12" s="44"/>
    </row>
    <row r="13" spans="2:22" s="42" customFormat="1" x14ac:dyDescent="0.3">
      <c r="B13" s="43"/>
      <c r="C13" s="43"/>
      <c r="D13" s="44"/>
      <c r="E13" s="44"/>
      <c r="F13" s="44"/>
      <c r="G13" s="43"/>
      <c r="H13" s="62"/>
      <c r="I13" s="62"/>
      <c r="J13" s="44"/>
      <c r="K13" s="44"/>
      <c r="L13" s="44"/>
      <c r="M13" s="43"/>
      <c r="N13" s="63"/>
      <c r="O13" s="19"/>
      <c r="P13" s="19"/>
      <c r="Q13" s="19"/>
      <c r="R13" s="19"/>
      <c r="S13" s="19"/>
      <c r="T13" s="19"/>
      <c r="U13" s="19"/>
      <c r="V13" s="44"/>
    </row>
    <row r="14" spans="2:22" s="42" customFormat="1" x14ac:dyDescent="0.3">
      <c r="B14" s="43"/>
      <c r="C14" s="43"/>
      <c r="D14" s="44"/>
      <c r="E14" s="44"/>
      <c r="F14" s="44"/>
      <c r="G14" s="43"/>
      <c r="H14" s="62"/>
      <c r="I14" s="62"/>
      <c r="J14" s="44"/>
      <c r="K14" s="44"/>
      <c r="L14" s="44"/>
      <c r="M14" s="43"/>
      <c r="N14" s="63"/>
      <c r="O14" s="19"/>
      <c r="P14" s="19"/>
      <c r="Q14" s="19"/>
      <c r="R14" s="19"/>
      <c r="S14" s="19"/>
      <c r="T14" s="19"/>
      <c r="U14" s="19"/>
      <c r="V14" s="44"/>
    </row>
    <row r="15" spans="2:22" s="42" customFormat="1" x14ac:dyDescent="0.3">
      <c r="B15" s="39"/>
      <c r="C15" s="39"/>
      <c r="D15" s="40"/>
      <c r="E15" s="40"/>
      <c r="F15" s="40"/>
      <c r="G15" s="39"/>
      <c r="H15" s="58"/>
      <c r="I15" s="58"/>
      <c r="J15" s="40"/>
      <c r="K15" s="40"/>
      <c r="L15" s="40"/>
      <c r="M15" s="39"/>
      <c r="N15" s="59"/>
      <c r="O15" s="41"/>
      <c r="P15" s="41"/>
      <c r="Q15" s="41"/>
      <c r="R15" s="41"/>
      <c r="S15" s="41"/>
      <c r="T15" s="41"/>
      <c r="U15" s="41"/>
      <c r="V15" s="40"/>
    </row>
    <row r="16" spans="2:22" s="42" customFormat="1" x14ac:dyDescent="0.3">
      <c r="B16" s="43"/>
      <c r="C16" s="43"/>
      <c r="D16" s="44"/>
      <c r="E16" s="44"/>
      <c r="F16" s="44"/>
      <c r="G16" s="43"/>
      <c r="H16" s="62"/>
      <c r="I16" s="62"/>
      <c r="J16" s="44"/>
      <c r="K16" s="44"/>
      <c r="L16" s="44"/>
      <c r="M16" s="43"/>
      <c r="N16" s="63"/>
      <c r="O16" s="19"/>
      <c r="P16" s="19"/>
      <c r="Q16" s="19"/>
      <c r="R16" s="19"/>
      <c r="S16" s="19"/>
      <c r="T16" s="19"/>
      <c r="U16" s="19"/>
      <c r="V16" s="44"/>
    </row>
    <row r="17" spans="2:22" s="42" customFormat="1" x14ac:dyDescent="0.3">
      <c r="B17" s="43"/>
      <c r="C17" s="43"/>
      <c r="D17" s="44"/>
      <c r="E17" s="44"/>
      <c r="F17" s="44"/>
      <c r="G17" s="43"/>
      <c r="H17" s="62"/>
      <c r="I17" s="62"/>
      <c r="J17" s="44"/>
      <c r="K17" s="44"/>
      <c r="L17" s="44"/>
      <c r="M17" s="43"/>
      <c r="N17" s="63"/>
      <c r="O17" s="19"/>
      <c r="P17" s="19"/>
      <c r="Q17" s="19"/>
      <c r="R17" s="19"/>
      <c r="S17" s="19"/>
      <c r="T17" s="19"/>
      <c r="U17" s="19"/>
      <c r="V17" s="44"/>
    </row>
    <row r="18" spans="2:22" s="42" customFormat="1" x14ac:dyDescent="0.3">
      <c r="B18" s="43"/>
      <c r="C18" s="43"/>
      <c r="D18" s="44"/>
      <c r="E18" s="44"/>
      <c r="F18" s="44"/>
      <c r="G18" s="43"/>
      <c r="H18" s="62"/>
      <c r="I18" s="62"/>
      <c r="J18" s="44"/>
      <c r="K18" s="44"/>
      <c r="L18" s="44"/>
      <c r="M18" s="43"/>
      <c r="N18" s="63"/>
      <c r="O18" s="19"/>
      <c r="P18" s="19"/>
      <c r="Q18" s="19"/>
      <c r="R18" s="19"/>
      <c r="S18" s="19"/>
      <c r="T18" s="19"/>
      <c r="U18" s="19"/>
      <c r="V18" s="44"/>
    </row>
    <row r="19" spans="2:22" s="42" customFormat="1" x14ac:dyDescent="0.3">
      <c r="B19" s="43"/>
      <c r="C19" s="43"/>
      <c r="D19" s="44"/>
      <c r="E19" s="44"/>
      <c r="F19" s="44"/>
      <c r="G19" s="43"/>
      <c r="H19" s="62"/>
      <c r="I19" s="62"/>
      <c r="J19" s="44"/>
      <c r="K19" s="44"/>
      <c r="L19" s="44"/>
      <c r="M19" s="43"/>
      <c r="N19" s="63"/>
      <c r="O19" s="19"/>
      <c r="P19" s="19"/>
      <c r="Q19" s="19"/>
      <c r="R19" s="19"/>
      <c r="S19" s="19"/>
      <c r="T19" s="19"/>
      <c r="U19" s="19"/>
      <c r="V19" s="44"/>
    </row>
    <row r="20" spans="2:22" s="42" customFormat="1" x14ac:dyDescent="0.3">
      <c r="B20" s="43"/>
      <c r="C20" s="43"/>
      <c r="D20" s="44"/>
      <c r="E20" s="44"/>
      <c r="F20" s="44"/>
      <c r="G20" s="43"/>
      <c r="H20" s="62"/>
      <c r="I20" s="62"/>
      <c r="J20" s="44"/>
      <c r="K20" s="44"/>
      <c r="L20" s="44"/>
      <c r="M20" s="43"/>
      <c r="N20" s="63"/>
      <c r="O20" s="19"/>
      <c r="P20" s="19"/>
      <c r="Q20" s="19"/>
      <c r="R20" s="19"/>
      <c r="S20" s="19"/>
      <c r="T20" s="19"/>
      <c r="U20" s="19"/>
      <c r="V20" s="44"/>
    </row>
    <row r="21" spans="2:22" s="42" customFormat="1" x14ac:dyDescent="0.3">
      <c r="B21" s="43"/>
      <c r="C21" s="43"/>
      <c r="D21" s="44"/>
      <c r="E21" s="44"/>
      <c r="F21" s="44"/>
      <c r="G21" s="43"/>
      <c r="H21" s="62"/>
      <c r="I21" s="62"/>
      <c r="J21" s="44"/>
      <c r="K21" s="44"/>
      <c r="L21" s="44"/>
      <c r="M21" s="43"/>
      <c r="N21" s="63"/>
      <c r="O21" s="19"/>
      <c r="P21" s="19"/>
      <c r="Q21" s="19"/>
      <c r="R21" s="19"/>
      <c r="S21" s="19"/>
      <c r="T21" s="19"/>
      <c r="U21" s="19"/>
      <c r="V21" s="44"/>
    </row>
    <row r="22" spans="2:22" s="42" customFormat="1" x14ac:dyDescent="0.3">
      <c r="B22" s="43"/>
      <c r="C22" s="43"/>
      <c r="D22" s="44"/>
      <c r="E22" s="44"/>
      <c r="F22" s="44"/>
      <c r="G22" s="43"/>
      <c r="H22" s="62"/>
      <c r="I22" s="62"/>
      <c r="J22" s="44"/>
      <c r="K22" s="44"/>
      <c r="L22" s="44"/>
      <c r="M22" s="43"/>
      <c r="N22" s="63"/>
      <c r="O22" s="19"/>
      <c r="P22" s="19"/>
      <c r="Q22" s="19"/>
      <c r="R22" s="19"/>
      <c r="S22" s="19"/>
      <c r="T22" s="19"/>
      <c r="U22" s="19"/>
      <c r="V22" s="44"/>
    </row>
    <row r="23" spans="2:22" s="42" customFormat="1" x14ac:dyDescent="0.3">
      <c r="B23" s="43"/>
      <c r="C23" s="43"/>
      <c r="D23" s="44"/>
      <c r="E23" s="44"/>
      <c r="F23" s="44"/>
      <c r="G23" s="43"/>
      <c r="H23" s="62"/>
      <c r="I23" s="62"/>
      <c r="J23" s="44"/>
      <c r="K23" s="44"/>
      <c r="L23" s="44"/>
      <c r="M23" s="43"/>
      <c r="N23" s="63"/>
      <c r="O23" s="19"/>
      <c r="P23" s="19"/>
      <c r="Q23" s="19"/>
      <c r="R23" s="19"/>
      <c r="S23" s="19"/>
      <c r="T23" s="19"/>
      <c r="U23" s="19"/>
      <c r="V23" s="44"/>
    </row>
    <row r="24" spans="2:22" s="42" customFormat="1" x14ac:dyDescent="0.3">
      <c r="B24" s="43"/>
      <c r="C24" s="43"/>
      <c r="D24" s="44"/>
      <c r="E24" s="44"/>
      <c r="F24" s="44"/>
      <c r="G24" s="43"/>
      <c r="H24" s="62"/>
      <c r="I24" s="62"/>
      <c r="J24" s="44"/>
      <c r="K24" s="44"/>
      <c r="L24" s="44"/>
      <c r="M24" s="43"/>
      <c r="N24" s="63"/>
      <c r="O24" s="19"/>
      <c r="P24" s="19"/>
      <c r="Q24" s="19"/>
      <c r="R24" s="19"/>
      <c r="S24" s="19"/>
      <c r="T24" s="19"/>
      <c r="U24" s="19"/>
      <c r="V24" s="44"/>
    </row>
    <row r="25" spans="2:22" s="42" customFormat="1" x14ac:dyDescent="0.3">
      <c r="B25" s="43"/>
      <c r="C25" s="43"/>
      <c r="D25" s="44"/>
      <c r="E25" s="44"/>
      <c r="F25" s="44"/>
      <c r="G25" s="43"/>
      <c r="H25" s="62"/>
      <c r="I25" s="62"/>
      <c r="J25" s="44"/>
      <c r="K25" s="44"/>
      <c r="L25" s="44"/>
      <c r="M25" s="43"/>
      <c r="N25" s="63"/>
      <c r="O25" s="19"/>
      <c r="P25" s="19"/>
      <c r="Q25" s="19"/>
      <c r="R25" s="19"/>
      <c r="S25" s="19"/>
      <c r="T25" s="19"/>
      <c r="U25" s="19"/>
      <c r="V25" s="44"/>
    </row>
    <row r="26" spans="2:22" x14ac:dyDescent="0.3">
      <c r="B26" s="2"/>
      <c r="C26" s="83" t="s">
        <v>13</v>
      </c>
      <c r="D26" s="84"/>
      <c r="E26" s="84"/>
      <c r="F26" s="84"/>
      <c r="G26" s="84"/>
      <c r="H26" s="84"/>
      <c r="I26" s="84"/>
      <c r="J26" s="85"/>
      <c r="K26" s="79"/>
      <c r="L26" s="79"/>
      <c r="M26" s="5"/>
      <c r="N26" s="11">
        <f>SUM(N4:N25)</f>
        <v>0</v>
      </c>
      <c r="O26" s="16">
        <f>SUM(O4:O25)</f>
        <v>482560000</v>
      </c>
      <c r="P26" s="10">
        <f>SUM(P4:P25)</f>
        <v>0</v>
      </c>
      <c r="Q26" s="10"/>
      <c r="R26" s="16">
        <f>SUM(R4:R25)</f>
        <v>0</v>
      </c>
      <c r="S26" s="16">
        <f>SUM(S4:S25)</f>
        <v>0</v>
      </c>
      <c r="T26" s="16">
        <f>SUM(T4:T25)</f>
        <v>0</v>
      </c>
      <c r="U26" s="16">
        <f>SUM(U4:U25)</f>
        <v>0</v>
      </c>
      <c r="V26" s="9"/>
    </row>
    <row r="27" spans="2:22" x14ac:dyDescent="0.3">
      <c r="O27" s="15"/>
      <c r="Q27" s="13"/>
      <c r="R27" s="14"/>
      <c r="S27" s="14"/>
      <c r="T27" s="14"/>
      <c r="U27" s="18"/>
    </row>
  </sheetData>
  <mergeCells count="1">
    <mergeCell ref="C26:J26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C3392-B29B-43F5-99F0-86F92A30FE30}">
  <dimension ref="A1"/>
  <sheetViews>
    <sheetView workbookViewId="0">
      <selection activeCell="E27" sqref="E27"/>
    </sheetView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DD2CC-BD02-465D-B19A-3E2213F4CD82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B7AD2-B7C8-48B7-B105-729D85D52512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Total</vt:lpstr>
      <vt:lpstr>지아이씨</vt:lpstr>
      <vt:lpstr>다원시스</vt:lpstr>
      <vt:lpstr>실리콘큐브</vt:lpstr>
      <vt:lpstr>티랩</vt:lpstr>
      <vt:lpstr>수주2</vt:lpstr>
      <vt:lpstr>Sheet1</vt:lpstr>
      <vt:lpstr>Sheet2</vt:lpstr>
    </vt:vector>
  </TitlesOfParts>
  <Company>gtc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sschoi</dc:creator>
  <cp:lastModifiedBy>S.S. Choi</cp:lastModifiedBy>
  <dcterms:created xsi:type="dcterms:W3CDTF">2010-03-24T06:08:57Z</dcterms:created>
  <dcterms:modified xsi:type="dcterms:W3CDTF">2024-08-10T20:40:17Z</dcterms:modified>
</cp:coreProperties>
</file>
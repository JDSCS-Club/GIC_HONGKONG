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-7_PIS PA Division\0_사업계획및수주현황\2_수주현황\"/>
    </mc:Choice>
  </mc:AlternateContent>
  <xr:revisionPtr revIDLastSave="0" documentId="13_ncr:1_{F1C31227-CAE0-402F-8E32-C272004F10AB}" xr6:coauthVersionLast="47" xr6:coauthVersionMax="47" xr10:uidLastSave="{00000000-0000-0000-0000-000000000000}"/>
  <bookViews>
    <workbookView xWindow="28680" yWindow="-120" windowWidth="29040" windowHeight="17640" activeTab="3" xr2:uid="{00000000-000D-0000-FFFF-FFFF00000000}"/>
  </bookViews>
  <sheets>
    <sheet name="Total" sheetId="4" r:id="rId1"/>
    <sheet name="지아이씨" sheetId="5" r:id="rId2"/>
    <sheet name="교통공사" sheetId="15" r:id="rId3"/>
    <sheet name="다원시스" sheetId="12" r:id="rId4"/>
    <sheet name="실리콘큐브" sheetId="13" r:id="rId5"/>
    <sheet name="티랩" sheetId="1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4" l="1"/>
  <c r="E5" i="4"/>
  <c r="S23" i="15" l="1"/>
  <c r="R23" i="15"/>
  <c r="P23" i="15"/>
  <c r="M23" i="15"/>
  <c r="L23" i="15"/>
  <c r="Q23" i="15"/>
  <c r="N4" i="15"/>
  <c r="N23" i="15" s="1"/>
  <c r="P8" i="5"/>
  <c r="K8" i="4" l="1"/>
  <c r="J8" i="4"/>
  <c r="I8" i="4"/>
  <c r="G8" i="4"/>
  <c r="F8" i="4"/>
  <c r="M8" i="4"/>
  <c r="M7" i="4"/>
  <c r="E8" i="4"/>
  <c r="L8" i="4" s="1"/>
  <c r="Q4" i="14"/>
  <c r="U26" i="14"/>
  <c r="T26" i="14"/>
  <c r="O26" i="14"/>
  <c r="N26" i="14"/>
  <c r="P26" i="14"/>
  <c r="K7" i="4"/>
  <c r="J7" i="4"/>
  <c r="I7" i="4"/>
  <c r="L7" i="4" s="1"/>
  <c r="G7" i="4"/>
  <c r="F7" i="4"/>
  <c r="E7" i="4"/>
  <c r="E6" i="4"/>
  <c r="G6" i="4"/>
  <c r="U26" i="13"/>
  <c r="O26" i="13"/>
  <c r="N26" i="13"/>
  <c r="T26" i="13"/>
  <c r="P4" i="13"/>
  <c r="R4" i="13" s="1"/>
  <c r="T26" i="12"/>
  <c r="M6" i="4" s="1"/>
  <c r="N26" i="12"/>
  <c r="M26" i="12"/>
  <c r="S26" i="12"/>
  <c r="K6" i="4" s="1"/>
  <c r="O4" i="12"/>
  <c r="P7" i="5"/>
  <c r="R7" i="5" s="1"/>
  <c r="S7" i="5" s="1"/>
  <c r="P6" i="5"/>
  <c r="R6" i="5" s="1"/>
  <c r="T6" i="5" s="1"/>
  <c r="P5" i="5"/>
  <c r="R5" i="5" s="1"/>
  <c r="S5" i="5" s="1"/>
  <c r="O26" i="12" l="1"/>
  <c r="F6" i="4" s="1"/>
  <c r="P26" i="13"/>
  <c r="R26" i="13"/>
  <c r="S4" i="13"/>
  <c r="R4" i="12"/>
  <c r="G4" i="4"/>
  <c r="D4" i="4"/>
  <c r="P4" i="5"/>
  <c r="R4" i="5" s="1"/>
  <c r="S4" i="5" s="1"/>
  <c r="T26" i="5"/>
  <c r="K4" i="4" s="1"/>
  <c r="R26" i="14" l="1"/>
  <c r="S4" i="14"/>
  <c r="S26" i="14" s="1"/>
  <c r="S26" i="13"/>
  <c r="Q26" i="12"/>
  <c r="I6" i="4" s="1"/>
  <c r="L6" i="4" s="1"/>
  <c r="R26" i="12"/>
  <c r="J6" i="4" s="1"/>
  <c r="K18" i="4"/>
  <c r="U26" i="5" l="1"/>
  <c r="M4" i="4" s="1"/>
  <c r="N26" i="5" l="1"/>
  <c r="O26" i="5" l="1"/>
  <c r="E4" i="4" s="1"/>
  <c r="P26" i="5" l="1"/>
  <c r="F4" i="4" s="1"/>
  <c r="R26" i="5" l="1"/>
  <c r="I4" i="4" s="1"/>
  <c r="L4" i="4" s="1"/>
  <c r="S26" i="5" l="1"/>
  <c r="J4" i="4" s="1"/>
  <c r="J18" i="4" l="1"/>
  <c r="G18" i="4" l="1"/>
  <c r="F18" i="4" l="1"/>
  <c r="M18" i="4"/>
  <c r="I18" i="4" l="1"/>
  <c r="E18" i="4"/>
  <c r="N18" i="4" l="1"/>
  <c r="O18" i="4" l="1"/>
  <c r="L18" i="4" l="1"/>
</calcChain>
</file>

<file path=xl/sharedStrings.xml><?xml version="1.0" encoding="utf-8"?>
<sst xmlns="http://schemas.openxmlformats.org/spreadsheetml/2006/main" count="202" uniqueCount="79">
  <si>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</si>
  <si>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</si>
  <si>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</si>
  <si>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</si>
  <si>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</si>
  <si>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</si>
  <si>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</si>
  <si>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</si>
  <si>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</si>
  <si>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</si>
  <si>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가능등급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</si>
  <si>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</si>
  <si>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</si>
  <si>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</si>
  <si>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업체가</t>
    <phoneticPr fontId="1" type="noConversion"/>
  </si>
  <si>
    <t>순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</si>
  <si>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</si>
  <si>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</si>
  <si>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</si>
  <si>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</si>
  <si>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</si>
  <si>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</si>
  <si>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</si>
  <si>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</si>
  <si>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</si>
  <si>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</si>
  <si>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</si>
  <si>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</si>
  <si>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</si>
  <si>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</si>
  <si>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</si>
  <si>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</si>
  <si>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</si>
  <si>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</si>
  <si>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</si>
  <si>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</si>
  <si>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</si>
  <si>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</si>
  <si>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</si>
  <si>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</si>
  <si>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A</t>
    <phoneticPr fontId="1" type="noConversion"/>
  </si>
  <si>
    <t>생산</t>
    <phoneticPr fontId="1" type="noConversion"/>
  </si>
  <si>
    <t>고객명</t>
    <phoneticPr fontId="1" type="noConversion"/>
  </si>
  <si>
    <t>PAB, EID PSR, ETND, EDD 생산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</si>
  <si>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</si>
  <si>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</si>
  <si>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</si>
  <si>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</si>
  <si>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MOP, MSR, CTM생산</t>
    <phoneticPr fontId="1" type="noConversion"/>
  </si>
  <si>
    <t>CSP24-0524-2</t>
    <phoneticPr fontId="1" type="noConversion"/>
  </si>
  <si>
    <t>240726</t>
    <phoneticPr fontId="1" type="noConversion"/>
  </si>
  <si>
    <t>Board수리</t>
    <phoneticPr fontId="1" type="noConversion"/>
  </si>
  <si>
    <t>PAB, EID, PSR, ETND, EDD생산</t>
    <phoneticPr fontId="1" type="noConversion"/>
  </si>
  <si>
    <t>PSR-Hub외 9종생산</t>
    <phoneticPr fontId="1" type="noConversion"/>
  </si>
  <si>
    <t>실리콘큐브</t>
    <phoneticPr fontId="1" type="noConversion"/>
  </si>
  <si>
    <t>MSR/PSR/MOP/CTM 수리</t>
    <phoneticPr fontId="1" type="noConversion"/>
  </si>
  <si>
    <t>뉴펄스진행</t>
    <phoneticPr fontId="1" type="noConversion"/>
  </si>
  <si>
    <t>다원시스</t>
    <phoneticPr fontId="1" type="noConversion"/>
  </si>
  <si>
    <t>240524</t>
    <phoneticPr fontId="1" type="noConversion"/>
  </si>
  <si>
    <t>7호선3차분 TCMS 개조</t>
    <phoneticPr fontId="1" type="noConversion"/>
  </si>
  <si>
    <t>240712</t>
    <phoneticPr fontId="1" type="noConversion"/>
  </si>
  <si>
    <t>4호선방송편집기</t>
    <phoneticPr fontId="1" type="noConversion"/>
  </si>
  <si>
    <t>B</t>
    <phoneticPr fontId="1" type="noConversion"/>
  </si>
  <si>
    <t>티랩</t>
    <phoneticPr fontId="1" type="noConversion"/>
  </si>
  <si>
    <t>240718</t>
    <phoneticPr fontId="1" type="noConversion"/>
  </si>
  <si>
    <t>C</t>
    <phoneticPr fontId="1" type="noConversion"/>
  </si>
  <si>
    <t>PCB boards 생산</t>
    <phoneticPr fontId="1" type="noConversion"/>
  </si>
  <si>
    <t xml:space="preserve">7호선3차분 개조확산적용비용 </t>
    <phoneticPr fontId="1" type="noConversion"/>
  </si>
  <si>
    <t>4호선 방송편집기 소프트웨어개발</t>
    <phoneticPr fontId="1" type="noConversion"/>
  </si>
  <si>
    <t>4호선 방송시험기 개발/시험기 세트 납품</t>
    <phoneticPr fontId="1" type="noConversion"/>
  </si>
  <si>
    <t>240827</t>
    <phoneticPr fontId="1" type="noConversion"/>
  </si>
  <si>
    <t>홍콩수리품</t>
    <phoneticPr fontId="1" type="noConversion"/>
  </si>
  <si>
    <t>인도네시아 TCMS 개량</t>
    <phoneticPr fontId="1" type="noConversion"/>
  </si>
  <si>
    <t>교통공사</t>
    <phoneticPr fontId="1" type="noConversion"/>
  </si>
  <si>
    <t>7호선3차분 CSC교체품</t>
    <phoneticPr fontId="1" type="noConversion"/>
  </si>
  <si>
    <t>DWE-2024-JUN-11-001</t>
    <phoneticPr fontId="1" type="noConversion"/>
  </si>
  <si>
    <t>250331</t>
    <phoneticPr fontId="1" type="noConversion"/>
  </si>
  <si>
    <t>서울7호선 3차분 TCMS 개조</t>
    <phoneticPr fontId="1" type="noConversion"/>
  </si>
  <si>
    <t>선급금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</si>
</sst>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[$HKD]\ #,##0.00"/>
    <numFmt numFmtId="178" formatCode="yyyy&quot;년&quot;\ m&quot;월&quot;\ d&quot;일&quot;;@"/>
    <numFmt numFmtId="179" formatCode="#,##0_);[Red]\(#,##0\)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  <xf numFmtId="0" fontId="0" fillId="0" borderId="4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9"/>
  <sheetViews>
    <sheetView workbookViewId="0">
      <selection activeCell="F6" sqref="F6"/>
    </sheetView>
  </sheetViews>
  <sheetFormatPr defaultRowHeight="16.5" x14ac:dyDescent="0.3"/>
  <cols>
    <col min="1" max="1" width="4" customWidth="1"/>
    <col min="2" max="2" width="16.25" style="7" customWidth="1"/>
    <col min="3" max="3" width="5.25" style="1" bestFit="1" customWidth="1"/>
    <col min="4" max="4" width="15.25" style="52" bestFit="1" customWidth="1"/>
    <col min="5" max="6" width="16.25" bestFit="1" customWidth="1"/>
    <col min="7" max="7" width="15" bestFit="1" customWidth="1"/>
    <col min="8" max="8" width="1.25" customWidth="1"/>
    <col min="9" max="9" width="15" bestFit="1" customWidth="1"/>
    <col min="10" max="11" width="14.875" bestFit="1" customWidth="1"/>
    <col min="12" max="13" width="14.875" customWidth="1"/>
    <col min="14" max="14" width="15" bestFit="1" customWidth="1"/>
    <col min="15" max="15" width="13.75" customWidth="1"/>
    <col min="16" max="16" width="14.75" customWidth="1"/>
    <col min="17" max="17" width="10.125" customWidth="1"/>
  </cols>
  <sheetData>
    <row r="2" spans="2:16" x14ac:dyDescent="0.3">
      <c r="B2" s="46"/>
      <c r="C2" s="34"/>
      <c r="D2" s="48"/>
      <c r="E2" s="87" t="s">
        <v>18</v>
      </c>
      <c r="F2" s="88"/>
      <c r="G2" s="89"/>
      <c r="H2" s="25"/>
      <c r="I2" s="35" t="s">
        <v>22</v>
      </c>
      <c r="J2" s="45"/>
      <c r="K2" s="45"/>
      <c r="L2" s="45"/>
      <c r="M2" s="45"/>
      <c r="N2" s="45"/>
      <c r="O2" s="36"/>
      <c r="P2" s="25"/>
    </row>
    <row r="3" spans="2:16" s="1" customFormat="1" x14ac:dyDescent="0.3">
      <c r="B3" s="47" t="s">
        <v>27</v>
      </c>
      <c r="C3" s="22" t="s">
        <v>15</v>
      </c>
      <c r="D3" s="47" t="s">
        <v>42</v>
      </c>
      <c r="E3" s="22" t="s">
        <v>21</v>
      </c>
      <c r="F3" s="22" t="s">
        <v>19</v>
      </c>
      <c r="G3" s="35" t="s">
        <v>20</v>
      </c>
      <c r="H3" s="76"/>
      <c r="I3" s="36" t="s">
        <v>26</v>
      </c>
      <c r="J3" s="36" t="s">
        <v>30</v>
      </c>
      <c r="K3" s="36" t="s">
        <v>32</v>
      </c>
      <c r="L3" s="36" t="s">
        <v>24</v>
      </c>
      <c r="M3" s="22" t="s">
        <v>16</v>
      </c>
      <c r="N3" s="22" t="s">
        <v>17</v>
      </c>
      <c r="O3" s="22" t="s">
        <v>23</v>
      </c>
      <c r="P3" s="22" t="s">
        <v>5</v>
      </c>
    </row>
    <row r="4" spans="2:16" x14ac:dyDescent="0.3">
      <c r="B4" s="55" t="s">
        <v>41</v>
      </c>
      <c r="C4" s="2">
        <v>1</v>
      </c>
      <c r="D4" s="49" t="str">
        <f>지아이씨!D4</f>
        <v>지아이씨</v>
      </c>
      <c r="E4" s="21">
        <f>지아이씨!O26</f>
        <v>1137263287</v>
      </c>
      <c r="F4" s="21">
        <f>지아이씨!P26</f>
        <v>1137263287</v>
      </c>
      <c r="G4" s="30">
        <f>지아이씨!Q26</f>
        <v>0</v>
      </c>
      <c r="H4" s="77"/>
      <c r="I4" s="32">
        <f>지아이씨!R26</f>
        <v>975546450</v>
      </c>
      <c r="J4" s="32">
        <f>지아이씨!S26</f>
        <v>624835700</v>
      </c>
      <c r="K4" s="32">
        <f>지아이씨!T26</f>
        <v>350710750</v>
      </c>
      <c r="L4" s="37">
        <f>I4/E4</f>
        <v>0.85780176072807668</v>
      </c>
      <c r="M4" s="21">
        <f>지아이씨!U26</f>
        <v>0</v>
      </c>
      <c r="N4" s="21"/>
      <c r="O4" s="28"/>
      <c r="P4" s="20"/>
    </row>
    <row r="5" spans="2:16" x14ac:dyDescent="0.3">
      <c r="B5" s="56"/>
      <c r="C5" s="2">
        <v>2</v>
      </c>
      <c r="D5" s="49" t="s">
        <v>73</v>
      </c>
      <c r="E5" s="21">
        <f>교통공사!M23</f>
        <v>207254910</v>
      </c>
      <c r="F5" s="21">
        <f>교통공사!N23</f>
        <v>207254910</v>
      </c>
      <c r="G5" s="30"/>
      <c r="H5" s="77"/>
      <c r="I5" s="32"/>
      <c r="J5" s="32"/>
      <c r="K5" s="32"/>
      <c r="L5" s="37"/>
      <c r="M5" s="21"/>
      <c r="N5" s="21"/>
      <c r="O5" s="28"/>
      <c r="P5" s="20"/>
    </row>
    <row r="6" spans="2:16" x14ac:dyDescent="0.3">
      <c r="B6" s="56"/>
      <c r="C6" s="2">
        <v>3</v>
      </c>
      <c r="D6" s="49" t="s">
        <v>57</v>
      </c>
      <c r="E6" s="21">
        <f>다원시스!N26</f>
        <v>748825915</v>
      </c>
      <c r="F6" s="21">
        <f>다원시스!O26</f>
        <v>270843306</v>
      </c>
      <c r="G6" s="30">
        <f>지아이씨!Q26</f>
        <v>0</v>
      </c>
      <c r="H6" s="77"/>
      <c r="I6" s="32">
        <f>다원시스!Q26</f>
        <v>270000000</v>
      </c>
      <c r="J6" s="32">
        <f>다원시스!R26</f>
        <v>270000000</v>
      </c>
      <c r="K6" s="32">
        <f>다원시스!S26</f>
        <v>0</v>
      </c>
      <c r="L6" s="37">
        <f>I6/E6</f>
        <v>0.36056444440761642</v>
      </c>
      <c r="M6" s="21">
        <f>다원시스!T26</f>
        <v>0</v>
      </c>
      <c r="N6" s="21"/>
      <c r="O6" s="28"/>
      <c r="P6" s="20"/>
    </row>
    <row r="7" spans="2:16" x14ac:dyDescent="0.3">
      <c r="B7" s="56"/>
      <c r="C7" s="2">
        <v>4</v>
      </c>
      <c r="D7" s="49" t="s">
        <v>54</v>
      </c>
      <c r="E7" s="21">
        <f>실리콘큐브!O26</f>
        <v>46840000</v>
      </c>
      <c r="F7" s="21">
        <f>실리콘큐브!P26</f>
        <v>46840000</v>
      </c>
      <c r="G7" s="30">
        <f>실리콘큐브!Q26</f>
        <v>0</v>
      </c>
      <c r="H7" s="77"/>
      <c r="I7" s="32">
        <f>실리콘큐브!R26</f>
        <v>46840000</v>
      </c>
      <c r="J7" s="32">
        <f>실리콘큐브!S26</f>
        <v>46840000</v>
      </c>
      <c r="K7" s="32">
        <f>실리콘큐브!T26</f>
        <v>0</v>
      </c>
      <c r="L7" s="37">
        <f>I7/E7</f>
        <v>1</v>
      </c>
      <c r="M7" s="21">
        <f>실리콘큐브!U26</f>
        <v>0</v>
      </c>
      <c r="N7" s="21"/>
      <c r="O7" s="28"/>
      <c r="P7" s="20"/>
    </row>
    <row r="8" spans="2:16" s="27" customFormat="1" x14ac:dyDescent="0.3">
      <c r="B8" s="56"/>
      <c r="C8" s="2">
        <v>5</v>
      </c>
      <c r="D8" s="50" t="s">
        <v>63</v>
      </c>
      <c r="E8" s="21">
        <f>티랩!O26</f>
        <v>482560000</v>
      </c>
      <c r="F8" s="21">
        <f>티랩!P26</f>
        <v>0</v>
      </c>
      <c r="G8" s="30">
        <f>티랩!Q26</f>
        <v>0</v>
      </c>
      <c r="H8" s="77"/>
      <c r="I8" s="32">
        <f>티랩!R26</f>
        <v>0</v>
      </c>
      <c r="J8" s="32">
        <f>티랩!S26</f>
        <v>0</v>
      </c>
      <c r="K8" s="32">
        <f>티랩!T26</f>
        <v>0</v>
      </c>
      <c r="L8" s="37">
        <f>I8/E8</f>
        <v>0</v>
      </c>
      <c r="M8" s="21">
        <f>티랩!U26</f>
        <v>0</v>
      </c>
      <c r="N8" s="21"/>
      <c r="O8" s="28"/>
      <c r="P8" s="26"/>
    </row>
    <row r="9" spans="2:16" x14ac:dyDescent="0.3">
      <c r="B9" s="56"/>
      <c r="C9" s="2">
        <v>6</v>
      </c>
      <c r="D9" s="49"/>
      <c r="E9" s="21"/>
      <c r="F9" s="21"/>
      <c r="G9" s="30"/>
      <c r="H9" s="77"/>
      <c r="I9" s="32"/>
      <c r="J9" s="32"/>
      <c r="K9" s="32"/>
      <c r="L9" s="37"/>
      <c r="M9" s="21"/>
      <c r="N9" s="21"/>
      <c r="O9" s="28"/>
      <c r="P9" s="20"/>
    </row>
    <row r="10" spans="2:16" x14ac:dyDescent="0.3">
      <c r="B10" s="56"/>
      <c r="C10" s="2">
        <v>7</v>
      </c>
      <c r="D10" s="49"/>
      <c r="E10" s="21"/>
      <c r="F10" s="21"/>
      <c r="G10" s="30"/>
      <c r="H10" s="77"/>
      <c r="I10" s="32"/>
      <c r="J10" s="32"/>
      <c r="K10" s="32"/>
      <c r="L10" s="37"/>
      <c r="M10" s="21"/>
      <c r="N10" s="21"/>
      <c r="O10" s="28"/>
      <c r="P10" s="20"/>
    </row>
    <row r="11" spans="2:16" x14ac:dyDescent="0.3">
      <c r="B11" s="56"/>
      <c r="C11" s="2"/>
      <c r="D11" s="49"/>
      <c r="E11" s="21"/>
      <c r="F11" s="21"/>
      <c r="G11" s="30"/>
      <c r="H11" s="77"/>
      <c r="I11" s="32"/>
      <c r="J11" s="32"/>
      <c r="K11" s="32"/>
      <c r="L11" s="37"/>
      <c r="M11" s="21"/>
      <c r="N11" s="21"/>
      <c r="O11" s="28"/>
      <c r="P11" s="20"/>
    </row>
    <row r="12" spans="2:16" x14ac:dyDescent="0.3">
      <c r="B12" s="56"/>
      <c r="C12" s="2"/>
      <c r="D12" s="49"/>
      <c r="E12" s="21"/>
      <c r="F12" s="21"/>
      <c r="G12" s="30"/>
      <c r="H12" s="77"/>
      <c r="I12" s="32"/>
      <c r="J12" s="32"/>
      <c r="K12" s="32"/>
      <c r="L12" s="37"/>
      <c r="M12" s="21"/>
      <c r="N12" s="21"/>
      <c r="O12" s="28"/>
      <c r="P12" s="20"/>
    </row>
    <row r="13" spans="2:16" x14ac:dyDescent="0.3">
      <c r="B13" s="56"/>
      <c r="C13" s="2"/>
      <c r="D13" s="49"/>
      <c r="E13" s="21"/>
      <c r="F13" s="21"/>
      <c r="G13" s="30"/>
      <c r="H13" s="77"/>
      <c r="I13" s="32"/>
      <c r="J13" s="32"/>
      <c r="K13" s="32"/>
      <c r="L13" s="37"/>
      <c r="M13" s="21"/>
      <c r="N13" s="21"/>
      <c r="O13" s="28"/>
      <c r="P13" s="20"/>
    </row>
    <row r="14" spans="2:16" x14ac:dyDescent="0.3">
      <c r="B14" s="56"/>
      <c r="C14" s="2"/>
      <c r="D14" s="49"/>
      <c r="E14" s="21"/>
      <c r="F14" s="21"/>
      <c r="G14" s="30"/>
      <c r="H14" s="77"/>
      <c r="I14" s="32"/>
      <c r="J14" s="32"/>
      <c r="K14" s="32"/>
      <c r="L14" s="37"/>
      <c r="M14" s="21"/>
      <c r="N14" s="21"/>
      <c r="O14" s="28"/>
      <c r="P14" s="20"/>
    </row>
    <row r="15" spans="2:16" x14ac:dyDescent="0.3">
      <c r="B15" s="56"/>
      <c r="C15" s="2"/>
      <c r="D15" s="49"/>
      <c r="E15" s="21"/>
      <c r="F15" s="21"/>
      <c r="G15" s="30"/>
      <c r="H15" s="77"/>
      <c r="I15" s="32"/>
      <c r="J15" s="32"/>
      <c r="K15" s="32"/>
      <c r="L15" s="37"/>
      <c r="M15" s="21"/>
      <c r="N15" s="21"/>
      <c r="O15" s="28"/>
      <c r="P15" s="20"/>
    </row>
    <row r="16" spans="2:16" x14ac:dyDescent="0.3">
      <c r="B16" s="56"/>
      <c r="C16" s="2"/>
      <c r="D16" s="49"/>
      <c r="E16" s="21"/>
      <c r="F16" s="21"/>
      <c r="G16" s="30"/>
      <c r="H16" s="77"/>
      <c r="I16" s="32"/>
      <c r="J16" s="32"/>
      <c r="K16" s="32"/>
      <c r="L16" s="37"/>
      <c r="M16" s="21"/>
      <c r="N16" s="21"/>
      <c r="O16" s="28"/>
      <c r="P16" s="20"/>
    </row>
    <row r="17" spans="2:16" x14ac:dyDescent="0.3">
      <c r="B17" s="56"/>
      <c r="C17" s="2"/>
      <c r="D17" s="49"/>
      <c r="E17" s="21"/>
      <c r="F17" s="21"/>
      <c r="G17" s="30"/>
      <c r="H17" s="77"/>
      <c r="I17" s="32"/>
      <c r="J17" s="32"/>
      <c r="K17" s="32"/>
      <c r="L17" s="37"/>
      <c r="M17" s="21"/>
      <c r="N17" s="21"/>
      <c r="O17" s="28"/>
      <c r="P17" s="20"/>
    </row>
    <row r="18" spans="2:16" s="25" customFormat="1" x14ac:dyDescent="0.3">
      <c r="B18" s="47"/>
      <c r="C18" s="22"/>
      <c r="D18" s="51" t="s">
        <v>28</v>
      </c>
      <c r="E18" s="24">
        <f>SUM(E4:E10)</f>
        <v>2622744112</v>
      </c>
      <c r="F18" s="24">
        <f>SUM(F4:F10)</f>
        <v>1662201503</v>
      </c>
      <c r="G18" s="31">
        <f>SUM(G4:G10)</f>
        <v>0</v>
      </c>
      <c r="H18" s="78"/>
      <c r="I18" s="33">
        <f>SUM(I4:I10)</f>
        <v>1292386450</v>
      </c>
      <c r="J18" s="33">
        <f>SUM(J4:J10)</f>
        <v>941675700</v>
      </c>
      <c r="K18" s="33">
        <f>SUM(K4:K9)</f>
        <v>350710750</v>
      </c>
      <c r="L18" s="38">
        <f t="shared" ref="L18" si="0">I18/E18</f>
        <v>0.49276116723963498</v>
      </c>
      <c r="M18" s="24">
        <f>SUM(M4:M10)</f>
        <v>0</v>
      </c>
      <c r="N18" s="24">
        <f>SUM(N4:N10)</f>
        <v>0</v>
      </c>
      <c r="O18" s="29">
        <f>N18/I18</f>
        <v>0</v>
      </c>
      <c r="P18" s="23"/>
    </row>
    <row r="19" spans="2:16" s="25" customFormat="1" x14ac:dyDescent="0.3">
      <c r="B19" s="69"/>
      <c r="C19" s="70"/>
      <c r="D19" s="71"/>
      <c r="E19" s="72"/>
      <c r="F19" s="72"/>
      <c r="G19" s="72"/>
      <c r="H19" s="75"/>
      <c r="I19" s="72"/>
      <c r="J19" s="72"/>
      <c r="K19" s="72"/>
      <c r="L19" s="73"/>
      <c r="M19" s="72"/>
      <c r="N19" s="72"/>
      <c r="O19" s="73"/>
      <c r="P19" s="74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27"/>
  <sheetViews>
    <sheetView zoomScale="85" zoomScaleNormal="85" workbookViewId="0">
      <pane xSplit="9" ySplit="3" topLeftCell="K4" activePane="bottomRight" state="frozen"/>
      <selection pane="topRight" activeCell="J1" sqref="J1"/>
      <selection pane="bottomLeft" activeCell="A4" sqref="A4"/>
      <selection pane="bottomRight" activeCell="K33" sqref="K33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9.25" style="1" customWidth="1"/>
    <col min="8" max="8" width="9.125" style="12" customWidth="1"/>
    <col min="9" max="9" width="5.875" style="12" bestFit="1" customWidth="1"/>
    <col min="10" max="11" width="33.25" style="7" customWidth="1"/>
    <col min="12" max="12" width="11" style="7" customWidth="1"/>
    <col min="13" max="13" width="5.75" style="7" customWidth="1"/>
    <col min="14" max="14" width="21.5" style="8" bestFit="1" customWidth="1"/>
    <col min="15" max="15" width="15.875" style="8" customWidth="1"/>
    <col min="16" max="18" width="16.125" style="8" customWidth="1"/>
    <col min="19" max="20" width="18.125" style="8" customWidth="1"/>
    <col min="21" max="21" width="16.125" style="8" customWidth="1"/>
    <col min="22" max="22" width="12.75" style="17" customWidth="1"/>
    <col min="23" max="23" width="17.25" customWidth="1"/>
  </cols>
  <sheetData>
    <row r="2" spans="2:22" x14ac:dyDescent="0.3">
      <c r="B2" s="6"/>
      <c r="C2" s="6"/>
    </row>
    <row r="3" spans="2:22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3">
      <c r="B4" s="39">
        <v>1</v>
      </c>
      <c r="C4" s="39" t="s">
        <v>36</v>
      </c>
      <c r="D4" s="40" t="s">
        <v>37</v>
      </c>
      <c r="E4" s="40" t="s">
        <v>38</v>
      </c>
      <c r="F4" s="40"/>
      <c r="G4" s="39">
        <v>240409</v>
      </c>
      <c r="H4" s="58" t="s">
        <v>39</v>
      </c>
      <c r="I4" s="58"/>
      <c r="J4" s="58" t="s">
        <v>43</v>
      </c>
      <c r="K4" s="58" t="s">
        <v>52</v>
      </c>
      <c r="L4" s="64"/>
      <c r="M4" s="39" t="s">
        <v>40</v>
      </c>
      <c r="N4" s="59"/>
      <c r="O4" s="41">
        <v>423083700</v>
      </c>
      <c r="P4" s="41">
        <f>O4</f>
        <v>423083700</v>
      </c>
      <c r="Q4" s="41"/>
      <c r="R4" s="41">
        <f>P4</f>
        <v>423083700</v>
      </c>
      <c r="S4" s="41">
        <f>R4</f>
        <v>423083700</v>
      </c>
      <c r="T4" s="41"/>
      <c r="U4" s="41"/>
      <c r="V4" s="41"/>
    </row>
    <row r="5" spans="2:22" s="42" customFormat="1" x14ac:dyDescent="0.3">
      <c r="B5" s="39">
        <v>2</v>
      </c>
      <c r="C5" s="39" t="s">
        <v>36</v>
      </c>
      <c r="D5" s="40" t="s">
        <v>37</v>
      </c>
      <c r="E5" s="40" t="s">
        <v>44</v>
      </c>
      <c r="F5" s="40"/>
      <c r="G5" s="39">
        <v>240409</v>
      </c>
      <c r="H5" s="58" t="s">
        <v>45</v>
      </c>
      <c r="I5" s="58"/>
      <c r="J5" s="40"/>
      <c r="K5" s="40" t="s">
        <v>51</v>
      </c>
      <c r="L5" s="40"/>
      <c r="M5" s="39" t="s">
        <v>40</v>
      </c>
      <c r="N5" s="59"/>
      <c r="O5" s="41">
        <v>3942000</v>
      </c>
      <c r="P5" s="41">
        <f>O5</f>
        <v>3942000</v>
      </c>
      <c r="Q5" s="41"/>
      <c r="R5" s="41">
        <f>P5</f>
        <v>3942000</v>
      </c>
      <c r="S5" s="41">
        <f>R5</f>
        <v>3942000</v>
      </c>
      <c r="T5" s="60"/>
      <c r="U5" s="41"/>
      <c r="V5" s="40"/>
    </row>
    <row r="6" spans="2:22" s="42" customFormat="1" x14ac:dyDescent="0.3">
      <c r="B6" s="39">
        <v>3</v>
      </c>
      <c r="C6" s="39" t="s">
        <v>36</v>
      </c>
      <c r="D6" s="40" t="s">
        <v>37</v>
      </c>
      <c r="E6" s="40" t="s">
        <v>46</v>
      </c>
      <c r="F6" s="40"/>
      <c r="G6" s="39">
        <v>240524</v>
      </c>
      <c r="H6" s="58" t="s">
        <v>47</v>
      </c>
      <c r="I6" s="58"/>
      <c r="J6" s="40" t="s">
        <v>48</v>
      </c>
      <c r="K6" s="40" t="s">
        <v>48</v>
      </c>
      <c r="L6" s="40"/>
      <c r="M6" s="39" t="s">
        <v>40</v>
      </c>
      <c r="N6" s="59"/>
      <c r="O6" s="41">
        <v>350710750</v>
      </c>
      <c r="P6" s="41">
        <f>O6</f>
        <v>350710750</v>
      </c>
      <c r="Q6" s="41"/>
      <c r="R6" s="41">
        <f>P6</f>
        <v>350710750</v>
      </c>
      <c r="S6" s="41"/>
      <c r="T6" s="60">
        <f>R6</f>
        <v>350710750</v>
      </c>
      <c r="U6" s="41"/>
      <c r="V6" s="40"/>
    </row>
    <row r="7" spans="2:22" s="42" customFormat="1" x14ac:dyDescent="0.3">
      <c r="B7" s="39">
        <v>4</v>
      </c>
      <c r="C7" s="39" t="s">
        <v>36</v>
      </c>
      <c r="D7" s="40" t="s">
        <v>37</v>
      </c>
      <c r="E7" s="40" t="s">
        <v>49</v>
      </c>
      <c r="F7" s="40"/>
      <c r="G7" s="39">
        <v>240524</v>
      </c>
      <c r="H7" s="58" t="s">
        <v>50</v>
      </c>
      <c r="I7" s="58"/>
      <c r="J7" s="40"/>
      <c r="K7" s="40" t="s">
        <v>53</v>
      </c>
      <c r="L7" s="40"/>
      <c r="M7" s="39" t="s">
        <v>40</v>
      </c>
      <c r="N7" s="59"/>
      <c r="O7" s="41">
        <v>197810000</v>
      </c>
      <c r="P7" s="41">
        <f>O7</f>
        <v>197810000</v>
      </c>
      <c r="Q7" s="41"/>
      <c r="R7" s="41">
        <f>P7</f>
        <v>197810000</v>
      </c>
      <c r="S7" s="41">
        <f>R7</f>
        <v>197810000</v>
      </c>
      <c r="T7" s="41"/>
      <c r="U7" s="41"/>
      <c r="V7" s="40"/>
    </row>
    <row r="8" spans="2:22" s="42" customFormat="1" x14ac:dyDescent="0.3">
      <c r="B8" s="43">
        <v>5</v>
      </c>
      <c r="C8" s="43" t="s">
        <v>36</v>
      </c>
      <c r="D8" s="44" t="s">
        <v>37</v>
      </c>
      <c r="E8" s="44"/>
      <c r="F8" s="44"/>
      <c r="G8" s="43">
        <v>240801</v>
      </c>
      <c r="H8" s="62"/>
      <c r="I8" s="62"/>
      <c r="J8" s="44"/>
      <c r="K8" s="44" t="s">
        <v>66</v>
      </c>
      <c r="L8" s="44"/>
      <c r="M8" s="43" t="s">
        <v>40</v>
      </c>
      <c r="N8" s="63"/>
      <c r="O8" s="19">
        <v>161716837</v>
      </c>
      <c r="P8" s="19">
        <f>O8</f>
        <v>161716837</v>
      </c>
      <c r="Q8" s="19"/>
      <c r="R8" s="19"/>
      <c r="S8" s="19"/>
      <c r="T8" s="19"/>
      <c r="U8" s="19"/>
      <c r="V8" s="44"/>
    </row>
    <row r="9" spans="2:22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3">
      <c r="B26" s="2"/>
      <c r="C26" s="90" t="s">
        <v>13</v>
      </c>
      <c r="D26" s="91"/>
      <c r="E26" s="91"/>
      <c r="F26" s="91"/>
      <c r="G26" s="91"/>
      <c r="H26" s="91"/>
      <c r="I26" s="91"/>
      <c r="J26" s="92"/>
      <c r="K26" s="68"/>
      <c r="L26" s="57"/>
      <c r="M26" s="5"/>
      <c r="N26" s="11">
        <f>SUM(N4:N25)</f>
        <v>0</v>
      </c>
      <c r="O26" s="16">
        <f>SUM(O4:O25)</f>
        <v>1137263287</v>
      </c>
      <c r="P26" s="10">
        <f>SUM(P4:P25)</f>
        <v>1137263287</v>
      </c>
      <c r="Q26" s="10"/>
      <c r="R26" s="16">
        <f>SUM(R4:R25)</f>
        <v>975546450</v>
      </c>
      <c r="S26" s="16">
        <f>SUM(S4:S25)</f>
        <v>624835700</v>
      </c>
      <c r="T26" s="16">
        <f>SUM(T4:T25)</f>
        <v>350710750</v>
      </c>
      <c r="U26" s="16">
        <f>SUM(U4:U25)</f>
        <v>0</v>
      </c>
      <c r="V26" s="9"/>
    </row>
    <row r="27" spans="2:22" x14ac:dyDescent="0.3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B949-D677-4E2F-92FA-809AB42C3220}">
  <dimension ref="B2:T24"/>
  <sheetViews>
    <sheetView topLeftCell="F1" workbookViewId="0">
      <selection activeCell="P4" sqref="P4:S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38.625" style="12" customWidth="1"/>
    <col min="10" max="10" width="11" style="7" customWidth="1"/>
    <col min="11" max="11" width="5.75" style="7" customWidth="1"/>
    <col min="12" max="12" width="21.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60.125" style="17" customWidth="1"/>
    <col min="21" max="21" width="17.25" customWidth="1"/>
  </cols>
  <sheetData>
    <row r="2" spans="2:20" x14ac:dyDescent="0.3">
      <c r="B2" s="6"/>
      <c r="C2" s="6"/>
    </row>
    <row r="3" spans="2:20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35</v>
      </c>
      <c r="K3" s="5" t="s">
        <v>10</v>
      </c>
      <c r="L3" s="9" t="s">
        <v>6</v>
      </c>
      <c r="M3" s="9" t="s">
        <v>7</v>
      </c>
      <c r="N3" s="9" t="s">
        <v>11</v>
      </c>
      <c r="O3" s="9" t="s">
        <v>12</v>
      </c>
      <c r="P3" s="9" t="s">
        <v>25</v>
      </c>
      <c r="Q3" s="9" t="s">
        <v>29</v>
      </c>
      <c r="R3" s="9" t="s">
        <v>31</v>
      </c>
      <c r="S3" s="9" t="s">
        <v>14</v>
      </c>
      <c r="T3" s="9" t="s">
        <v>5</v>
      </c>
    </row>
    <row r="4" spans="2:20" s="86" customFormat="1" x14ac:dyDescent="0.3">
      <c r="B4" s="22">
        <v>1</v>
      </c>
      <c r="C4" s="22" t="s">
        <v>36</v>
      </c>
      <c r="D4" s="47" t="s">
        <v>73</v>
      </c>
      <c r="E4" s="47">
        <v>202408114</v>
      </c>
      <c r="F4" s="47"/>
      <c r="G4" s="22">
        <v>240509</v>
      </c>
      <c r="H4" s="83" t="s">
        <v>58</v>
      </c>
      <c r="I4" s="16" t="s">
        <v>74</v>
      </c>
      <c r="J4" s="84"/>
      <c r="K4" s="22" t="s">
        <v>40</v>
      </c>
      <c r="L4" s="85"/>
      <c r="M4" s="16">
        <v>207254910</v>
      </c>
      <c r="N4" s="16">
        <f>M4</f>
        <v>207254910</v>
      </c>
      <c r="O4" s="16"/>
      <c r="P4" s="16"/>
      <c r="Q4" s="16"/>
      <c r="R4" s="16"/>
      <c r="S4" s="16"/>
      <c r="T4" s="16"/>
    </row>
    <row r="5" spans="2:20" s="42" customFormat="1" x14ac:dyDescent="0.3">
      <c r="B5" s="43"/>
      <c r="C5" s="43"/>
      <c r="D5" s="44"/>
      <c r="E5" s="44"/>
      <c r="F5" s="44"/>
      <c r="G5" s="43"/>
      <c r="H5" s="65"/>
      <c r="I5" s="65"/>
      <c r="J5" s="53"/>
      <c r="K5" s="54"/>
      <c r="L5" s="66"/>
      <c r="M5" s="67"/>
      <c r="N5" s="67"/>
      <c r="O5" s="67"/>
      <c r="P5" s="67"/>
      <c r="Q5" s="67"/>
      <c r="R5" s="67"/>
      <c r="S5" s="67"/>
      <c r="T5" s="53"/>
    </row>
    <row r="6" spans="2:20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39"/>
      <c r="L6" s="59"/>
      <c r="M6" s="41"/>
      <c r="N6" s="41"/>
      <c r="O6" s="41"/>
      <c r="P6" s="41"/>
      <c r="Q6" s="41"/>
      <c r="R6" s="41"/>
      <c r="S6" s="41"/>
      <c r="T6" s="40"/>
    </row>
    <row r="7" spans="2:20" s="42" customFormat="1" x14ac:dyDescent="0.3">
      <c r="B7" s="39"/>
      <c r="C7" s="39"/>
      <c r="D7" s="40"/>
      <c r="E7" s="40"/>
      <c r="F7" s="40"/>
      <c r="G7" s="39"/>
      <c r="H7" s="61"/>
      <c r="I7" s="58"/>
      <c r="J7" s="40"/>
      <c r="K7" s="39"/>
      <c r="L7" s="59"/>
      <c r="M7" s="41"/>
      <c r="N7" s="41"/>
      <c r="O7" s="41"/>
      <c r="P7" s="41"/>
      <c r="Q7" s="41"/>
      <c r="R7" s="41"/>
      <c r="S7" s="41"/>
      <c r="T7" s="40"/>
    </row>
    <row r="8" spans="2:20" s="42" customFormat="1" x14ac:dyDescent="0.3">
      <c r="B8" s="43"/>
      <c r="C8" s="43"/>
      <c r="D8" s="44"/>
      <c r="E8" s="44"/>
      <c r="F8" s="44"/>
      <c r="G8" s="43"/>
      <c r="H8" s="62"/>
      <c r="I8" s="62"/>
      <c r="J8" s="44"/>
      <c r="K8" s="43"/>
      <c r="L8" s="63"/>
      <c r="M8" s="19"/>
      <c r="N8" s="19"/>
      <c r="O8" s="19"/>
      <c r="P8" s="19"/>
      <c r="Q8" s="19"/>
      <c r="R8" s="19"/>
      <c r="S8" s="19"/>
      <c r="T8" s="44"/>
    </row>
    <row r="9" spans="2:20" s="42" customFormat="1" x14ac:dyDescent="0.3">
      <c r="B9" s="43"/>
      <c r="C9" s="43"/>
      <c r="D9" s="44"/>
      <c r="E9" s="44"/>
      <c r="F9" s="44"/>
      <c r="G9" s="43"/>
      <c r="H9" s="62"/>
      <c r="I9" s="62"/>
      <c r="J9" s="44"/>
      <c r="K9" s="43"/>
      <c r="L9" s="63"/>
      <c r="M9" s="19"/>
      <c r="N9" s="19"/>
      <c r="O9" s="19"/>
      <c r="P9" s="19"/>
      <c r="Q9" s="19"/>
      <c r="R9" s="19"/>
      <c r="S9" s="19"/>
      <c r="T9" s="44"/>
    </row>
    <row r="10" spans="2:20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43"/>
      <c r="L10" s="63"/>
      <c r="M10" s="19"/>
      <c r="N10" s="19"/>
      <c r="O10" s="19"/>
      <c r="P10" s="19"/>
      <c r="Q10" s="19"/>
      <c r="R10" s="19"/>
      <c r="S10" s="19"/>
      <c r="T10" s="44"/>
    </row>
    <row r="11" spans="2:20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3"/>
      <c r="L11" s="63"/>
      <c r="M11" s="19"/>
      <c r="N11" s="19"/>
      <c r="O11" s="19"/>
      <c r="P11" s="19"/>
      <c r="Q11" s="19"/>
      <c r="R11" s="19"/>
      <c r="S11" s="19"/>
      <c r="T11" s="44"/>
    </row>
    <row r="12" spans="2:20" s="42" customFormat="1" x14ac:dyDescent="0.3">
      <c r="B12" s="39"/>
      <c r="C12" s="39"/>
      <c r="D12" s="40"/>
      <c r="E12" s="40"/>
      <c r="F12" s="40"/>
      <c r="G12" s="39"/>
      <c r="H12" s="58"/>
      <c r="I12" s="58"/>
      <c r="J12" s="40"/>
      <c r="K12" s="39"/>
      <c r="L12" s="59"/>
      <c r="M12" s="41"/>
      <c r="N12" s="41"/>
      <c r="O12" s="41"/>
      <c r="P12" s="41"/>
      <c r="Q12" s="41"/>
      <c r="R12" s="41"/>
      <c r="S12" s="41"/>
      <c r="T12" s="40"/>
    </row>
    <row r="13" spans="2:20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3"/>
      <c r="L13" s="63"/>
      <c r="M13" s="19"/>
      <c r="N13" s="19"/>
      <c r="O13" s="19"/>
      <c r="P13" s="19"/>
      <c r="Q13" s="19"/>
      <c r="R13" s="19"/>
      <c r="S13" s="19"/>
      <c r="T13" s="44"/>
    </row>
    <row r="14" spans="2:20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3"/>
      <c r="L14" s="63"/>
      <c r="M14" s="19"/>
      <c r="N14" s="19"/>
      <c r="O14" s="19"/>
      <c r="P14" s="19"/>
      <c r="Q14" s="19"/>
      <c r="R14" s="19"/>
      <c r="S14" s="19"/>
      <c r="T14" s="44"/>
    </row>
    <row r="15" spans="2:20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43"/>
      <c r="L15" s="63"/>
      <c r="M15" s="19"/>
      <c r="N15" s="19"/>
      <c r="O15" s="19"/>
      <c r="P15" s="19"/>
      <c r="Q15" s="19"/>
      <c r="R15" s="19"/>
      <c r="S15" s="19"/>
      <c r="T15" s="44"/>
    </row>
    <row r="16" spans="2:20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3"/>
      <c r="L16" s="63"/>
      <c r="M16" s="19"/>
      <c r="N16" s="19"/>
      <c r="O16" s="19"/>
      <c r="P16" s="19"/>
      <c r="Q16" s="19"/>
      <c r="R16" s="19"/>
      <c r="S16" s="19"/>
      <c r="T16" s="44"/>
    </row>
    <row r="17" spans="2:20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3"/>
      <c r="L17" s="63"/>
      <c r="M17" s="19"/>
      <c r="N17" s="19"/>
      <c r="O17" s="19"/>
      <c r="P17" s="19"/>
      <c r="Q17" s="19"/>
      <c r="R17" s="19"/>
      <c r="S17" s="19"/>
      <c r="T17" s="44"/>
    </row>
    <row r="18" spans="2:20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3"/>
      <c r="L18" s="63"/>
      <c r="M18" s="19"/>
      <c r="N18" s="19"/>
      <c r="O18" s="19"/>
      <c r="P18" s="19"/>
      <c r="Q18" s="19"/>
      <c r="R18" s="19"/>
      <c r="S18" s="19"/>
      <c r="T18" s="44"/>
    </row>
    <row r="19" spans="2:20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3"/>
      <c r="L19" s="63"/>
      <c r="M19" s="19"/>
      <c r="N19" s="19"/>
      <c r="O19" s="19"/>
      <c r="P19" s="19"/>
      <c r="Q19" s="19"/>
      <c r="R19" s="19"/>
      <c r="S19" s="19"/>
      <c r="T19" s="44"/>
    </row>
    <row r="20" spans="2:20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3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3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3"/>
      <c r="L22" s="63"/>
      <c r="M22" s="19"/>
      <c r="N22" s="19"/>
      <c r="O22" s="19"/>
      <c r="P22" s="19"/>
      <c r="Q22" s="19"/>
      <c r="R22" s="19"/>
      <c r="S22" s="19"/>
      <c r="T22" s="44"/>
    </row>
    <row r="23" spans="2:20" x14ac:dyDescent="0.3">
      <c r="B23" s="2"/>
      <c r="C23" s="90" t="s">
        <v>13</v>
      </c>
      <c r="D23" s="91"/>
      <c r="E23" s="91"/>
      <c r="F23" s="91"/>
      <c r="G23" s="91"/>
      <c r="H23" s="91"/>
      <c r="I23" s="91"/>
      <c r="J23" s="81"/>
      <c r="K23" s="5"/>
      <c r="L23" s="11">
        <f>SUM(L4:L22)</f>
        <v>0</v>
      </c>
      <c r="M23" s="16">
        <f>SUM(M4:M22)</f>
        <v>207254910</v>
      </c>
      <c r="N23" s="10">
        <f>SUM(N4:N22)</f>
        <v>207254910</v>
      </c>
      <c r="O23" s="10"/>
      <c r="P23" s="16">
        <f>SUM(P4:P22)</f>
        <v>0</v>
      </c>
      <c r="Q23" s="16">
        <f>SUM(Q4:Q22)</f>
        <v>0</v>
      </c>
      <c r="R23" s="16">
        <f>SUM(R4:R22)</f>
        <v>0</v>
      </c>
      <c r="S23" s="16">
        <f>SUM(S4:S22)</f>
        <v>0</v>
      </c>
      <c r="T23" s="9"/>
    </row>
    <row r="24" spans="2:20" x14ac:dyDescent="0.3">
      <c r="M24" s="15"/>
      <c r="O24" s="13"/>
      <c r="P24" s="14"/>
      <c r="Q24" s="14"/>
      <c r="R24" s="14"/>
      <c r="S24" s="18"/>
    </row>
  </sheetData>
  <mergeCells count="1">
    <mergeCell ref="C23:I2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0B0F-D364-499C-AF7D-BBDEA65A1EDA}">
  <dimension ref="B2:U27"/>
  <sheetViews>
    <sheetView tabSelected="1" zoomScale="85" zoomScaleNormal="85" workbookViewId="0">
      <selection activeCell="M16" sqref="M16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4.125" style="7" bestFit="1" customWidth="1"/>
    <col min="6" max="6" width="9.5" style="7" bestFit="1" customWidth="1"/>
    <col min="7" max="7" width="10.75" style="1" customWidth="1"/>
    <col min="8" max="8" width="10.75" style="12" customWidth="1"/>
    <col min="9" max="9" width="39.125" style="12" bestFit="1" customWidth="1"/>
    <col min="10" max="10" width="22.875" style="7" bestFit="1" customWidth="1"/>
    <col min="11" max="11" width="5.25" style="7" bestFit="1" customWidth="1"/>
    <col min="12" max="12" width="5.75" style="7" customWidth="1"/>
    <col min="13" max="13" width="14.375" style="8" bestFit="1" customWidth="1"/>
    <col min="14" max="14" width="15.875" style="8" customWidth="1"/>
    <col min="15" max="17" width="16.125" style="8" customWidth="1"/>
    <col min="18" max="19" width="18.125" style="8" customWidth="1"/>
    <col min="20" max="20" width="16.125" style="8" customWidth="1"/>
    <col min="21" max="21" width="7.375" style="17" bestFit="1" customWidth="1"/>
    <col min="22" max="22" width="17.25" customWidth="1"/>
  </cols>
  <sheetData>
    <row r="2" spans="2:21" x14ac:dyDescent="0.3">
      <c r="B2" s="6"/>
      <c r="C2" s="6"/>
    </row>
    <row r="3" spans="2:21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35</v>
      </c>
      <c r="L3" s="5" t="s">
        <v>10</v>
      </c>
      <c r="M3" s="9" t="s">
        <v>6</v>
      </c>
      <c r="N3" s="9" t="s">
        <v>7</v>
      </c>
      <c r="O3" s="9" t="s">
        <v>11</v>
      </c>
      <c r="P3" s="9" t="s">
        <v>12</v>
      </c>
      <c r="Q3" s="9" t="s">
        <v>25</v>
      </c>
      <c r="R3" s="9" t="s">
        <v>29</v>
      </c>
      <c r="S3" s="9" t="s">
        <v>31</v>
      </c>
      <c r="T3" s="9" t="s">
        <v>14</v>
      </c>
      <c r="U3" s="9" t="s">
        <v>5</v>
      </c>
    </row>
    <row r="4" spans="2:21" s="1" customFormat="1" x14ac:dyDescent="0.3">
      <c r="B4" s="39">
        <v>1</v>
      </c>
      <c r="C4" s="39" t="s">
        <v>36</v>
      </c>
      <c r="D4" s="40" t="s">
        <v>57</v>
      </c>
      <c r="E4" s="40" t="s">
        <v>75</v>
      </c>
      <c r="F4" s="40"/>
      <c r="G4" s="39">
        <v>240611</v>
      </c>
      <c r="H4" s="58" t="s">
        <v>76</v>
      </c>
      <c r="I4" s="41" t="s">
        <v>77</v>
      </c>
      <c r="J4" s="58" t="s">
        <v>59</v>
      </c>
      <c r="K4" s="64"/>
      <c r="L4" s="39" t="s">
        <v>40</v>
      </c>
      <c r="M4" s="59"/>
      <c r="N4" s="41">
        <v>270843306</v>
      </c>
      <c r="O4" s="41">
        <f>N4</f>
        <v>270843306</v>
      </c>
      <c r="P4" s="41"/>
      <c r="Q4" s="41">
        <v>270000000</v>
      </c>
      <c r="R4" s="41">
        <f>Q4</f>
        <v>270000000</v>
      </c>
      <c r="S4" s="41"/>
      <c r="T4" s="41"/>
      <c r="U4" s="41" t="s">
        <v>78</v>
      </c>
    </row>
    <row r="5" spans="2:21" s="42" customFormat="1" x14ac:dyDescent="0.3">
      <c r="B5" s="39">
        <v>2</v>
      </c>
      <c r="C5" s="39" t="s">
        <v>36</v>
      </c>
      <c r="D5" s="40" t="s">
        <v>57</v>
      </c>
      <c r="E5" s="40">
        <v>202406241</v>
      </c>
      <c r="F5" s="40"/>
      <c r="G5" s="39">
        <v>240627</v>
      </c>
      <c r="H5" s="58" t="s">
        <v>60</v>
      </c>
      <c r="I5" s="40" t="s">
        <v>68</v>
      </c>
      <c r="J5" s="40" t="s">
        <v>61</v>
      </c>
      <c r="K5" s="40"/>
      <c r="L5" s="39" t="s">
        <v>62</v>
      </c>
      <c r="M5" s="59"/>
      <c r="N5" s="41">
        <v>15642329</v>
      </c>
      <c r="O5" s="41"/>
      <c r="P5" s="41"/>
      <c r="Q5" s="41"/>
      <c r="R5" s="41"/>
      <c r="S5" s="60"/>
      <c r="T5" s="41"/>
      <c r="U5" s="40"/>
    </row>
    <row r="6" spans="2:21" s="42" customFormat="1" x14ac:dyDescent="0.3">
      <c r="B6" s="43">
        <v>3</v>
      </c>
      <c r="C6" s="43" t="s">
        <v>36</v>
      </c>
      <c r="D6" s="44" t="s">
        <v>57</v>
      </c>
      <c r="E6" s="44"/>
      <c r="F6" s="44"/>
      <c r="G6" s="43">
        <v>240812</v>
      </c>
      <c r="H6" s="62" t="s">
        <v>70</v>
      </c>
      <c r="I6" s="44" t="s">
        <v>67</v>
      </c>
      <c r="J6" s="44"/>
      <c r="K6" s="44"/>
      <c r="L6" s="43" t="s">
        <v>40</v>
      </c>
      <c r="M6" s="63"/>
      <c r="N6" s="19">
        <v>349398820</v>
      </c>
      <c r="O6" s="19"/>
      <c r="P6" s="19"/>
      <c r="Q6" s="19"/>
      <c r="R6" s="19"/>
      <c r="S6" s="82"/>
      <c r="T6" s="19"/>
      <c r="U6" s="44"/>
    </row>
    <row r="7" spans="2:21" s="42" customFormat="1" x14ac:dyDescent="0.3">
      <c r="B7" s="43">
        <v>4</v>
      </c>
      <c r="C7" s="43" t="s">
        <v>36</v>
      </c>
      <c r="D7" s="44" t="s">
        <v>57</v>
      </c>
      <c r="E7" s="44"/>
      <c r="F7" s="44"/>
      <c r="G7" s="43">
        <v>240812</v>
      </c>
      <c r="H7" s="62" t="s">
        <v>70</v>
      </c>
      <c r="I7" s="44" t="s">
        <v>69</v>
      </c>
      <c r="J7" s="44"/>
      <c r="K7" s="44"/>
      <c r="L7" s="43" t="s">
        <v>62</v>
      </c>
      <c r="M7" s="63"/>
      <c r="N7" s="19">
        <v>112941460</v>
      </c>
      <c r="O7" s="19"/>
      <c r="P7" s="19"/>
      <c r="Q7" s="19"/>
      <c r="R7" s="19"/>
      <c r="S7" s="19"/>
      <c r="T7" s="19"/>
      <c r="U7" s="44"/>
    </row>
    <row r="8" spans="2:21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3"/>
      <c r="L8" s="54"/>
      <c r="M8" s="66"/>
      <c r="N8" s="67"/>
      <c r="O8" s="67"/>
      <c r="P8" s="67"/>
      <c r="Q8" s="67"/>
      <c r="R8" s="67"/>
      <c r="S8" s="67"/>
      <c r="T8" s="67"/>
      <c r="U8" s="53"/>
    </row>
    <row r="9" spans="2:21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39"/>
      <c r="M9" s="59"/>
      <c r="N9" s="41"/>
      <c r="O9" s="41"/>
      <c r="P9" s="41"/>
      <c r="Q9" s="41"/>
      <c r="R9" s="41"/>
      <c r="S9" s="41"/>
      <c r="T9" s="41"/>
      <c r="U9" s="40"/>
    </row>
    <row r="10" spans="2:21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39"/>
      <c r="M10" s="59"/>
      <c r="N10" s="41"/>
      <c r="O10" s="41"/>
      <c r="P10" s="41"/>
      <c r="Q10" s="41"/>
      <c r="R10" s="41"/>
      <c r="S10" s="41"/>
      <c r="T10" s="41"/>
      <c r="U10" s="40"/>
    </row>
    <row r="11" spans="2:21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3"/>
      <c r="M11" s="63"/>
      <c r="N11" s="19"/>
      <c r="O11" s="19"/>
      <c r="P11" s="19"/>
      <c r="Q11" s="19"/>
      <c r="R11" s="19"/>
      <c r="S11" s="19"/>
      <c r="T11" s="19"/>
      <c r="U11" s="44"/>
    </row>
    <row r="12" spans="2:21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3"/>
      <c r="M12" s="63"/>
      <c r="N12" s="19"/>
      <c r="O12" s="19"/>
      <c r="P12" s="19"/>
      <c r="Q12" s="19"/>
      <c r="R12" s="19"/>
      <c r="S12" s="19"/>
      <c r="T12" s="19"/>
      <c r="U12" s="44"/>
    </row>
    <row r="13" spans="2:21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3"/>
      <c r="M13" s="63"/>
      <c r="N13" s="19"/>
      <c r="O13" s="19"/>
      <c r="P13" s="19"/>
      <c r="Q13" s="19"/>
      <c r="R13" s="19"/>
      <c r="S13" s="19"/>
      <c r="T13" s="19"/>
      <c r="U13" s="44"/>
    </row>
    <row r="14" spans="2:21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3"/>
      <c r="M14" s="63"/>
      <c r="N14" s="19"/>
      <c r="O14" s="19"/>
      <c r="P14" s="19"/>
      <c r="Q14" s="19"/>
      <c r="R14" s="19"/>
      <c r="S14" s="19"/>
      <c r="T14" s="19"/>
      <c r="U14" s="44"/>
    </row>
    <row r="15" spans="2:21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39"/>
      <c r="M15" s="59"/>
      <c r="N15" s="41"/>
      <c r="O15" s="41"/>
      <c r="P15" s="41"/>
      <c r="Q15" s="41"/>
      <c r="R15" s="41"/>
      <c r="S15" s="41"/>
      <c r="T15" s="41"/>
      <c r="U15" s="40"/>
    </row>
    <row r="16" spans="2:21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3"/>
      <c r="M16" s="63"/>
      <c r="N16" s="19"/>
      <c r="O16" s="19"/>
      <c r="P16" s="19"/>
      <c r="Q16" s="19"/>
      <c r="R16" s="19"/>
      <c r="S16" s="19"/>
      <c r="T16" s="19"/>
      <c r="U16" s="44"/>
    </row>
    <row r="17" spans="2:21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3"/>
      <c r="M17" s="63"/>
      <c r="N17" s="19"/>
      <c r="O17" s="19"/>
      <c r="P17" s="19"/>
      <c r="Q17" s="19"/>
      <c r="R17" s="19"/>
      <c r="S17" s="19"/>
      <c r="T17" s="19"/>
      <c r="U17" s="44"/>
    </row>
    <row r="18" spans="2:21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3"/>
      <c r="M18" s="63"/>
      <c r="N18" s="19"/>
      <c r="O18" s="19"/>
      <c r="P18" s="19"/>
      <c r="Q18" s="19"/>
      <c r="R18" s="19"/>
      <c r="S18" s="19"/>
      <c r="T18" s="19"/>
      <c r="U18" s="44"/>
    </row>
    <row r="19" spans="2:21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3"/>
      <c r="M19" s="63"/>
      <c r="N19" s="19"/>
      <c r="O19" s="19"/>
      <c r="P19" s="19"/>
      <c r="Q19" s="19"/>
      <c r="R19" s="19"/>
      <c r="S19" s="19"/>
      <c r="T19" s="19"/>
      <c r="U19" s="44"/>
    </row>
    <row r="20" spans="2:21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3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3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3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3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3"/>
      <c r="M24" s="63"/>
      <c r="N24" s="19"/>
      <c r="O24" s="19"/>
      <c r="P24" s="19"/>
      <c r="Q24" s="19"/>
      <c r="R24" s="19"/>
      <c r="S24" s="19"/>
      <c r="T24" s="19"/>
      <c r="U24" s="44"/>
    </row>
    <row r="25" spans="2:21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3"/>
      <c r="M25" s="63"/>
      <c r="N25" s="19"/>
      <c r="O25" s="19"/>
      <c r="P25" s="19"/>
      <c r="Q25" s="19"/>
      <c r="R25" s="19"/>
      <c r="S25" s="19"/>
      <c r="T25" s="19"/>
      <c r="U25" s="44"/>
    </row>
    <row r="26" spans="2:21" x14ac:dyDescent="0.3">
      <c r="B26" s="2"/>
      <c r="C26" s="90" t="s">
        <v>13</v>
      </c>
      <c r="D26" s="91"/>
      <c r="E26" s="91"/>
      <c r="F26" s="91"/>
      <c r="G26" s="91"/>
      <c r="H26" s="91"/>
      <c r="I26" s="91"/>
      <c r="J26" s="92"/>
      <c r="K26" s="79"/>
      <c r="L26" s="5"/>
      <c r="M26" s="11">
        <f>SUM(M4:M25)</f>
        <v>0</v>
      </c>
      <c r="N26" s="16">
        <f>SUM(N4:N25)</f>
        <v>748825915</v>
      </c>
      <c r="O26" s="10">
        <f>SUM(O4:O25)</f>
        <v>270843306</v>
      </c>
      <c r="P26" s="10"/>
      <c r="Q26" s="16">
        <f>SUM(Q4:Q25)</f>
        <v>270000000</v>
      </c>
      <c r="R26" s="16">
        <f>SUM(R4:R25)</f>
        <v>270000000</v>
      </c>
      <c r="S26" s="16">
        <f>SUM(S4:S25)</f>
        <v>0</v>
      </c>
      <c r="T26" s="16">
        <f>SUM(T4:T25)</f>
        <v>0</v>
      </c>
      <c r="U26" s="9"/>
    </row>
    <row r="27" spans="2:21" x14ac:dyDescent="0.3">
      <c r="N27" s="15"/>
      <c r="P27" s="13"/>
      <c r="Q27" s="14"/>
      <c r="R27" s="14"/>
      <c r="S27" s="14"/>
      <c r="T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CCE3-59A9-49C9-A7A9-DD883987F014}">
  <dimension ref="B2:V27"/>
  <sheetViews>
    <sheetView zoomScale="85" zoomScaleNormal="85" workbookViewId="0">
      <pane xSplit="9" ySplit="3" topLeftCell="M4" activePane="bottomRight" state="frozen"/>
      <selection pane="topRight" activeCell="J1" sqref="J1"/>
      <selection pane="bottomLeft" activeCell="A4" sqref="A4"/>
      <selection pane="bottomRight" activeCell="N13" sqref="N13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18.5" style="12" customWidth="1"/>
    <col min="10" max="11" width="33.25" style="7" customWidth="1"/>
    <col min="12" max="12" width="11" style="7" customWidth="1"/>
    <col min="13" max="13" width="5.75" style="7" customWidth="1"/>
    <col min="14" max="14" width="21.5" style="8" bestFit="1" customWidth="1"/>
    <col min="15" max="15" width="15.875" style="8" customWidth="1"/>
    <col min="16" max="18" width="16.125" style="8" customWidth="1"/>
    <col min="19" max="20" width="18.125" style="8" customWidth="1"/>
    <col min="21" max="21" width="16.125" style="8" customWidth="1"/>
    <col min="22" max="22" width="12.75" style="17" customWidth="1"/>
    <col min="23" max="23" width="17.25" customWidth="1"/>
  </cols>
  <sheetData>
    <row r="2" spans="2:22" x14ac:dyDescent="0.3">
      <c r="B2" s="6"/>
      <c r="C2" s="6"/>
    </row>
    <row r="3" spans="2:22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3">
      <c r="B4" s="39">
        <v>1</v>
      </c>
      <c r="C4" s="39" t="s">
        <v>36</v>
      </c>
      <c r="D4" s="40" t="s">
        <v>54</v>
      </c>
      <c r="E4" s="40" t="s">
        <v>56</v>
      </c>
      <c r="F4" s="40"/>
      <c r="G4" s="39"/>
      <c r="H4" s="58"/>
      <c r="I4" s="58" t="s">
        <v>71</v>
      </c>
      <c r="J4" s="58" t="s">
        <v>55</v>
      </c>
      <c r="K4" s="58" t="s">
        <v>55</v>
      </c>
      <c r="L4" s="64"/>
      <c r="M4" s="39" t="s">
        <v>40</v>
      </c>
      <c r="N4" s="59"/>
      <c r="O4" s="41">
        <v>46840000</v>
      </c>
      <c r="P4" s="41">
        <f>O4</f>
        <v>46840000</v>
      </c>
      <c r="Q4" s="41"/>
      <c r="R4" s="41">
        <f>P4</f>
        <v>46840000</v>
      </c>
      <c r="S4" s="41">
        <f>R4</f>
        <v>46840000</v>
      </c>
      <c r="T4" s="41"/>
      <c r="U4" s="41"/>
      <c r="V4" s="41"/>
    </row>
    <row r="5" spans="2:22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39"/>
      <c r="N5" s="59"/>
      <c r="O5" s="41"/>
      <c r="P5" s="41"/>
      <c r="Q5" s="41"/>
      <c r="R5" s="41"/>
      <c r="S5" s="41"/>
      <c r="T5" s="60"/>
      <c r="U5" s="41"/>
      <c r="V5" s="40"/>
    </row>
    <row r="6" spans="2:22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39"/>
      <c r="N6" s="59"/>
      <c r="O6" s="41"/>
      <c r="P6" s="41"/>
      <c r="Q6" s="41"/>
      <c r="R6" s="41"/>
      <c r="S6" s="41"/>
      <c r="T6" s="60"/>
      <c r="U6" s="41"/>
      <c r="V6" s="40"/>
    </row>
    <row r="7" spans="2:22" s="42" customFormat="1" x14ac:dyDescent="0.3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39"/>
      <c r="N7" s="59"/>
      <c r="O7" s="41"/>
      <c r="P7" s="41"/>
      <c r="Q7" s="41"/>
      <c r="R7" s="41"/>
      <c r="S7" s="41"/>
      <c r="T7" s="41"/>
      <c r="U7" s="41"/>
      <c r="V7" s="40"/>
    </row>
    <row r="8" spans="2:22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3">
      <c r="B26" s="2"/>
      <c r="C26" s="90" t="s">
        <v>13</v>
      </c>
      <c r="D26" s="91"/>
      <c r="E26" s="91"/>
      <c r="F26" s="91"/>
      <c r="G26" s="91"/>
      <c r="H26" s="91"/>
      <c r="I26" s="91"/>
      <c r="J26" s="92"/>
      <c r="K26" s="79"/>
      <c r="L26" s="79"/>
      <c r="M26" s="5"/>
      <c r="N26" s="11">
        <f>SUM(N4:N25)</f>
        <v>0</v>
      </c>
      <c r="O26" s="16">
        <f>SUM(O4:O25)</f>
        <v>46840000</v>
      </c>
      <c r="P26" s="10">
        <f>SUM(P4:P25)</f>
        <v>46840000</v>
      </c>
      <c r="Q26" s="10"/>
      <c r="R26" s="16">
        <f>SUM(R4:R25)</f>
        <v>46840000</v>
      </c>
      <c r="S26" s="16">
        <f>SUM(S4:S25)</f>
        <v>46840000</v>
      </c>
      <c r="T26" s="16">
        <f>SUM(T4:T25)</f>
        <v>0</v>
      </c>
      <c r="U26" s="16">
        <f>SUM(U4:U25)</f>
        <v>0</v>
      </c>
      <c r="V26" s="9"/>
    </row>
    <row r="27" spans="2:22" x14ac:dyDescent="0.3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A3D3-5202-4A20-AEA9-F246E9DF8A0B}">
  <dimension ref="B2:V27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I10" sqref="I10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1" width="33.25" style="7" customWidth="1"/>
    <col min="12" max="12" width="11" style="7" customWidth="1"/>
    <col min="13" max="13" width="5.75" style="7" customWidth="1"/>
    <col min="14" max="14" width="21.5" style="8" bestFit="1" customWidth="1"/>
    <col min="15" max="15" width="15.875" style="8" customWidth="1"/>
    <col min="16" max="18" width="16.125" style="8" customWidth="1"/>
    <col min="19" max="20" width="18.125" style="8" customWidth="1"/>
    <col min="21" max="21" width="16.125" style="8" customWidth="1"/>
    <col min="22" max="22" width="12.75" style="17" customWidth="1"/>
    <col min="23" max="23" width="17.25" customWidth="1"/>
  </cols>
  <sheetData>
    <row r="2" spans="2:22" x14ac:dyDescent="0.3">
      <c r="B2" s="6"/>
      <c r="C2" s="6"/>
    </row>
    <row r="3" spans="2:22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3">
      <c r="B4" s="43">
        <v>1</v>
      </c>
      <c r="C4" s="43" t="s">
        <v>36</v>
      </c>
      <c r="D4" s="44" t="s">
        <v>63</v>
      </c>
      <c r="E4" s="44">
        <v>202407031</v>
      </c>
      <c r="F4" s="44"/>
      <c r="G4" s="43">
        <v>240703</v>
      </c>
      <c r="H4" s="62" t="s">
        <v>64</v>
      </c>
      <c r="I4" s="62" t="s">
        <v>72</v>
      </c>
      <c r="J4" s="62" t="s">
        <v>55</v>
      </c>
      <c r="K4" s="62" t="s">
        <v>55</v>
      </c>
      <c r="L4" s="80"/>
      <c r="M4" s="43" t="s">
        <v>65</v>
      </c>
      <c r="N4" s="63"/>
      <c r="O4" s="19">
        <v>482560000</v>
      </c>
      <c r="P4" s="19"/>
      <c r="Q4" s="19">
        <f>O4</f>
        <v>482560000</v>
      </c>
      <c r="R4" s="19"/>
      <c r="S4" s="19">
        <f>R4</f>
        <v>0</v>
      </c>
      <c r="T4" s="19"/>
      <c r="U4" s="19"/>
      <c r="V4" s="19"/>
    </row>
    <row r="5" spans="2:22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39"/>
      <c r="N5" s="59"/>
      <c r="O5" s="41"/>
      <c r="P5" s="41"/>
      <c r="Q5" s="41"/>
      <c r="R5" s="41"/>
      <c r="S5" s="41"/>
      <c r="T5" s="60"/>
      <c r="U5" s="41"/>
      <c r="V5" s="40"/>
    </row>
    <row r="6" spans="2:22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39"/>
      <c r="N6" s="59"/>
      <c r="O6" s="41"/>
      <c r="P6" s="41"/>
      <c r="Q6" s="41"/>
      <c r="R6" s="41"/>
      <c r="S6" s="41"/>
      <c r="T6" s="60"/>
      <c r="U6" s="41"/>
      <c r="V6" s="40"/>
    </row>
    <row r="7" spans="2:22" s="42" customFormat="1" x14ac:dyDescent="0.3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39"/>
      <c r="N7" s="59"/>
      <c r="O7" s="41"/>
      <c r="P7" s="41"/>
      <c r="Q7" s="41"/>
      <c r="R7" s="41"/>
      <c r="S7" s="41"/>
      <c r="T7" s="41"/>
      <c r="U7" s="41"/>
      <c r="V7" s="40"/>
    </row>
    <row r="8" spans="2:22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3">
      <c r="B26" s="2"/>
      <c r="C26" s="90" t="s">
        <v>13</v>
      </c>
      <c r="D26" s="91"/>
      <c r="E26" s="91"/>
      <c r="F26" s="91"/>
      <c r="G26" s="91"/>
      <c r="H26" s="91"/>
      <c r="I26" s="91"/>
      <c r="J26" s="92"/>
      <c r="K26" s="79"/>
      <c r="L26" s="79"/>
      <c r="M26" s="5"/>
      <c r="N26" s="11">
        <f>SUM(N4:N25)</f>
        <v>0</v>
      </c>
      <c r="O26" s="16">
        <f>SUM(O4:O25)</f>
        <v>482560000</v>
      </c>
      <c r="P26" s="10">
        <f>SUM(P4:P25)</f>
        <v>0</v>
      </c>
      <c r="Q26" s="10"/>
      <c r="R26" s="16">
        <f>SUM(R4:R25)</f>
        <v>0</v>
      </c>
      <c r="S26" s="16">
        <f>SUM(S4:S25)</f>
        <v>0</v>
      </c>
      <c r="T26" s="16">
        <f>SUM(T4:T25)</f>
        <v>0</v>
      </c>
      <c r="U26" s="16">
        <f>SUM(U4:U25)</f>
        <v>0</v>
      </c>
      <c r="V26" s="9"/>
    </row>
    <row r="27" spans="2:22" x14ac:dyDescent="0.3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Total</vt:lpstr>
      <vt:lpstr>지아이씨</vt:lpstr>
      <vt:lpstr>교통공사</vt:lpstr>
      <vt:lpstr>다원시스</vt:lpstr>
      <vt:lpstr>실리콘큐브</vt:lpstr>
      <vt:lpstr>티랩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S.S. Choi</cp:lastModifiedBy>
  <dcterms:created xsi:type="dcterms:W3CDTF">2010-03-24T06:08:57Z</dcterms:created>
  <dcterms:modified xsi:type="dcterms:W3CDTF">2024-09-07T06:48:57Z</dcterms:modified>
</cp:coreProperties>
</file>
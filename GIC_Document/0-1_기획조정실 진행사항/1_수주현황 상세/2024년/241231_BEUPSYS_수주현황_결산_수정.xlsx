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4년\"/>
    </mc:Choice>
  </mc:AlternateContent>
  <xr:revisionPtr revIDLastSave="0" documentId="13_ncr:1_{4EA29DE9-D3EE-416D-8FAD-7113AD143F6A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F13" i="1"/>
  <c r="F12" i="1"/>
  <c r="E13" i="1"/>
  <c r="E12" i="1"/>
  <c r="D13" i="1"/>
  <c r="W49" i="12"/>
  <c r="V49" i="12"/>
  <c r="U49" i="12"/>
  <c r="T49" i="12"/>
  <c r="S49" i="12"/>
  <c r="F14" i="1" s="1"/>
  <c r="R49" i="12"/>
  <c r="E14" i="1" s="1"/>
  <c r="Q49" i="12"/>
  <c r="D14" i="1" s="1"/>
  <c r="P49" i="12"/>
  <c r="H14" i="1" s="1"/>
  <c r="O49" i="12"/>
  <c r="G14" i="1" s="1"/>
  <c r="W49" i="11"/>
  <c r="V49" i="11"/>
  <c r="U49" i="11"/>
  <c r="T49" i="11"/>
  <c r="S49" i="11"/>
  <c r="R49" i="11"/>
  <c r="Q49" i="11"/>
  <c r="P49" i="11"/>
  <c r="O49" i="11"/>
  <c r="G13" i="1" s="1"/>
  <c r="I13" i="1" s="1"/>
  <c r="W49" i="10"/>
  <c r="V49" i="10"/>
  <c r="U49" i="10"/>
  <c r="T49" i="10"/>
  <c r="S49" i="10"/>
  <c r="R49" i="10"/>
  <c r="Q49" i="10"/>
  <c r="D12" i="1" s="1"/>
  <c r="P49" i="10"/>
  <c r="H12" i="1" s="1"/>
  <c r="O49" i="10"/>
  <c r="G12" i="1" s="1"/>
  <c r="I12" i="1" s="1"/>
  <c r="I14" i="1" l="1"/>
  <c r="W49" i="9"/>
  <c r="V49" i="9"/>
  <c r="U49" i="9"/>
  <c r="T49" i="9"/>
  <c r="S49" i="9"/>
  <c r="F11" i="1" s="1"/>
  <c r="R49" i="9"/>
  <c r="E11" i="1" s="1"/>
  <c r="Q49" i="9"/>
  <c r="D11" i="1" s="1"/>
  <c r="P49" i="9"/>
  <c r="H11" i="1" s="1"/>
  <c r="O49" i="9"/>
  <c r="G11" i="1" s="1"/>
  <c r="I11" i="1" s="1"/>
  <c r="W4" i="8"/>
  <c r="V49" i="8"/>
  <c r="U49" i="8"/>
  <c r="T49" i="8"/>
  <c r="S49" i="8"/>
  <c r="F10" i="1" s="1"/>
  <c r="R49" i="8"/>
  <c r="E10" i="1" s="1"/>
  <c r="Q49" i="8"/>
  <c r="D10" i="1" s="1"/>
  <c r="P49" i="8"/>
  <c r="H10" i="1" s="1"/>
  <c r="O49" i="8"/>
  <c r="G10" i="1" s="1"/>
  <c r="I10" i="1" s="1"/>
  <c r="W5" i="8"/>
  <c r="V49" i="7"/>
  <c r="U49" i="7"/>
  <c r="T49" i="7"/>
  <c r="S49" i="7"/>
  <c r="F9" i="1" s="1"/>
  <c r="R49" i="7"/>
  <c r="E9" i="1" s="1"/>
  <c r="Q49" i="7"/>
  <c r="D9" i="1" s="1"/>
  <c r="P49" i="7"/>
  <c r="H9" i="1" s="1"/>
  <c r="O49" i="7"/>
  <c r="G9" i="1" s="1"/>
  <c r="I9" i="1" s="1"/>
  <c r="W4" i="7"/>
  <c r="W49" i="7" s="1"/>
  <c r="W4" i="6"/>
  <c r="W49" i="6" s="1"/>
  <c r="V49" i="6"/>
  <c r="U49" i="6"/>
  <c r="T49" i="6"/>
  <c r="S49" i="6"/>
  <c r="F8" i="1" s="1"/>
  <c r="R49" i="6"/>
  <c r="E8" i="1" s="1"/>
  <c r="Q49" i="6"/>
  <c r="D8" i="1" s="1"/>
  <c r="P49" i="6"/>
  <c r="H8" i="1" s="1"/>
  <c r="O49" i="6"/>
  <c r="G8" i="1" s="1"/>
  <c r="W49" i="5"/>
  <c r="V49" i="5"/>
  <c r="U49" i="5"/>
  <c r="T49" i="5"/>
  <c r="S49" i="5"/>
  <c r="F7" i="1" s="1"/>
  <c r="R49" i="5"/>
  <c r="E7" i="1" s="1"/>
  <c r="Q49" i="5"/>
  <c r="D7" i="1" s="1"/>
  <c r="P49" i="5"/>
  <c r="H7" i="1" s="1"/>
  <c r="O49" i="5"/>
  <c r="G7" i="1" s="1"/>
  <c r="I7" i="1" s="1"/>
  <c r="W5" i="4"/>
  <c r="W49" i="4" s="1"/>
  <c r="V49" i="4"/>
  <c r="U49" i="4"/>
  <c r="T49" i="4"/>
  <c r="S49" i="4"/>
  <c r="F6" i="1" s="1"/>
  <c r="R49" i="4"/>
  <c r="E6" i="1" s="1"/>
  <c r="Q49" i="4"/>
  <c r="D6" i="1" s="1"/>
  <c r="P49" i="4"/>
  <c r="H6" i="1" s="1"/>
  <c r="O49" i="4"/>
  <c r="G6" i="1" s="1"/>
  <c r="V49" i="3"/>
  <c r="U49" i="3"/>
  <c r="T49" i="3"/>
  <c r="S49" i="3"/>
  <c r="F5" i="1" s="1"/>
  <c r="R49" i="3"/>
  <c r="E5" i="1" s="1"/>
  <c r="Q49" i="3"/>
  <c r="D5" i="1" s="1"/>
  <c r="P49" i="3"/>
  <c r="H5" i="1" s="1"/>
  <c r="V49" i="2"/>
  <c r="S49" i="2"/>
  <c r="F4" i="1" s="1"/>
  <c r="R49" i="2"/>
  <c r="E4" i="1" s="1"/>
  <c r="O49" i="3"/>
  <c r="G5" i="1" s="1"/>
  <c r="W49" i="3"/>
  <c r="T49" i="2"/>
  <c r="U49" i="2"/>
  <c r="W42" i="2"/>
  <c r="W41" i="2"/>
  <c r="W39" i="2"/>
  <c r="W36" i="2"/>
  <c r="W35" i="2"/>
  <c r="W34" i="2"/>
  <c r="W33" i="2"/>
  <c r="W32" i="2"/>
  <c r="W9" i="2"/>
  <c r="W4" i="2"/>
  <c r="P49" i="2"/>
  <c r="H4" i="1" s="1"/>
  <c r="O49" i="2"/>
  <c r="G4" i="1" s="1"/>
  <c r="W49" i="8" l="1"/>
  <c r="I6" i="1"/>
  <c r="H15" i="1"/>
  <c r="F15" i="1"/>
  <c r="I5" i="1"/>
  <c r="G15" i="1"/>
  <c r="E15" i="1"/>
  <c r="I8" i="1"/>
  <c r="Q49" i="2" l="1"/>
  <c r="D4" i="1" s="1"/>
  <c r="I4" i="1" l="1"/>
  <c r="D15" i="1"/>
  <c r="I15" i="1" s="1"/>
  <c r="W40" i="2"/>
  <c r="W38" i="2"/>
  <c r="W37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8" i="2"/>
  <c r="W7" i="2"/>
  <c r="W6" i="2"/>
  <c r="W5" i="2"/>
  <c r="W49" i="2" l="1"/>
</calcChain>
</file>

<file path=xl/sharedStrings.xml><?xml version="1.0" encoding="utf-8"?>
<sst xmlns="http://schemas.openxmlformats.org/spreadsheetml/2006/main" count="485" uniqueCount="156">
  <si>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</si>
  <si>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</si>
  <si>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</si>
  <si>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</si>
  <si>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</si>
  <si>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</si>
  <si>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</si>
  <si>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</si>
  <si>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</si>
  <si>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</si>
  <si>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(2024년)</t>
    <phoneticPr fontId="3" type="noConversion"/>
  </si>
  <si>
    <t>입금 총액</t>
    <phoneticPr fontId="3" type="noConversion"/>
  </si>
  <si>
    <t>미수금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</si>
  <si>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</si>
  <si>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</si>
  <si>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</si>
  <si>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CSP24-0409-1</t>
    <phoneticPr fontId="3" type="noConversion"/>
  </si>
  <si>
    <t>240930</t>
    <phoneticPr fontId="3" type="noConversion"/>
  </si>
  <si>
    <t>PAB, EID, PSR, ETND, EDD 생산</t>
    <phoneticPr fontId="3" type="noConversion"/>
  </si>
  <si>
    <t>CSP24-0409-2</t>
    <phoneticPr fontId="3" type="noConversion"/>
  </si>
  <si>
    <t>240412</t>
    <phoneticPr fontId="3" type="noConversion"/>
  </si>
  <si>
    <t>1</t>
    <phoneticPr fontId="3" type="noConversion"/>
  </si>
  <si>
    <t>MOP 수리(17031, R1C001388)</t>
    <phoneticPr fontId="3" type="noConversion"/>
  </si>
  <si>
    <t>2</t>
    <phoneticPr fontId="3" type="noConversion"/>
  </si>
  <si>
    <t>MOP 수리(19067, R1C001388)</t>
    <phoneticPr fontId="3" type="noConversion"/>
  </si>
  <si>
    <t>3</t>
    <phoneticPr fontId="3" type="noConversion"/>
  </si>
  <si>
    <t>MSR  HUB 수리(16006, R1B002192)</t>
    <phoneticPr fontId="3" type="noConversion"/>
  </si>
  <si>
    <t>4</t>
    <phoneticPr fontId="3" type="noConversion"/>
  </si>
  <si>
    <t>MSR  HUB 수리(19002, R1B002192)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</si>
  <si>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</si>
  <si>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</si>
  <si>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</si>
  <si>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CSP24-0524-2</t>
    <phoneticPr fontId="3" type="noConversion"/>
  </si>
  <si>
    <t>240726</t>
    <phoneticPr fontId="3" type="noConversion"/>
  </si>
  <si>
    <t>PSR-HUB Board</t>
    <phoneticPr fontId="3" type="noConversion"/>
  </si>
  <si>
    <t>PSR-VOIP Board</t>
    <phoneticPr fontId="3" type="noConversion"/>
  </si>
  <si>
    <t>PSR-PA-AMP1 Board</t>
    <phoneticPr fontId="3" type="noConversion"/>
  </si>
  <si>
    <t>PSR-PA-AMP2 Board</t>
    <phoneticPr fontId="3" type="noConversion"/>
  </si>
  <si>
    <t>5</t>
    <phoneticPr fontId="3" type="noConversion"/>
  </si>
  <si>
    <t>PSR-BPB</t>
    <phoneticPr fontId="3" type="noConversion"/>
  </si>
  <si>
    <t>6</t>
    <phoneticPr fontId="3" type="noConversion"/>
  </si>
  <si>
    <t>PAB-CONTROL Board</t>
    <phoneticPr fontId="3" type="noConversion"/>
  </si>
  <si>
    <t>7</t>
    <phoneticPr fontId="3" type="noConversion"/>
  </si>
  <si>
    <t>EID-CONTROL Board</t>
    <phoneticPr fontId="3" type="noConversion"/>
  </si>
  <si>
    <t>8</t>
    <phoneticPr fontId="3" type="noConversion"/>
  </si>
  <si>
    <t>EID-SENSOR Board</t>
    <phoneticPr fontId="3" type="noConversion"/>
  </si>
  <si>
    <t>9</t>
    <phoneticPr fontId="3" type="noConversion"/>
  </si>
  <si>
    <t>EDD-CONTROL Board</t>
    <phoneticPr fontId="3" type="noConversion"/>
  </si>
  <si>
    <t>10</t>
    <phoneticPr fontId="3" type="noConversion"/>
  </si>
  <si>
    <t>ETND-CONTROL Board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</si>
  <si>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</si>
  <si>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</si>
  <si>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</si>
  <si>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</si>
  <si>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</si>
  <si>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</si>
  <si>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</si>
  <si>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</si>
  <si>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</si>
  <si>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</si>
  <si>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</si>
  <si>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</si>
  <si>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</si>
  <si>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</si>
  <si>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</si>
  <si>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</si>
  <si>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</si>
  <si>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</si>
  <si>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MSR PWR BOARD. FOR MSR.</t>
    <phoneticPr fontId="3" type="noConversion"/>
  </si>
  <si>
    <t>LCD CONTROL BOARD. FOR MOP.</t>
    <phoneticPr fontId="3" type="noConversion"/>
  </si>
  <si>
    <t>MAIN CONTROL BOARD. FOR MOP.</t>
    <phoneticPr fontId="3" type="noConversion"/>
  </si>
  <si>
    <t>POWER BOARD. FOR MOP.</t>
    <phoneticPr fontId="3" type="noConversion"/>
  </si>
  <si>
    <t>POWER BOARD. FOR CTM.</t>
    <phoneticPr fontId="3" type="noConversion"/>
  </si>
  <si>
    <t>MSR HUB BOARD. FOR MSR.</t>
    <phoneticPr fontId="3" type="noConversion"/>
  </si>
  <si>
    <t>MSR MTX BOARD. FOR MSR.</t>
    <phoneticPr fontId="3" type="noConversion"/>
  </si>
  <si>
    <t>250430</t>
    <phoneticPr fontId="3" type="noConversion"/>
  </si>
  <si>
    <t>MSR NVR BOARD. FOR MSR.</t>
    <phoneticPr fontId="3" type="noConversion"/>
  </si>
  <si>
    <t>MSR TCIU BOARD. FOR MSR.</t>
    <phoneticPr fontId="3" type="noConversion"/>
  </si>
  <si>
    <t>PSR HUB BOARD FOR PSR.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</si>
  <si>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</si>
  <si>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</si>
  <si>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</si>
  <si>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</si>
  <si>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</si>
  <si>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</si>
  <si>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</si>
  <si>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</si>
  <si>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</si>
  <si>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</si>
  <si>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</si>
  <si>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</si>
  <si>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</si>
  <si>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241019</t>
  </si>
  <si>
    <t>김포골드라인 10량분</t>
  </si>
  <si>
    <t>서울교통공사</t>
    <phoneticPr fontId="3" type="noConversion"/>
  </si>
  <si>
    <t>240524</t>
  </si>
  <si>
    <t>241115</t>
  </si>
  <si>
    <t>7호선3차분 CSC교체품</t>
  </si>
  <si>
    <t>7호선3차분CSC수리비</t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</si>
  <si>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</si>
  <si>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</si>
  <si>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</si>
  <si>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</si>
  <si>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</si>
  <si>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</si>
  <si>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뉴펄스진행</t>
    <phoneticPr fontId="3" type="noConversion"/>
  </si>
  <si>
    <t>홍콩 수리품</t>
    <phoneticPr fontId="3" type="noConversion"/>
  </si>
  <si>
    <t>무한테크</t>
  </si>
  <si>
    <t>무한테크</t>
    <phoneticPr fontId="3" type="noConversion"/>
  </si>
  <si>
    <t>241013</t>
    <phoneticPr fontId="3" type="noConversion"/>
  </si>
  <si>
    <t>인도네시아 MTX/MRX</t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</si>
  <si>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</si>
  <si>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</si>
  <si>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</si>
  <si>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</si>
  <si>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</si>
  <si>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</si>
  <si>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240827</t>
  </si>
  <si>
    <t>241206</t>
  </si>
  <si>
    <t>서울7호선 3차분 TCMS 개조</t>
  </si>
  <si>
    <t>4호선 방송편집기 소프트웨어개발</t>
  </si>
  <si>
    <t>7호선3차분TCMS개조관련외주용역</t>
  </si>
  <si>
    <t>고장분석기기고정용RACK시험기</t>
  </si>
  <si>
    <t>4호선210량 방송 소프트웨어 개선비</t>
    <phoneticPr fontId="3" type="noConversion"/>
  </si>
  <si>
    <t>241207</t>
    <phoneticPr fontId="3" type="noConversion"/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</si>
  <si>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</si>
  <si>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</si>
  <si>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</si>
  <si>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</si>
  <si>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240718</t>
  </si>
  <si>
    <t>인도네시아 TCMS 개량</t>
  </si>
  <si>
    <t>마루소프트</t>
  </si>
  <si>
    <t>마루소프트</t>
    <phoneticPr fontId="3" type="noConversion"/>
  </si>
  <si>
    <t>240921</t>
  </si>
  <si>
    <t>인도네시아LRT_CTM</t>
    <phoneticPr fontId="3" type="noConversion"/>
  </si>
  <si>
    <t>신진금고</t>
  </si>
  <si>
    <t>신진금고</t>
    <phoneticPr fontId="3" type="noConversion"/>
  </si>
  <si>
    <t>241122</t>
  </si>
  <si>
    <t>티렉디바이스(신진금고)_LCDDISPLAY</t>
  </si>
  <si>
    <t>241204</t>
    <phoneticPr fontId="3" type="noConversion"/>
  </si>
  <si>
    <t>인도네시아 자카르타 LRT 16량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</si>
  <si>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</si>
  <si>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</si>
  <si>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</si>
  <si>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</si>
  <si>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</si>
  <si>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</si>
  <si>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</si>
  <si>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</si>
  <si>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2024년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</si>
  <si>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</si>
  <si>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</si>
  <si>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</si>
  <si>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z</t>
    <phoneticPr fontId="3" type="noConversion"/>
  </si>
  <si>
    <t>2025년 1월 31일 수정계약 (사급 금액 제외)</t>
  </si>
  <si>
    <t>2025년 1월 31일 수정계약 (사급 금액 제외)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</si>
</sst>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2" fontId="6" fillId="0" borderId="0" xfId="0" applyNumberFormat="1" applyFo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2" fontId="6" fillId="0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 wrapText="1"/>
    </xf>
    <xf numFmtId="42" fontId="5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2" fontId="5" fillId="0" borderId="1" xfId="0" applyNumberFormat="1" applyFont="1" applyFill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2" fontId="0" fillId="0" borderId="5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42" fontId="12" fillId="0" borderId="4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L15"/>
  <sheetViews>
    <sheetView tabSelected="1"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0.25" bestFit="1" customWidth="1"/>
    <col min="10" max="11" width="16.125" customWidth="1"/>
    <col min="12" max="12" width="40.875" bestFit="1" customWidth="1"/>
  </cols>
  <sheetData>
    <row r="2" spans="2:12" x14ac:dyDescent="0.3">
      <c r="C2" s="1"/>
      <c r="D2" s="59" t="s">
        <v>144</v>
      </c>
      <c r="E2" s="59"/>
      <c r="F2" s="60"/>
      <c r="G2" s="61" t="s">
        <v>148</v>
      </c>
      <c r="H2" s="59"/>
      <c r="I2" s="59"/>
      <c r="J2" s="59"/>
      <c r="K2" s="59"/>
    </row>
    <row r="3" spans="2:12" x14ac:dyDescent="0.3">
      <c r="B3" s="8" t="s">
        <v>142</v>
      </c>
      <c r="C3" s="48" t="s">
        <v>143</v>
      </c>
      <c r="D3" s="48" t="s">
        <v>147</v>
      </c>
      <c r="E3" s="48" t="s">
        <v>145</v>
      </c>
      <c r="F3" s="52" t="s">
        <v>146</v>
      </c>
      <c r="G3" s="51" t="s">
        <v>147</v>
      </c>
      <c r="H3" s="50" t="s">
        <v>149</v>
      </c>
      <c r="I3" s="50" t="s">
        <v>151</v>
      </c>
      <c r="J3" s="50" t="s">
        <v>88</v>
      </c>
      <c r="K3" s="50" t="s">
        <v>89</v>
      </c>
      <c r="L3" s="50" t="s">
        <v>13</v>
      </c>
    </row>
    <row r="4" spans="2:12" x14ac:dyDescent="0.3">
      <c r="B4" s="8">
        <v>1</v>
      </c>
      <c r="C4" s="8" t="s">
        <v>150</v>
      </c>
      <c r="D4" s="49">
        <f>'1.지아이씨'!Q49</f>
        <v>1446481819</v>
      </c>
      <c r="E4" s="49">
        <f>'1.지아이씨'!R49</f>
        <v>1446481819</v>
      </c>
      <c r="F4" s="53">
        <f>'1.지아이씨'!S49</f>
        <v>0</v>
      </c>
      <c r="G4" s="57">
        <f>'1.지아이씨'!O49</f>
        <v>1446481819</v>
      </c>
      <c r="H4" s="58">
        <f>'1.지아이씨'!P49</f>
        <v>1051246143.3000001</v>
      </c>
      <c r="I4" s="54">
        <f t="shared" ref="I4:I15" si="0">G4/D4</f>
        <v>1</v>
      </c>
      <c r="J4" s="55"/>
      <c r="K4" s="55"/>
      <c r="L4" s="65" t="s">
        <v>154</v>
      </c>
    </row>
    <row r="5" spans="2:12" x14ac:dyDescent="0.3">
      <c r="B5" s="8">
        <v>2</v>
      </c>
      <c r="C5" s="8" t="s">
        <v>90</v>
      </c>
      <c r="D5" s="49">
        <f>'2.김포골드라인'!Q49</f>
        <v>957811200</v>
      </c>
      <c r="E5" s="49">
        <f>'2.김포골드라인'!R49</f>
        <v>957811200</v>
      </c>
      <c r="F5" s="53">
        <f>'2.김포골드라인'!S49</f>
        <v>0</v>
      </c>
      <c r="G5" s="57">
        <f>'2.김포골드라인'!O49</f>
        <v>0</v>
      </c>
      <c r="H5" s="58">
        <f>'2.김포골드라인'!P49</f>
        <v>0</v>
      </c>
      <c r="I5" s="54">
        <f t="shared" si="0"/>
        <v>0</v>
      </c>
      <c r="J5" s="55"/>
      <c r="K5" s="55"/>
      <c r="L5" s="55"/>
    </row>
    <row r="6" spans="2:12" x14ac:dyDescent="0.3">
      <c r="B6" s="8">
        <v>3</v>
      </c>
      <c r="C6" s="8" t="s">
        <v>94</v>
      </c>
      <c r="D6" s="49">
        <f>'3.서울교통공사'!Q49</f>
        <v>209154910</v>
      </c>
      <c r="E6" s="49">
        <f>'3.서울교통공사'!R49</f>
        <v>209154910</v>
      </c>
      <c r="F6" s="53">
        <f>'3.서울교통공사'!S49</f>
        <v>0</v>
      </c>
      <c r="G6" s="57">
        <f>'3.서울교통공사'!O49</f>
        <v>1900000</v>
      </c>
      <c r="H6" s="58">
        <f>'3.서울교통공사'!P49</f>
        <v>1900000</v>
      </c>
      <c r="I6" s="54">
        <f t="shared" si="0"/>
        <v>9.0841759344784216E-3</v>
      </c>
      <c r="J6" s="55"/>
      <c r="K6" s="55"/>
      <c r="L6" s="55"/>
    </row>
    <row r="7" spans="2:12" x14ac:dyDescent="0.3">
      <c r="B7" s="8">
        <v>4</v>
      </c>
      <c r="C7" s="8" t="s">
        <v>99</v>
      </c>
      <c r="D7" s="49">
        <f>'4.현대로템'!Q49</f>
        <v>11092600</v>
      </c>
      <c r="E7" s="49">
        <f>'4.현대로템'!R49</f>
        <v>11092600</v>
      </c>
      <c r="F7" s="53">
        <f>'4.현대로템'!S49</f>
        <v>0</v>
      </c>
      <c r="G7" s="57">
        <f>'4.현대로템'!O49</f>
        <v>0</v>
      </c>
      <c r="H7" s="58">
        <f>'4.현대로템'!P49</f>
        <v>0</v>
      </c>
      <c r="I7" s="54">
        <f t="shared" si="0"/>
        <v>0</v>
      </c>
      <c r="J7" s="55"/>
      <c r="K7" s="55"/>
      <c r="L7" s="55"/>
    </row>
    <row r="8" spans="2:12" x14ac:dyDescent="0.3">
      <c r="B8" s="8">
        <v>5</v>
      </c>
      <c r="C8" s="8" t="s">
        <v>103</v>
      </c>
      <c r="D8" s="49">
        <f>'5.실리콘큐브'!Q49</f>
        <v>46840000</v>
      </c>
      <c r="E8" s="49">
        <f>'5.실리콘큐브'!R49</f>
        <v>46840000</v>
      </c>
      <c r="F8" s="53">
        <f>'5.실리콘큐브'!S49</f>
        <v>0</v>
      </c>
      <c r="G8" s="57">
        <f>'5.실리콘큐브'!O49</f>
        <v>46840000</v>
      </c>
      <c r="H8" s="58">
        <f>'5.실리콘큐브'!P49</f>
        <v>46840000</v>
      </c>
      <c r="I8" s="54">
        <f t="shared" si="0"/>
        <v>1</v>
      </c>
      <c r="J8" s="55"/>
      <c r="K8" s="55"/>
      <c r="L8" s="55"/>
    </row>
    <row r="9" spans="2:12" x14ac:dyDescent="0.3">
      <c r="B9" s="8">
        <v>6</v>
      </c>
      <c r="C9" s="8" t="s">
        <v>107</v>
      </c>
      <c r="D9" s="49">
        <f>'6.무한테크'!Q49</f>
        <v>20350000</v>
      </c>
      <c r="E9" s="49">
        <f>'6.무한테크'!R49</f>
        <v>20350000</v>
      </c>
      <c r="F9" s="53">
        <f>'6.무한테크'!S49</f>
        <v>0</v>
      </c>
      <c r="G9" s="57">
        <f>'6.무한테크'!O49</f>
        <v>11400000</v>
      </c>
      <c r="H9" s="58">
        <f>'6.무한테크'!P49</f>
        <v>11400000</v>
      </c>
      <c r="I9" s="54">
        <f t="shared" si="0"/>
        <v>0.56019656019656017</v>
      </c>
      <c r="J9" s="55"/>
      <c r="K9" s="55"/>
      <c r="L9" s="55"/>
    </row>
    <row r="10" spans="2:12" x14ac:dyDescent="0.3">
      <c r="B10" s="8">
        <v>7</v>
      </c>
      <c r="C10" s="8" t="s">
        <v>111</v>
      </c>
      <c r="D10" s="49">
        <f>'7.다원시스'!Q49</f>
        <v>993145936</v>
      </c>
      <c r="E10" s="49">
        <f>'7.다원시스'!R49</f>
        <v>965178562</v>
      </c>
      <c r="F10" s="53">
        <f>'7.다원시스'!S49</f>
        <v>27967374</v>
      </c>
      <c r="G10" s="57">
        <f>'7.다원시스'!O49</f>
        <v>410000000</v>
      </c>
      <c r="H10" s="58">
        <f>'7.다원시스'!P49</f>
        <v>123000000</v>
      </c>
      <c r="I10" s="54">
        <f t="shared" si="0"/>
        <v>0.41282956022688694</v>
      </c>
      <c r="J10" s="55"/>
      <c r="K10" s="55"/>
      <c r="L10" s="55"/>
    </row>
    <row r="11" spans="2:12" x14ac:dyDescent="0.3">
      <c r="B11" s="8">
        <v>8</v>
      </c>
      <c r="C11" s="8" t="s">
        <v>127</v>
      </c>
      <c r="D11" s="49">
        <f>'8.티랩'!Q49</f>
        <v>482560000</v>
      </c>
      <c r="E11" s="49">
        <f>'8.티랩'!R49</f>
        <v>0</v>
      </c>
      <c r="F11" s="53">
        <f>'8.티랩'!S49</f>
        <v>482560000</v>
      </c>
      <c r="G11" s="57">
        <f>'8.티랩'!O49</f>
        <v>0</v>
      </c>
      <c r="H11" s="58">
        <f>'8.티랩'!P49</f>
        <v>0</v>
      </c>
      <c r="I11" s="54">
        <f t="shared" si="0"/>
        <v>0</v>
      </c>
      <c r="J11" s="55"/>
      <c r="K11" s="55"/>
      <c r="L11" s="55"/>
    </row>
    <row r="12" spans="2:12" x14ac:dyDescent="0.3">
      <c r="B12" s="8">
        <v>9</v>
      </c>
      <c r="C12" s="8" t="s">
        <v>131</v>
      </c>
      <c r="D12" s="49">
        <f>'9.마루소프트'!Q49</f>
        <v>20350000</v>
      </c>
      <c r="E12" s="49">
        <f>'9.마루소프트'!R49</f>
        <v>20350000</v>
      </c>
      <c r="F12" s="53">
        <f>'9.마루소프트'!S49</f>
        <v>0</v>
      </c>
      <c r="G12" s="57">
        <f>'9.마루소프트'!O49</f>
        <v>0</v>
      </c>
      <c r="H12" s="58">
        <f>'9.마루소프트'!P49</f>
        <v>0</v>
      </c>
      <c r="I12" s="54">
        <f t="shared" si="0"/>
        <v>0</v>
      </c>
      <c r="J12" s="55"/>
      <c r="K12" s="55"/>
      <c r="L12" s="55"/>
    </row>
    <row r="13" spans="2:12" x14ac:dyDescent="0.3">
      <c r="B13" s="8">
        <v>10</v>
      </c>
      <c r="C13" s="8" t="s">
        <v>135</v>
      </c>
      <c r="D13" s="49">
        <f>'10.신진금고'!Q49</f>
        <v>169299200</v>
      </c>
      <c r="E13" s="49">
        <f>'10.신진금고'!R49</f>
        <v>169299200</v>
      </c>
      <c r="F13" s="53">
        <f>'10.신진금고'!S49</f>
        <v>0</v>
      </c>
      <c r="G13" s="57">
        <f>'10.신진금고'!O49</f>
        <v>0</v>
      </c>
      <c r="H13" s="58">
        <f>'10.신진금고'!P49</f>
        <v>0</v>
      </c>
      <c r="I13" s="54">
        <f t="shared" si="0"/>
        <v>0</v>
      </c>
      <c r="J13" s="55"/>
      <c r="K13" s="55"/>
      <c r="L13" s="55"/>
    </row>
    <row r="14" spans="2:12" x14ac:dyDescent="0.3">
      <c r="B14" s="8">
        <v>11</v>
      </c>
      <c r="C14" s="8" t="s">
        <v>141</v>
      </c>
      <c r="D14" s="49">
        <f>'11.인터모빌리티'!Q49</f>
        <v>216099460</v>
      </c>
      <c r="E14" s="49">
        <f>'11.인터모빌리티'!R49</f>
        <v>216099460</v>
      </c>
      <c r="F14" s="53">
        <f>'11.인터모빌리티'!S49</f>
        <v>0</v>
      </c>
      <c r="G14" s="57">
        <f>'11.인터모빌리티'!O49</f>
        <v>0</v>
      </c>
      <c r="H14" s="58">
        <f>'11.인터모빌리티'!P49</f>
        <v>0</v>
      </c>
      <c r="I14" s="54">
        <f t="shared" si="0"/>
        <v>0</v>
      </c>
      <c r="J14" s="55"/>
      <c r="K14" s="55"/>
      <c r="L14" s="55"/>
    </row>
    <row r="15" spans="2:12" x14ac:dyDescent="0.3">
      <c r="B15" s="56"/>
      <c r="C15" s="56" t="s">
        <v>152</v>
      </c>
      <c r="D15" s="49">
        <f t="shared" ref="D15:H15" si="1">SUM(D4:D14)</f>
        <v>4573185125</v>
      </c>
      <c r="E15" s="49">
        <f t="shared" si="1"/>
        <v>4062657751</v>
      </c>
      <c r="F15" s="53">
        <f t="shared" si="1"/>
        <v>510527374</v>
      </c>
      <c r="G15" s="57">
        <f t="shared" si="1"/>
        <v>1916621819</v>
      </c>
      <c r="H15" s="58">
        <f t="shared" si="1"/>
        <v>1234386143.3000002</v>
      </c>
      <c r="I15" s="54">
        <f t="shared" si="0"/>
        <v>0.41909998537397936</v>
      </c>
      <c r="J15" s="55"/>
      <c r="K15" s="55"/>
      <c r="L15" s="55"/>
    </row>
  </sheetData>
  <mergeCells count="2">
    <mergeCell ref="D2:F2"/>
    <mergeCell ref="G2:K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A2:X51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X39" sqref="X39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ht="33" x14ac:dyDescent="0.3">
      <c r="B4" s="9">
        <v>1</v>
      </c>
      <c r="C4" s="9" t="s">
        <v>14</v>
      </c>
      <c r="D4" s="10" t="s">
        <v>15</v>
      </c>
      <c r="E4" s="10"/>
      <c r="F4" s="10"/>
      <c r="G4" s="9">
        <v>240409</v>
      </c>
      <c r="H4" s="11" t="s">
        <v>17</v>
      </c>
      <c r="I4" s="10" t="s">
        <v>16</v>
      </c>
      <c r="J4" s="9">
        <v>240409</v>
      </c>
      <c r="K4" s="11" t="s">
        <v>17</v>
      </c>
      <c r="L4" s="11"/>
      <c r="M4" s="11" t="s">
        <v>18</v>
      </c>
      <c r="N4" s="10"/>
      <c r="O4" s="12">
        <v>423083700</v>
      </c>
      <c r="P4" s="12">
        <v>423083700</v>
      </c>
      <c r="Q4" s="12">
        <v>423083700</v>
      </c>
      <c r="R4" s="12">
        <v>423083700</v>
      </c>
      <c r="S4" s="12"/>
      <c r="T4" s="12"/>
      <c r="U4" s="12"/>
      <c r="V4" s="13">
        <v>423083700</v>
      </c>
      <c r="W4" s="47">
        <f t="shared" ref="W4:W42" si="0">P4-V4</f>
        <v>0</v>
      </c>
      <c r="X4" s="22"/>
    </row>
    <row r="5" spans="1:24" s="32" customFormat="1" ht="33" x14ac:dyDescent="0.3">
      <c r="A5" s="26"/>
      <c r="B5" s="42">
        <v>2</v>
      </c>
      <c r="C5" s="42" t="s">
        <v>14</v>
      </c>
      <c r="D5" s="43" t="s">
        <v>15</v>
      </c>
      <c r="E5" s="43"/>
      <c r="F5" s="43"/>
      <c r="G5" s="42">
        <v>240409</v>
      </c>
      <c r="H5" s="44" t="s">
        <v>20</v>
      </c>
      <c r="I5" s="43" t="s">
        <v>19</v>
      </c>
      <c r="J5" s="42">
        <v>240409</v>
      </c>
      <c r="K5" s="44" t="s">
        <v>20</v>
      </c>
      <c r="L5" s="44" t="s">
        <v>21</v>
      </c>
      <c r="M5" s="43" t="s">
        <v>22</v>
      </c>
      <c r="N5" s="43">
        <v>1</v>
      </c>
      <c r="O5" s="34">
        <v>270000</v>
      </c>
      <c r="P5" s="34">
        <v>270000</v>
      </c>
      <c r="Q5" s="34">
        <v>270000</v>
      </c>
      <c r="R5" s="34">
        <v>270000</v>
      </c>
      <c r="S5" s="34"/>
      <c r="T5" s="34"/>
      <c r="U5" s="34"/>
      <c r="V5" s="45">
        <v>270000</v>
      </c>
      <c r="W5" s="47">
        <f t="shared" si="0"/>
        <v>0</v>
      </c>
      <c r="X5" s="28"/>
    </row>
    <row r="6" spans="1:24" s="32" customFormat="1" x14ac:dyDescent="0.3">
      <c r="B6" s="42"/>
      <c r="C6" s="42"/>
      <c r="D6" s="43"/>
      <c r="E6" s="43"/>
      <c r="F6" s="43"/>
      <c r="G6" s="42"/>
      <c r="H6" s="44"/>
      <c r="I6" s="43"/>
      <c r="J6" s="42"/>
      <c r="K6" s="44"/>
      <c r="L6" s="44" t="s">
        <v>23</v>
      </c>
      <c r="M6" s="43" t="s">
        <v>24</v>
      </c>
      <c r="N6" s="43">
        <v>1</v>
      </c>
      <c r="O6" s="34">
        <v>900000</v>
      </c>
      <c r="P6" s="34">
        <v>900000</v>
      </c>
      <c r="Q6" s="34">
        <v>900000</v>
      </c>
      <c r="R6" s="34">
        <v>900000</v>
      </c>
      <c r="S6" s="34"/>
      <c r="T6" s="34"/>
      <c r="U6" s="34"/>
      <c r="V6" s="45">
        <v>900000</v>
      </c>
      <c r="W6" s="47">
        <f t="shared" si="0"/>
        <v>0</v>
      </c>
      <c r="X6" s="28"/>
    </row>
    <row r="7" spans="1:24" s="32" customFormat="1" x14ac:dyDescent="0.3">
      <c r="B7" s="42"/>
      <c r="C7" s="42"/>
      <c r="D7" s="43"/>
      <c r="E7" s="43"/>
      <c r="F7" s="43"/>
      <c r="G7" s="42"/>
      <c r="H7" s="44"/>
      <c r="I7" s="43"/>
      <c r="J7" s="42"/>
      <c r="K7" s="44"/>
      <c r="L7" s="44" t="s">
        <v>25</v>
      </c>
      <c r="M7" s="43" t="s">
        <v>26</v>
      </c>
      <c r="N7" s="43">
        <v>1</v>
      </c>
      <c r="O7" s="34">
        <v>1386000</v>
      </c>
      <c r="P7" s="34">
        <v>1386000</v>
      </c>
      <c r="Q7" s="34">
        <v>1386000</v>
      </c>
      <c r="R7" s="34">
        <v>1386000</v>
      </c>
      <c r="S7" s="34"/>
      <c r="T7" s="34"/>
      <c r="U7" s="34"/>
      <c r="V7" s="45">
        <v>1386000</v>
      </c>
      <c r="W7" s="47">
        <f t="shared" si="0"/>
        <v>0</v>
      </c>
      <c r="X7" s="28"/>
    </row>
    <row r="8" spans="1:24" s="32" customFormat="1" x14ac:dyDescent="0.3">
      <c r="B8" s="42"/>
      <c r="C8" s="42"/>
      <c r="D8" s="43"/>
      <c r="E8" s="43"/>
      <c r="F8" s="43"/>
      <c r="G8" s="42"/>
      <c r="H8" s="44"/>
      <c r="I8" s="43"/>
      <c r="J8" s="42"/>
      <c r="K8" s="44"/>
      <c r="L8" s="44" t="s">
        <v>27</v>
      </c>
      <c r="M8" s="43" t="s">
        <v>28</v>
      </c>
      <c r="N8" s="43">
        <v>1</v>
      </c>
      <c r="O8" s="34">
        <v>1386000</v>
      </c>
      <c r="P8" s="34">
        <v>1386000</v>
      </c>
      <c r="Q8" s="34">
        <v>1386000</v>
      </c>
      <c r="R8" s="34">
        <v>1386000</v>
      </c>
      <c r="S8" s="34"/>
      <c r="T8" s="34"/>
      <c r="U8" s="34"/>
      <c r="V8" s="45">
        <v>1386000</v>
      </c>
      <c r="W8" s="47">
        <f t="shared" si="0"/>
        <v>0</v>
      </c>
      <c r="X8" s="28"/>
    </row>
    <row r="9" spans="1:24" s="32" customFormat="1" ht="33" x14ac:dyDescent="0.3">
      <c r="B9" s="42">
        <v>3</v>
      </c>
      <c r="C9" s="42" t="s">
        <v>14</v>
      </c>
      <c r="D9" s="43" t="s">
        <v>15</v>
      </c>
      <c r="E9" s="43"/>
      <c r="F9" s="43"/>
      <c r="G9" s="42">
        <v>240524</v>
      </c>
      <c r="H9" s="44" t="s">
        <v>30</v>
      </c>
      <c r="I9" s="43" t="s">
        <v>29</v>
      </c>
      <c r="J9" s="42">
        <v>240524</v>
      </c>
      <c r="K9" s="44" t="s">
        <v>30</v>
      </c>
      <c r="L9" s="44"/>
      <c r="M9" s="43" t="s">
        <v>31</v>
      </c>
      <c r="N9" s="43"/>
      <c r="O9" s="34">
        <v>350710750</v>
      </c>
      <c r="P9" s="34">
        <v>105213225</v>
      </c>
      <c r="Q9" s="34">
        <v>350710750</v>
      </c>
      <c r="R9" s="34">
        <v>350710750</v>
      </c>
      <c r="S9" s="34"/>
      <c r="T9" s="34"/>
      <c r="U9" s="34"/>
      <c r="V9" s="45">
        <v>105213225</v>
      </c>
      <c r="W9" s="47">
        <f t="shared" si="0"/>
        <v>0</v>
      </c>
      <c r="X9" s="33"/>
    </row>
    <row r="10" spans="1:24" s="32" customFormat="1" ht="33" x14ac:dyDescent="0.3">
      <c r="A10" s="26"/>
      <c r="B10" s="42">
        <v>4</v>
      </c>
      <c r="C10" s="42" t="s">
        <v>14</v>
      </c>
      <c r="D10" s="43" t="s">
        <v>15</v>
      </c>
      <c r="E10" s="43"/>
      <c r="F10" s="43"/>
      <c r="G10" s="42">
        <v>240524</v>
      </c>
      <c r="H10" s="44" t="s">
        <v>33</v>
      </c>
      <c r="I10" s="43" t="s">
        <v>32</v>
      </c>
      <c r="J10" s="42">
        <v>240524</v>
      </c>
      <c r="K10" s="44" t="s">
        <v>33</v>
      </c>
      <c r="L10" s="44" t="s">
        <v>21</v>
      </c>
      <c r="M10" s="43" t="s">
        <v>34</v>
      </c>
      <c r="N10" s="43">
        <v>82</v>
      </c>
      <c r="O10" s="34">
        <v>35260000</v>
      </c>
      <c r="P10" s="34">
        <v>35260000</v>
      </c>
      <c r="Q10" s="34">
        <v>35260000</v>
      </c>
      <c r="R10" s="34">
        <v>35260000</v>
      </c>
      <c r="S10" s="34"/>
      <c r="T10" s="34"/>
      <c r="U10" s="34"/>
      <c r="V10" s="45">
        <v>35260000</v>
      </c>
      <c r="W10" s="47">
        <f t="shared" si="0"/>
        <v>0</v>
      </c>
      <c r="X10" s="28"/>
    </row>
    <row r="11" spans="1:24" s="32" customFormat="1" x14ac:dyDescent="0.3">
      <c r="B11" s="42"/>
      <c r="C11" s="42"/>
      <c r="D11" s="43"/>
      <c r="E11" s="43"/>
      <c r="F11" s="43"/>
      <c r="G11" s="42"/>
      <c r="H11" s="44"/>
      <c r="I11" s="43"/>
      <c r="J11" s="42"/>
      <c r="K11" s="44"/>
      <c r="L11" s="44" t="s">
        <v>23</v>
      </c>
      <c r="M11" s="43" t="s">
        <v>35</v>
      </c>
      <c r="N11" s="43">
        <v>82</v>
      </c>
      <c r="O11" s="34">
        <v>27060000</v>
      </c>
      <c r="P11" s="34">
        <v>27060000</v>
      </c>
      <c r="Q11" s="34">
        <v>27060000</v>
      </c>
      <c r="R11" s="34">
        <v>27060000</v>
      </c>
      <c r="S11" s="34"/>
      <c r="T11" s="34"/>
      <c r="U11" s="34"/>
      <c r="V11" s="45">
        <v>27060000</v>
      </c>
      <c r="W11" s="47">
        <f t="shared" si="0"/>
        <v>0</v>
      </c>
      <c r="X11" s="28"/>
    </row>
    <row r="12" spans="1:24" s="32" customFormat="1" x14ac:dyDescent="0.3">
      <c r="B12" s="42"/>
      <c r="C12" s="42"/>
      <c r="D12" s="43"/>
      <c r="E12" s="43"/>
      <c r="F12" s="43"/>
      <c r="G12" s="42"/>
      <c r="H12" s="44"/>
      <c r="I12" s="43"/>
      <c r="J12" s="42"/>
      <c r="K12" s="44"/>
      <c r="L12" s="44" t="s">
        <v>25</v>
      </c>
      <c r="M12" s="43" t="s">
        <v>36</v>
      </c>
      <c r="N12" s="43">
        <v>82</v>
      </c>
      <c r="O12" s="34">
        <v>27060000</v>
      </c>
      <c r="P12" s="34">
        <v>27060000</v>
      </c>
      <c r="Q12" s="34">
        <v>27060000</v>
      </c>
      <c r="R12" s="34">
        <v>27060000</v>
      </c>
      <c r="S12" s="34"/>
      <c r="T12" s="34"/>
      <c r="U12" s="34"/>
      <c r="V12" s="45">
        <v>27060000</v>
      </c>
      <c r="W12" s="47">
        <f t="shared" si="0"/>
        <v>0</v>
      </c>
      <c r="X12" s="28"/>
    </row>
    <row r="13" spans="1:24" s="32" customFormat="1" x14ac:dyDescent="0.3">
      <c r="B13" s="42"/>
      <c r="C13" s="42"/>
      <c r="D13" s="43"/>
      <c r="E13" s="43"/>
      <c r="F13" s="43"/>
      <c r="G13" s="42"/>
      <c r="H13" s="44"/>
      <c r="I13" s="43"/>
      <c r="J13" s="42"/>
      <c r="K13" s="44"/>
      <c r="L13" s="44" t="s">
        <v>27</v>
      </c>
      <c r="M13" s="43" t="s">
        <v>37</v>
      </c>
      <c r="N13" s="43">
        <v>82</v>
      </c>
      <c r="O13" s="34">
        <v>15580000</v>
      </c>
      <c r="P13" s="34">
        <v>15580000</v>
      </c>
      <c r="Q13" s="34">
        <v>15580000</v>
      </c>
      <c r="R13" s="34">
        <v>15580000</v>
      </c>
      <c r="S13" s="34"/>
      <c r="T13" s="34"/>
      <c r="U13" s="34"/>
      <c r="V13" s="45">
        <v>15580000</v>
      </c>
      <c r="W13" s="47">
        <f t="shared" si="0"/>
        <v>0</v>
      </c>
      <c r="X13" s="28"/>
    </row>
    <row r="14" spans="1:24" s="32" customFormat="1" x14ac:dyDescent="0.3">
      <c r="B14" s="42"/>
      <c r="C14" s="42"/>
      <c r="D14" s="43"/>
      <c r="E14" s="43"/>
      <c r="F14" s="43"/>
      <c r="G14" s="42"/>
      <c r="H14" s="44"/>
      <c r="I14" s="43"/>
      <c r="J14" s="42"/>
      <c r="K14" s="44"/>
      <c r="L14" s="44" t="s">
        <v>38</v>
      </c>
      <c r="M14" s="43" t="s">
        <v>39</v>
      </c>
      <c r="N14" s="43">
        <v>82</v>
      </c>
      <c r="O14" s="34">
        <v>27060000</v>
      </c>
      <c r="P14" s="34">
        <v>27060000</v>
      </c>
      <c r="Q14" s="34">
        <v>27060000</v>
      </c>
      <c r="R14" s="34">
        <v>27060000</v>
      </c>
      <c r="S14" s="34"/>
      <c r="T14" s="34"/>
      <c r="U14" s="34"/>
      <c r="V14" s="45">
        <v>27060000</v>
      </c>
      <c r="W14" s="47">
        <f t="shared" si="0"/>
        <v>0</v>
      </c>
      <c r="X14" s="28"/>
    </row>
    <row r="15" spans="1:24" s="32" customFormat="1" x14ac:dyDescent="0.3">
      <c r="B15" s="42"/>
      <c r="C15" s="42"/>
      <c r="D15" s="43"/>
      <c r="E15" s="43"/>
      <c r="F15" s="43"/>
      <c r="G15" s="42"/>
      <c r="H15" s="44"/>
      <c r="I15" s="43"/>
      <c r="J15" s="42"/>
      <c r="K15" s="44"/>
      <c r="L15" s="44" t="s">
        <v>40</v>
      </c>
      <c r="M15" s="43" t="s">
        <v>41</v>
      </c>
      <c r="N15" s="43">
        <v>51</v>
      </c>
      <c r="O15" s="34">
        <v>16830000</v>
      </c>
      <c r="P15" s="34">
        <v>16830000</v>
      </c>
      <c r="Q15" s="34">
        <v>16830000</v>
      </c>
      <c r="R15" s="34">
        <v>16830000</v>
      </c>
      <c r="S15" s="34"/>
      <c r="T15" s="34"/>
      <c r="U15" s="34"/>
      <c r="V15" s="45">
        <v>16830000</v>
      </c>
      <c r="W15" s="47">
        <f t="shared" si="0"/>
        <v>0</v>
      </c>
      <c r="X15" s="28"/>
    </row>
    <row r="16" spans="1:24" s="32" customFormat="1" x14ac:dyDescent="0.3">
      <c r="B16" s="42"/>
      <c r="C16" s="42"/>
      <c r="D16" s="43"/>
      <c r="E16" s="43"/>
      <c r="F16" s="43"/>
      <c r="G16" s="42"/>
      <c r="H16" s="44"/>
      <c r="I16" s="43"/>
      <c r="J16" s="42"/>
      <c r="K16" s="44"/>
      <c r="L16" s="44" t="s">
        <v>42</v>
      </c>
      <c r="M16" s="43" t="s">
        <v>43</v>
      </c>
      <c r="N16" s="43">
        <v>41</v>
      </c>
      <c r="O16" s="34">
        <v>22550000</v>
      </c>
      <c r="P16" s="34">
        <v>22550000</v>
      </c>
      <c r="Q16" s="34">
        <v>22550000</v>
      </c>
      <c r="R16" s="34">
        <v>22550000</v>
      </c>
      <c r="S16" s="34"/>
      <c r="T16" s="34"/>
      <c r="U16" s="34"/>
      <c r="V16" s="45">
        <v>22550000</v>
      </c>
      <c r="W16" s="47">
        <f t="shared" si="0"/>
        <v>0</v>
      </c>
      <c r="X16" s="28"/>
    </row>
    <row r="17" spans="2:24" s="32" customFormat="1" x14ac:dyDescent="0.3">
      <c r="B17" s="42"/>
      <c r="C17" s="42"/>
      <c r="D17" s="43"/>
      <c r="E17" s="43"/>
      <c r="F17" s="43"/>
      <c r="G17" s="42"/>
      <c r="H17" s="44"/>
      <c r="I17" s="43"/>
      <c r="J17" s="42"/>
      <c r="K17" s="44"/>
      <c r="L17" s="44" t="s">
        <v>44</v>
      </c>
      <c r="M17" s="43" t="s">
        <v>45</v>
      </c>
      <c r="N17" s="43">
        <v>41</v>
      </c>
      <c r="O17" s="34">
        <v>2050000</v>
      </c>
      <c r="P17" s="34">
        <v>2050000</v>
      </c>
      <c r="Q17" s="34">
        <v>2050000</v>
      </c>
      <c r="R17" s="34">
        <v>2050000</v>
      </c>
      <c r="S17" s="34"/>
      <c r="T17" s="34"/>
      <c r="U17" s="34"/>
      <c r="V17" s="45">
        <v>2050000</v>
      </c>
      <c r="W17" s="47">
        <f t="shared" si="0"/>
        <v>0</v>
      </c>
      <c r="X17" s="28"/>
    </row>
    <row r="18" spans="2:24" s="32" customFormat="1" x14ac:dyDescent="0.3">
      <c r="B18" s="42"/>
      <c r="C18" s="42"/>
      <c r="D18" s="43"/>
      <c r="E18" s="43"/>
      <c r="F18" s="43"/>
      <c r="G18" s="42"/>
      <c r="H18" s="44"/>
      <c r="I18" s="43"/>
      <c r="J18" s="42"/>
      <c r="K18" s="44"/>
      <c r="L18" s="44" t="s">
        <v>46</v>
      </c>
      <c r="M18" s="43" t="s">
        <v>47</v>
      </c>
      <c r="N18" s="43">
        <v>21</v>
      </c>
      <c r="O18" s="34">
        <v>12180000</v>
      </c>
      <c r="P18" s="34">
        <v>12180000</v>
      </c>
      <c r="Q18" s="34">
        <v>12180000</v>
      </c>
      <c r="R18" s="34">
        <v>12180000</v>
      </c>
      <c r="S18" s="34"/>
      <c r="T18" s="34"/>
      <c r="U18" s="34"/>
      <c r="V18" s="45">
        <v>12180000</v>
      </c>
      <c r="W18" s="47">
        <f t="shared" si="0"/>
        <v>0</v>
      </c>
      <c r="X18" s="28"/>
    </row>
    <row r="19" spans="2:24" s="32" customFormat="1" x14ac:dyDescent="0.3">
      <c r="B19" s="42"/>
      <c r="C19" s="42"/>
      <c r="D19" s="43"/>
      <c r="E19" s="43"/>
      <c r="F19" s="43"/>
      <c r="G19" s="42"/>
      <c r="H19" s="44"/>
      <c r="I19" s="43"/>
      <c r="J19" s="42"/>
      <c r="K19" s="44"/>
      <c r="L19" s="44" t="s">
        <v>48</v>
      </c>
      <c r="M19" s="43" t="s">
        <v>49</v>
      </c>
      <c r="N19" s="43">
        <v>21</v>
      </c>
      <c r="O19" s="34">
        <v>12180000</v>
      </c>
      <c r="P19" s="34">
        <v>12180000</v>
      </c>
      <c r="Q19" s="34">
        <v>12180000</v>
      </c>
      <c r="R19" s="34">
        <v>12180000</v>
      </c>
      <c r="S19" s="34"/>
      <c r="T19" s="34"/>
      <c r="U19" s="34"/>
      <c r="V19" s="45">
        <v>12180000</v>
      </c>
      <c r="W19" s="47">
        <f t="shared" si="0"/>
        <v>0</v>
      </c>
      <c r="X19" s="28"/>
    </row>
    <row r="20" spans="2:24" s="15" customFormat="1" ht="33" x14ac:dyDescent="0.3">
      <c r="B20" s="9">
        <v>5</v>
      </c>
      <c r="C20" s="9" t="s">
        <v>14</v>
      </c>
      <c r="D20" s="10" t="s">
        <v>15</v>
      </c>
      <c r="E20" s="10"/>
      <c r="F20" s="10"/>
      <c r="G20" s="9">
        <v>240913</v>
      </c>
      <c r="H20" s="11" t="s">
        <v>51</v>
      </c>
      <c r="I20" s="10" t="s">
        <v>50</v>
      </c>
      <c r="J20" s="9">
        <v>240913</v>
      </c>
      <c r="K20" s="11" t="s">
        <v>51</v>
      </c>
      <c r="L20" s="11" t="s">
        <v>21</v>
      </c>
      <c r="M20" s="10" t="s">
        <v>52</v>
      </c>
      <c r="N20" s="10">
        <v>51</v>
      </c>
      <c r="O20" s="12">
        <v>46610077</v>
      </c>
      <c r="P20" s="12">
        <v>32627053.899999999</v>
      </c>
      <c r="Q20" s="12">
        <v>46610077</v>
      </c>
      <c r="R20" s="12">
        <v>46610077</v>
      </c>
      <c r="S20" s="12"/>
      <c r="T20" s="12"/>
      <c r="U20" s="12"/>
      <c r="V20" s="13">
        <v>32627053.899999999</v>
      </c>
      <c r="W20" s="47">
        <f t="shared" si="0"/>
        <v>0</v>
      </c>
      <c r="X20" s="17"/>
    </row>
    <row r="21" spans="2:24" s="15" customFormat="1" x14ac:dyDescent="0.3">
      <c r="B21" s="9"/>
      <c r="C21" s="9"/>
      <c r="D21" s="10"/>
      <c r="E21" s="10"/>
      <c r="F21" s="10"/>
      <c r="G21" s="9"/>
      <c r="H21" s="11"/>
      <c r="I21" s="10"/>
      <c r="J21" s="9"/>
      <c r="K21" s="11"/>
      <c r="L21" s="11" t="s">
        <v>23</v>
      </c>
      <c r="M21" s="10" t="s">
        <v>53</v>
      </c>
      <c r="N21" s="10">
        <v>51</v>
      </c>
      <c r="O21" s="12">
        <v>33882518</v>
      </c>
      <c r="P21" s="12">
        <v>23717762.599999998</v>
      </c>
      <c r="Q21" s="12">
        <v>33882518</v>
      </c>
      <c r="R21" s="12">
        <v>33882518</v>
      </c>
      <c r="S21" s="12"/>
      <c r="T21" s="12"/>
      <c r="U21" s="12"/>
      <c r="V21" s="13">
        <v>23717762.599999998</v>
      </c>
      <c r="W21" s="47">
        <f t="shared" si="0"/>
        <v>0</v>
      </c>
      <c r="X21" s="17"/>
    </row>
    <row r="22" spans="2:24" s="15" customFormat="1" x14ac:dyDescent="0.3">
      <c r="B22" s="9"/>
      <c r="C22" s="9"/>
      <c r="D22" s="10"/>
      <c r="E22" s="10"/>
      <c r="F22" s="10"/>
      <c r="G22" s="9"/>
      <c r="H22" s="11"/>
      <c r="I22" s="10"/>
      <c r="J22" s="9"/>
      <c r="K22" s="11"/>
      <c r="L22" s="11" t="s">
        <v>25</v>
      </c>
      <c r="M22" s="10" t="s">
        <v>54</v>
      </c>
      <c r="N22" s="10">
        <v>51</v>
      </c>
      <c r="O22" s="12">
        <v>31138841</v>
      </c>
      <c r="P22" s="12">
        <v>21797188.699999999</v>
      </c>
      <c r="Q22" s="12">
        <v>31138841</v>
      </c>
      <c r="R22" s="12">
        <v>31138841</v>
      </c>
      <c r="S22" s="12"/>
      <c r="T22" s="12"/>
      <c r="U22" s="12"/>
      <c r="V22" s="13">
        <v>21797188.699999999</v>
      </c>
      <c r="W22" s="47">
        <f t="shared" si="0"/>
        <v>0</v>
      </c>
      <c r="X22" s="17"/>
    </row>
    <row r="23" spans="2:24" s="15" customFormat="1" x14ac:dyDescent="0.3">
      <c r="B23" s="9"/>
      <c r="C23" s="9"/>
      <c r="D23" s="10"/>
      <c r="E23" s="10"/>
      <c r="F23" s="10"/>
      <c r="G23" s="9"/>
      <c r="H23" s="11"/>
      <c r="I23" s="10"/>
      <c r="J23" s="9"/>
      <c r="K23" s="11"/>
      <c r="L23" s="11" t="s">
        <v>27</v>
      </c>
      <c r="M23" s="10" t="s">
        <v>55</v>
      </c>
      <c r="N23" s="10">
        <v>51</v>
      </c>
      <c r="O23" s="12">
        <v>26181518</v>
      </c>
      <c r="P23" s="12">
        <v>18327062.599999998</v>
      </c>
      <c r="Q23" s="12">
        <v>26181518</v>
      </c>
      <c r="R23" s="12">
        <v>26181518</v>
      </c>
      <c r="S23" s="12"/>
      <c r="T23" s="12"/>
      <c r="U23" s="12"/>
      <c r="V23" s="13">
        <v>18327062.599999998</v>
      </c>
      <c r="W23" s="47">
        <f t="shared" si="0"/>
        <v>0</v>
      </c>
      <c r="X23" s="17"/>
    </row>
    <row r="24" spans="2:24" s="15" customFormat="1" x14ac:dyDescent="0.3">
      <c r="B24" s="9"/>
      <c r="C24" s="9"/>
      <c r="D24" s="10"/>
      <c r="E24" s="10"/>
      <c r="F24" s="10"/>
      <c r="G24" s="9"/>
      <c r="H24" s="11"/>
      <c r="I24" s="10"/>
      <c r="J24" s="9"/>
      <c r="K24" s="11"/>
      <c r="L24" s="11" t="s">
        <v>38</v>
      </c>
      <c r="M24" s="10" t="s">
        <v>56</v>
      </c>
      <c r="N24" s="10">
        <v>51</v>
      </c>
      <c r="O24" s="12">
        <v>31408809</v>
      </c>
      <c r="P24" s="12">
        <v>21986166.299999997</v>
      </c>
      <c r="Q24" s="12">
        <v>31408809</v>
      </c>
      <c r="R24" s="12">
        <v>31408809</v>
      </c>
      <c r="S24" s="12"/>
      <c r="T24" s="12"/>
      <c r="U24" s="12"/>
      <c r="V24" s="13">
        <v>21986166.299999997</v>
      </c>
      <c r="W24" s="47">
        <f t="shared" si="0"/>
        <v>0</v>
      </c>
      <c r="X24" s="17"/>
    </row>
    <row r="25" spans="2:24" s="15" customFormat="1" x14ac:dyDescent="0.3">
      <c r="B25" s="9"/>
      <c r="C25" s="9"/>
      <c r="D25" s="10"/>
      <c r="E25" s="10"/>
      <c r="F25" s="10"/>
      <c r="G25" s="9"/>
      <c r="H25" s="11"/>
      <c r="I25" s="10"/>
      <c r="J25" s="9"/>
      <c r="K25" s="11"/>
      <c r="L25" s="11" t="s">
        <v>40</v>
      </c>
      <c r="M25" s="10" t="s">
        <v>57</v>
      </c>
      <c r="N25" s="10">
        <v>51</v>
      </c>
      <c r="O25" s="12">
        <v>14739000</v>
      </c>
      <c r="P25" s="12">
        <v>10317300</v>
      </c>
      <c r="Q25" s="12">
        <v>14739000</v>
      </c>
      <c r="R25" s="12">
        <v>14739000</v>
      </c>
      <c r="S25" s="12"/>
      <c r="T25" s="12"/>
      <c r="U25" s="12"/>
      <c r="V25" s="13">
        <v>10317300</v>
      </c>
      <c r="W25" s="47">
        <f t="shared" si="0"/>
        <v>0</v>
      </c>
      <c r="X25" s="17"/>
    </row>
    <row r="26" spans="2:24" s="15" customFormat="1" x14ac:dyDescent="0.3">
      <c r="B26" s="9"/>
      <c r="C26" s="9"/>
      <c r="D26" s="10"/>
      <c r="E26" s="10"/>
      <c r="F26" s="10"/>
      <c r="G26" s="9"/>
      <c r="H26" s="11"/>
      <c r="I26" s="10"/>
      <c r="J26" s="9"/>
      <c r="K26" s="11"/>
      <c r="L26" s="11" t="s">
        <v>42</v>
      </c>
      <c r="M26" s="10" t="s">
        <v>58</v>
      </c>
      <c r="N26" s="10">
        <v>102</v>
      </c>
      <c r="O26" s="12">
        <v>34578000</v>
      </c>
      <c r="P26" s="12">
        <v>24204600</v>
      </c>
      <c r="Q26" s="12">
        <v>34578000</v>
      </c>
      <c r="R26" s="12">
        <v>34578000</v>
      </c>
      <c r="S26" s="12"/>
      <c r="T26" s="12"/>
      <c r="U26" s="12"/>
      <c r="V26" s="13">
        <v>24204600</v>
      </c>
      <c r="W26" s="47">
        <f t="shared" si="0"/>
        <v>0</v>
      </c>
      <c r="X26" s="17"/>
    </row>
    <row r="27" spans="2:24" s="15" customFormat="1" x14ac:dyDescent="0.3">
      <c r="B27" s="9"/>
      <c r="C27" s="9"/>
      <c r="D27" s="10"/>
      <c r="E27" s="10"/>
      <c r="F27" s="10"/>
      <c r="G27" s="9"/>
      <c r="H27" s="11"/>
      <c r="I27" s="10"/>
      <c r="J27" s="9"/>
      <c r="K27" s="11"/>
      <c r="L27" s="11" t="s">
        <v>44</v>
      </c>
      <c r="M27" s="10" t="s">
        <v>59</v>
      </c>
      <c r="N27" s="10">
        <v>51</v>
      </c>
      <c r="O27" s="12">
        <v>24214341</v>
      </c>
      <c r="P27" s="12">
        <v>16950038.699999999</v>
      </c>
      <c r="Q27" s="12">
        <v>24214341</v>
      </c>
      <c r="R27" s="12">
        <v>24214341</v>
      </c>
      <c r="S27" s="12"/>
      <c r="T27" s="12"/>
      <c r="U27" s="12"/>
      <c r="V27" s="13">
        <v>16950038.699999999</v>
      </c>
      <c r="W27" s="47">
        <f t="shared" si="0"/>
        <v>0</v>
      </c>
      <c r="X27" s="17"/>
    </row>
    <row r="28" spans="2:24" s="15" customFormat="1" x14ac:dyDescent="0.3">
      <c r="B28" s="9"/>
      <c r="C28" s="9"/>
      <c r="D28" s="10"/>
      <c r="E28" s="10"/>
      <c r="F28" s="10"/>
      <c r="G28" s="9"/>
      <c r="H28" s="11"/>
      <c r="I28" s="10"/>
      <c r="J28" s="9"/>
      <c r="K28" s="11"/>
      <c r="L28" s="11" t="s">
        <v>46</v>
      </c>
      <c r="M28" s="10" t="s">
        <v>60</v>
      </c>
      <c r="N28" s="10">
        <v>51</v>
      </c>
      <c r="O28" s="12">
        <v>15300000</v>
      </c>
      <c r="P28" s="12">
        <v>10710000</v>
      </c>
      <c r="Q28" s="12">
        <v>15300000</v>
      </c>
      <c r="R28" s="12">
        <v>15300000</v>
      </c>
      <c r="S28" s="12"/>
      <c r="T28" s="12"/>
      <c r="U28" s="12"/>
      <c r="V28" s="13">
        <v>10710000</v>
      </c>
      <c r="W28" s="47">
        <f t="shared" si="0"/>
        <v>0</v>
      </c>
      <c r="X28" s="17"/>
    </row>
    <row r="29" spans="2:24" s="15" customFormat="1" x14ac:dyDescent="0.3">
      <c r="B29" s="9"/>
      <c r="C29" s="9"/>
      <c r="D29" s="10"/>
      <c r="E29" s="10"/>
      <c r="F29" s="10"/>
      <c r="G29" s="9"/>
      <c r="H29" s="11"/>
      <c r="I29" s="10"/>
      <c r="J29" s="9"/>
      <c r="K29" s="11"/>
      <c r="L29" s="11" t="s">
        <v>48</v>
      </c>
      <c r="M29" s="10" t="s">
        <v>61</v>
      </c>
      <c r="N29" s="10">
        <v>51</v>
      </c>
      <c r="O29" s="12">
        <v>24156125</v>
      </c>
      <c r="P29" s="12">
        <v>16909287.5</v>
      </c>
      <c r="Q29" s="12">
        <v>24156125</v>
      </c>
      <c r="R29" s="12">
        <v>24156125</v>
      </c>
      <c r="S29" s="12"/>
      <c r="T29" s="12"/>
      <c r="U29" s="12"/>
      <c r="V29" s="13">
        <v>16909287.5</v>
      </c>
      <c r="W29" s="47">
        <f t="shared" si="0"/>
        <v>0</v>
      </c>
      <c r="X29" s="17"/>
    </row>
    <row r="30" spans="2:24" s="15" customFormat="1" x14ac:dyDescent="0.3">
      <c r="B30" s="9"/>
      <c r="C30" s="9"/>
      <c r="D30" s="10"/>
      <c r="E30" s="10"/>
      <c r="F30" s="10"/>
      <c r="G30" s="9"/>
      <c r="H30" s="11"/>
      <c r="I30" s="10"/>
      <c r="J30" s="9"/>
      <c r="K30" s="11"/>
      <c r="L30" s="11" t="s">
        <v>62</v>
      </c>
      <c r="M30" s="10" t="s">
        <v>63</v>
      </c>
      <c r="N30" s="10">
        <v>51</v>
      </c>
      <c r="O30" s="12">
        <v>21685863</v>
      </c>
      <c r="P30" s="12">
        <v>15180104.1</v>
      </c>
      <c r="Q30" s="12">
        <v>21685863</v>
      </c>
      <c r="R30" s="12">
        <v>21685863</v>
      </c>
      <c r="S30" s="12"/>
      <c r="T30" s="12"/>
      <c r="U30" s="12"/>
      <c r="V30" s="13">
        <v>15180104.1</v>
      </c>
      <c r="W30" s="47">
        <f t="shared" si="0"/>
        <v>0</v>
      </c>
      <c r="X30" s="17"/>
    </row>
    <row r="31" spans="2:24" s="15" customFormat="1" x14ac:dyDescent="0.3">
      <c r="B31" s="9"/>
      <c r="C31" s="9"/>
      <c r="D31" s="10"/>
      <c r="E31" s="10"/>
      <c r="F31" s="10"/>
      <c r="G31" s="9"/>
      <c r="H31" s="11"/>
      <c r="I31" s="10"/>
      <c r="J31" s="9"/>
      <c r="K31" s="11"/>
      <c r="L31" s="11" t="s">
        <v>64</v>
      </c>
      <c r="M31" s="10" t="s">
        <v>65</v>
      </c>
      <c r="N31" s="10">
        <v>51</v>
      </c>
      <c r="O31" s="12">
        <v>47120077</v>
      </c>
      <c r="P31" s="12">
        <v>32984053.899999999</v>
      </c>
      <c r="Q31" s="12">
        <v>47120077</v>
      </c>
      <c r="R31" s="12">
        <v>47120077</v>
      </c>
      <c r="S31" s="12"/>
      <c r="T31" s="12"/>
      <c r="U31" s="12"/>
      <c r="V31" s="13">
        <v>32984053.899999999</v>
      </c>
      <c r="W31" s="47">
        <f t="shared" si="0"/>
        <v>0</v>
      </c>
      <c r="X31" s="17"/>
    </row>
    <row r="32" spans="2:24" s="15" customFormat="1" ht="33" x14ac:dyDescent="0.3">
      <c r="B32" s="9">
        <v>6</v>
      </c>
      <c r="C32" s="9" t="s">
        <v>14</v>
      </c>
      <c r="D32" s="10" t="s">
        <v>15</v>
      </c>
      <c r="E32" s="10"/>
      <c r="F32" s="10"/>
      <c r="G32" s="9">
        <v>240923</v>
      </c>
      <c r="H32" s="11" t="s">
        <v>67</v>
      </c>
      <c r="I32" s="10" t="s">
        <v>66</v>
      </c>
      <c r="J32" s="9">
        <v>240923</v>
      </c>
      <c r="K32" s="11" t="s">
        <v>67</v>
      </c>
      <c r="L32" s="11" t="s">
        <v>21</v>
      </c>
      <c r="M32" s="10" t="s">
        <v>68</v>
      </c>
      <c r="N32" s="10">
        <v>10</v>
      </c>
      <c r="O32" s="12">
        <v>2917600</v>
      </c>
      <c r="P32" s="12">
        <v>2917600</v>
      </c>
      <c r="Q32" s="12">
        <v>2917600</v>
      </c>
      <c r="R32" s="12">
        <v>2917600</v>
      </c>
      <c r="S32" s="12"/>
      <c r="T32" s="12"/>
      <c r="U32" s="12"/>
      <c r="V32" s="13">
        <v>2917600</v>
      </c>
      <c r="W32" s="47">
        <f t="shared" si="0"/>
        <v>0</v>
      </c>
      <c r="X32" s="17"/>
    </row>
    <row r="33" spans="2:24" s="15" customFormat="1" x14ac:dyDescent="0.3">
      <c r="B33" s="9"/>
      <c r="C33" s="9"/>
      <c r="D33" s="10"/>
      <c r="E33" s="10"/>
      <c r="F33" s="10"/>
      <c r="G33" s="9"/>
      <c r="H33" s="11" t="s">
        <v>67</v>
      </c>
      <c r="I33" s="10"/>
      <c r="J33" s="9"/>
      <c r="K33" s="11" t="s">
        <v>67</v>
      </c>
      <c r="L33" s="11" t="s">
        <v>23</v>
      </c>
      <c r="M33" s="10" t="s">
        <v>69</v>
      </c>
      <c r="N33" s="10">
        <v>10</v>
      </c>
      <c r="O33" s="12">
        <v>8188800</v>
      </c>
      <c r="P33" s="12"/>
      <c r="Q33" s="12">
        <v>8188800</v>
      </c>
      <c r="R33" s="12">
        <v>8188800</v>
      </c>
      <c r="S33" s="12"/>
      <c r="T33" s="12"/>
      <c r="U33" s="12"/>
      <c r="V33" s="13">
        <v>0</v>
      </c>
      <c r="W33" s="47">
        <f t="shared" si="0"/>
        <v>0</v>
      </c>
      <c r="X33" s="17"/>
    </row>
    <row r="34" spans="2:24" s="15" customFormat="1" ht="33" x14ac:dyDescent="0.3">
      <c r="B34" s="9"/>
      <c r="C34" s="9"/>
      <c r="D34" s="10"/>
      <c r="E34" s="10"/>
      <c r="F34" s="10"/>
      <c r="G34" s="9"/>
      <c r="H34" s="11" t="s">
        <v>67</v>
      </c>
      <c r="I34" s="10"/>
      <c r="J34" s="9"/>
      <c r="K34" s="11" t="s">
        <v>67</v>
      </c>
      <c r="L34" s="11" t="s">
        <v>25</v>
      </c>
      <c r="M34" s="10" t="s">
        <v>70</v>
      </c>
      <c r="N34" s="10">
        <v>20</v>
      </c>
      <c r="O34" s="12">
        <v>18768200</v>
      </c>
      <c r="P34" s="12">
        <v>18768200</v>
      </c>
      <c r="Q34" s="12">
        <v>18768200</v>
      </c>
      <c r="R34" s="12">
        <v>18768200</v>
      </c>
      <c r="S34" s="12"/>
      <c r="T34" s="12"/>
      <c r="U34" s="12"/>
      <c r="V34" s="13">
        <v>18768200</v>
      </c>
      <c r="W34" s="47">
        <f t="shared" si="0"/>
        <v>0</v>
      </c>
      <c r="X34" s="17"/>
    </row>
    <row r="35" spans="2:24" s="15" customFormat="1" x14ac:dyDescent="0.3">
      <c r="B35" s="9"/>
      <c r="C35" s="9"/>
      <c r="D35" s="10"/>
      <c r="E35" s="10"/>
      <c r="F35" s="10"/>
      <c r="G35" s="9"/>
      <c r="H35" s="11" t="s">
        <v>67</v>
      </c>
      <c r="I35" s="10"/>
      <c r="J35" s="9"/>
      <c r="K35" s="11" t="s">
        <v>67</v>
      </c>
      <c r="L35" s="11" t="s">
        <v>27</v>
      </c>
      <c r="M35" s="10" t="s">
        <v>71</v>
      </c>
      <c r="N35" s="10">
        <v>10</v>
      </c>
      <c r="O35" s="12">
        <v>1874500</v>
      </c>
      <c r="P35" s="12">
        <v>1874500</v>
      </c>
      <c r="Q35" s="12">
        <v>1874500</v>
      </c>
      <c r="R35" s="12">
        <v>1874500</v>
      </c>
      <c r="S35" s="12"/>
      <c r="T35" s="12"/>
      <c r="U35" s="12"/>
      <c r="V35" s="13">
        <v>1874500</v>
      </c>
      <c r="W35" s="47">
        <f t="shared" si="0"/>
        <v>0</v>
      </c>
      <c r="X35" s="17"/>
    </row>
    <row r="36" spans="2:24" s="15" customFormat="1" x14ac:dyDescent="0.3">
      <c r="B36" s="9"/>
      <c r="C36" s="9"/>
      <c r="D36" s="10"/>
      <c r="E36" s="10"/>
      <c r="F36" s="10"/>
      <c r="G36" s="9"/>
      <c r="H36" s="11" t="s">
        <v>67</v>
      </c>
      <c r="I36" s="10"/>
      <c r="J36" s="9"/>
      <c r="K36" s="11" t="s">
        <v>67</v>
      </c>
      <c r="L36" s="11" t="s">
        <v>38</v>
      </c>
      <c r="M36" s="10" t="s">
        <v>72</v>
      </c>
      <c r="N36" s="10">
        <v>10</v>
      </c>
      <c r="O36" s="12">
        <v>2244800</v>
      </c>
      <c r="P36" s="12">
        <v>2244800</v>
      </c>
      <c r="Q36" s="12">
        <v>2244800</v>
      </c>
      <c r="R36" s="12">
        <v>2244800</v>
      </c>
      <c r="S36" s="12"/>
      <c r="T36" s="12"/>
      <c r="U36" s="12"/>
      <c r="V36" s="13">
        <v>2244800</v>
      </c>
      <c r="W36" s="47">
        <f t="shared" si="0"/>
        <v>0</v>
      </c>
      <c r="X36" s="17"/>
    </row>
    <row r="37" spans="2:24" s="15" customFormat="1" x14ac:dyDescent="0.3">
      <c r="B37" s="9"/>
      <c r="C37" s="9"/>
      <c r="D37" s="10"/>
      <c r="E37" s="10"/>
      <c r="F37" s="10"/>
      <c r="G37" s="9"/>
      <c r="H37" s="11" t="s">
        <v>67</v>
      </c>
      <c r="I37" s="10"/>
      <c r="J37" s="9"/>
      <c r="K37" s="11" t="s">
        <v>67</v>
      </c>
      <c r="L37" s="11" t="s">
        <v>40</v>
      </c>
      <c r="M37" s="10" t="s">
        <v>73</v>
      </c>
      <c r="N37" s="10">
        <v>10</v>
      </c>
      <c r="O37" s="12">
        <v>9368300</v>
      </c>
      <c r="P37" s="12">
        <v>9368300</v>
      </c>
      <c r="Q37" s="12">
        <v>9368300</v>
      </c>
      <c r="R37" s="12">
        <v>9368300</v>
      </c>
      <c r="S37" s="12"/>
      <c r="T37" s="12"/>
      <c r="U37" s="12"/>
      <c r="V37" s="13">
        <v>9368300</v>
      </c>
      <c r="W37" s="47">
        <f t="shared" si="0"/>
        <v>0</v>
      </c>
      <c r="X37" s="17"/>
    </row>
    <row r="38" spans="2:24" s="15" customFormat="1" x14ac:dyDescent="0.3">
      <c r="B38" s="9"/>
      <c r="C38" s="9"/>
      <c r="D38" s="10"/>
      <c r="E38" s="10"/>
      <c r="F38" s="10"/>
      <c r="G38" s="9"/>
      <c r="H38" s="11" t="s">
        <v>67</v>
      </c>
      <c r="I38" s="10"/>
      <c r="J38" s="9"/>
      <c r="K38" s="11" t="s">
        <v>67</v>
      </c>
      <c r="L38" s="11" t="s">
        <v>42</v>
      </c>
      <c r="M38" s="10" t="s">
        <v>74</v>
      </c>
      <c r="N38" s="10">
        <v>10</v>
      </c>
      <c r="O38" s="12">
        <v>10352200</v>
      </c>
      <c r="P38" s="12">
        <v>10352200</v>
      </c>
      <c r="Q38" s="12">
        <v>10352200</v>
      </c>
      <c r="R38" s="12">
        <v>10352200</v>
      </c>
      <c r="S38" s="12"/>
      <c r="T38" s="12"/>
      <c r="U38" s="12"/>
      <c r="V38" s="13">
        <v>10352200</v>
      </c>
      <c r="W38" s="47">
        <f t="shared" si="0"/>
        <v>0</v>
      </c>
      <c r="X38" s="17"/>
    </row>
    <row r="39" spans="2:24" s="15" customFormat="1" x14ac:dyDescent="0.3">
      <c r="B39" s="9"/>
      <c r="C39" s="9"/>
      <c r="D39" s="10"/>
      <c r="E39" s="10"/>
      <c r="F39" s="10"/>
      <c r="G39" s="9"/>
      <c r="H39" s="11" t="s">
        <v>75</v>
      </c>
      <c r="I39" s="10"/>
      <c r="J39" s="9"/>
      <c r="K39" s="11" t="s">
        <v>75</v>
      </c>
      <c r="L39" s="11" t="s">
        <v>44</v>
      </c>
      <c r="M39" s="10" t="s">
        <v>76</v>
      </c>
      <c r="N39" s="10">
        <v>10</v>
      </c>
      <c r="O39" s="47">
        <v>12435200</v>
      </c>
      <c r="P39" s="47"/>
      <c r="Q39" s="47">
        <v>12435200</v>
      </c>
      <c r="R39" s="47">
        <v>12435200</v>
      </c>
      <c r="S39" s="12"/>
      <c r="T39" s="12"/>
      <c r="U39" s="12"/>
      <c r="V39" s="13">
        <v>0</v>
      </c>
      <c r="W39" s="47">
        <f t="shared" si="0"/>
        <v>0</v>
      </c>
      <c r="X39" s="64" t="s">
        <v>155</v>
      </c>
    </row>
    <row r="40" spans="2:24" s="15" customFormat="1" x14ac:dyDescent="0.3">
      <c r="B40" s="9"/>
      <c r="C40" s="9"/>
      <c r="D40" s="10"/>
      <c r="E40" s="10"/>
      <c r="F40" s="10"/>
      <c r="G40" s="9"/>
      <c r="H40" s="11" t="s">
        <v>67</v>
      </c>
      <c r="I40" s="10"/>
      <c r="J40" s="9"/>
      <c r="K40" s="11" t="s">
        <v>67</v>
      </c>
      <c r="L40" s="11" t="s">
        <v>46</v>
      </c>
      <c r="M40" s="10" t="s">
        <v>77</v>
      </c>
      <c r="N40" s="10">
        <v>10</v>
      </c>
      <c r="O40" s="12">
        <v>20586000</v>
      </c>
      <c r="P40" s="12">
        <v>20586000</v>
      </c>
      <c r="Q40" s="12">
        <v>20586000</v>
      </c>
      <c r="R40" s="12">
        <v>20586000</v>
      </c>
      <c r="S40" s="12"/>
      <c r="T40" s="12"/>
      <c r="U40" s="12"/>
      <c r="V40" s="13">
        <v>20586000</v>
      </c>
      <c r="W40" s="47">
        <f t="shared" si="0"/>
        <v>0</v>
      </c>
      <c r="X40" s="17"/>
    </row>
    <row r="41" spans="2:24" s="15" customFormat="1" x14ac:dyDescent="0.3">
      <c r="B41" s="9"/>
      <c r="C41" s="9"/>
      <c r="D41" s="10"/>
      <c r="E41" s="10"/>
      <c r="F41" s="10"/>
      <c r="G41" s="9"/>
      <c r="H41" s="11" t="s">
        <v>75</v>
      </c>
      <c r="I41" s="10"/>
      <c r="J41" s="9"/>
      <c r="K41" s="11" t="s">
        <v>75</v>
      </c>
      <c r="L41" s="11" t="s">
        <v>48</v>
      </c>
      <c r="M41" s="10" t="s">
        <v>78</v>
      </c>
      <c r="N41" s="10">
        <v>10</v>
      </c>
      <c r="O41" s="12">
        <v>9375000</v>
      </c>
      <c r="P41" s="12">
        <v>9375000</v>
      </c>
      <c r="Q41" s="12">
        <v>9375000</v>
      </c>
      <c r="R41" s="12">
        <v>9375000</v>
      </c>
      <c r="S41" s="12"/>
      <c r="T41" s="12"/>
      <c r="U41" s="12"/>
      <c r="V41" s="13">
        <v>9375000</v>
      </c>
      <c r="W41" s="47">
        <f t="shared" si="0"/>
        <v>0</v>
      </c>
      <c r="X41" s="17"/>
    </row>
    <row r="42" spans="2:24" s="15" customFormat="1" x14ac:dyDescent="0.3">
      <c r="B42" s="9"/>
      <c r="C42" s="9"/>
      <c r="D42" s="10"/>
      <c r="E42" s="10"/>
      <c r="F42" s="10"/>
      <c r="G42" s="9"/>
      <c r="H42" s="11" t="s">
        <v>67</v>
      </c>
      <c r="I42" s="10"/>
      <c r="J42" s="9"/>
      <c r="K42" s="11" t="s">
        <v>67</v>
      </c>
      <c r="L42" s="11" t="s">
        <v>62</v>
      </c>
      <c r="M42" s="10" t="s">
        <v>79</v>
      </c>
      <c r="N42" s="10">
        <v>20</v>
      </c>
      <c r="O42" s="47">
        <v>23809600</v>
      </c>
      <c r="P42" s="47"/>
      <c r="Q42" s="47">
        <v>23809600</v>
      </c>
      <c r="R42" s="47">
        <v>23809600</v>
      </c>
      <c r="S42" s="12"/>
      <c r="T42" s="12"/>
      <c r="U42" s="46"/>
      <c r="V42" s="13">
        <v>0</v>
      </c>
      <c r="W42" s="47">
        <f t="shared" si="0"/>
        <v>0</v>
      </c>
      <c r="X42" s="64" t="s">
        <v>155</v>
      </c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1446481819</v>
      </c>
      <c r="P49" s="14">
        <f>SUM(P4:P48)</f>
        <v>1051246143.3000001</v>
      </c>
      <c r="Q49" s="14">
        <f>SUM(Q4:Q48)</f>
        <v>1446481819</v>
      </c>
      <c r="R49" s="14">
        <f t="shared" ref="R49:S49" si="1">SUM(R4:R48)</f>
        <v>1446481819</v>
      </c>
      <c r="S49" s="14">
        <f t="shared" si="1"/>
        <v>0</v>
      </c>
      <c r="T49" s="14">
        <f>SUM(T4:T48)</f>
        <v>0</v>
      </c>
      <c r="U49" s="14">
        <f>SUM(U4:U48)</f>
        <v>0</v>
      </c>
      <c r="V49" s="14">
        <f>SUM(V4:V48)</f>
        <v>1051246143.3000001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  <row r="51" spans="2:24" x14ac:dyDescent="0.3">
      <c r="W51" s="4" t="s">
        <v>153</v>
      </c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91</v>
      </c>
      <c r="E4" s="17">
        <v>202410041</v>
      </c>
      <c r="F4" s="17"/>
      <c r="G4" s="16">
        <v>241004</v>
      </c>
      <c r="H4" s="19" t="s">
        <v>92</v>
      </c>
      <c r="I4" s="17"/>
      <c r="J4" s="16"/>
      <c r="K4" s="19"/>
      <c r="L4" s="19"/>
      <c r="M4" s="19" t="s">
        <v>93</v>
      </c>
      <c r="N4" s="17"/>
      <c r="O4" s="14"/>
      <c r="P4" s="12"/>
      <c r="Q4" s="14">
        <v>957811200</v>
      </c>
      <c r="R4" s="14">
        <v>957811200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957811200</v>
      </c>
      <c r="R49" s="14">
        <f t="shared" si="0"/>
        <v>957811200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94</v>
      </c>
      <c r="E4" s="17">
        <v>202408114</v>
      </c>
      <c r="F4" s="17"/>
      <c r="G4" s="16">
        <v>240509</v>
      </c>
      <c r="H4" s="19" t="s">
        <v>95</v>
      </c>
      <c r="I4" s="17"/>
      <c r="J4" s="16"/>
      <c r="K4" s="19"/>
      <c r="L4" s="19"/>
      <c r="M4" s="19" t="s">
        <v>97</v>
      </c>
      <c r="N4" s="17"/>
      <c r="O4" s="14"/>
      <c r="P4" s="12"/>
      <c r="Q4" s="14">
        <v>207254910</v>
      </c>
      <c r="R4" s="14">
        <v>207254910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42">
        <v>2</v>
      </c>
      <c r="C5" s="9" t="s">
        <v>14</v>
      </c>
      <c r="D5" s="10" t="s">
        <v>94</v>
      </c>
      <c r="E5" s="43">
        <v>202411031</v>
      </c>
      <c r="F5" s="43"/>
      <c r="G5" s="42">
        <v>241029</v>
      </c>
      <c r="H5" s="44" t="s">
        <v>96</v>
      </c>
      <c r="I5" s="43"/>
      <c r="J5" s="42"/>
      <c r="K5" s="44"/>
      <c r="L5" s="44"/>
      <c r="M5" s="43" t="s">
        <v>98</v>
      </c>
      <c r="N5" s="43"/>
      <c r="O5" s="34">
        <v>1900000</v>
      </c>
      <c r="P5" s="34">
        <v>1900000</v>
      </c>
      <c r="Q5" s="34">
        <v>1900000</v>
      </c>
      <c r="R5" s="34">
        <v>1900000</v>
      </c>
      <c r="S5" s="34"/>
      <c r="T5" s="34"/>
      <c r="U5" s="34"/>
      <c r="V5" s="34">
        <v>1900000</v>
      </c>
      <c r="W5" s="47">
        <f>P5-V5</f>
        <v>0</v>
      </c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1900000</v>
      </c>
      <c r="P49" s="14">
        <f t="shared" ref="P49:V49" si="0">SUM(P4:P48)</f>
        <v>1900000</v>
      </c>
      <c r="Q49" s="14">
        <f t="shared" si="0"/>
        <v>209154910</v>
      </c>
      <c r="R49" s="14">
        <f t="shared" si="0"/>
        <v>209154910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1900000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100</v>
      </c>
      <c r="E4" s="17">
        <v>2024122401</v>
      </c>
      <c r="F4" s="17"/>
      <c r="G4" s="16">
        <v>241224</v>
      </c>
      <c r="H4" s="19" t="s">
        <v>102</v>
      </c>
      <c r="I4" s="17"/>
      <c r="J4" s="16"/>
      <c r="K4" s="19"/>
      <c r="L4" s="19"/>
      <c r="M4" s="19" t="s">
        <v>101</v>
      </c>
      <c r="N4" s="17"/>
      <c r="O4" s="14"/>
      <c r="P4" s="12"/>
      <c r="Q4" s="14">
        <v>11092600</v>
      </c>
      <c r="R4" s="14">
        <v>11092600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11092600</v>
      </c>
      <c r="R49" s="14">
        <f t="shared" si="0"/>
        <v>11092600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9">
        <v>1</v>
      </c>
      <c r="C4" s="9" t="s">
        <v>14</v>
      </c>
      <c r="D4" s="10" t="s">
        <v>104</v>
      </c>
      <c r="E4" s="10" t="s">
        <v>105</v>
      </c>
      <c r="F4" s="10"/>
      <c r="G4" s="9"/>
      <c r="H4" s="11"/>
      <c r="I4" s="10"/>
      <c r="J4" s="9"/>
      <c r="K4" s="11"/>
      <c r="L4" s="11"/>
      <c r="M4" s="11" t="s">
        <v>106</v>
      </c>
      <c r="N4" s="10"/>
      <c r="O4" s="12">
        <v>46840000</v>
      </c>
      <c r="P4" s="12">
        <v>46840000</v>
      </c>
      <c r="Q4" s="12">
        <v>46840000</v>
      </c>
      <c r="R4" s="12">
        <v>46840000</v>
      </c>
      <c r="S4" s="12"/>
      <c r="T4" s="12"/>
      <c r="U4" s="12"/>
      <c r="V4" s="12">
        <v>46840000</v>
      </c>
      <c r="W4" s="47">
        <f>P4-V4</f>
        <v>0</v>
      </c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46840000</v>
      </c>
      <c r="P49" s="14">
        <f t="shared" ref="P49:V49" si="0">SUM(P4:P48)</f>
        <v>46840000</v>
      </c>
      <c r="Q49" s="14">
        <f t="shared" si="0"/>
        <v>46840000</v>
      </c>
      <c r="R49" s="14">
        <f t="shared" si="0"/>
        <v>46840000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46840000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9">
        <v>1</v>
      </c>
      <c r="C4" s="9" t="s">
        <v>14</v>
      </c>
      <c r="D4" s="10" t="s">
        <v>108</v>
      </c>
      <c r="E4" s="10">
        <v>202409271</v>
      </c>
      <c r="F4" s="10"/>
      <c r="G4" s="9">
        <v>240927</v>
      </c>
      <c r="H4" s="11" t="s">
        <v>109</v>
      </c>
      <c r="I4" s="10"/>
      <c r="J4" s="9"/>
      <c r="K4" s="11"/>
      <c r="L4" s="11"/>
      <c r="M4" s="11" t="s">
        <v>110</v>
      </c>
      <c r="N4" s="10">
        <v>10</v>
      </c>
      <c r="O4" s="12">
        <v>11400000</v>
      </c>
      <c r="P4" s="12">
        <v>11400000</v>
      </c>
      <c r="Q4" s="12">
        <v>20350000</v>
      </c>
      <c r="R4" s="12">
        <v>20350000</v>
      </c>
      <c r="S4" s="12"/>
      <c r="T4" s="12"/>
      <c r="U4" s="12"/>
      <c r="V4" s="12">
        <v>11400000</v>
      </c>
      <c r="W4" s="47">
        <f>P4-V4</f>
        <v>0</v>
      </c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11400000</v>
      </c>
      <c r="P49" s="14">
        <f t="shared" ref="P49:V49" si="0">SUM(P4:P48)</f>
        <v>11400000</v>
      </c>
      <c r="Q49" s="14">
        <f t="shared" si="0"/>
        <v>20350000</v>
      </c>
      <c r="R49" s="14">
        <f t="shared" si="0"/>
        <v>20350000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11400000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ht="33" x14ac:dyDescent="0.3">
      <c r="B4" s="9">
        <v>1</v>
      </c>
      <c r="C4" s="9" t="s">
        <v>14</v>
      </c>
      <c r="D4" s="10" t="s">
        <v>112</v>
      </c>
      <c r="E4" s="10"/>
      <c r="F4" s="10"/>
      <c r="G4" s="9">
        <v>240611</v>
      </c>
      <c r="H4" s="11" t="s">
        <v>115</v>
      </c>
      <c r="I4" s="10" t="s">
        <v>113</v>
      </c>
      <c r="J4" s="9"/>
      <c r="K4" s="11"/>
      <c r="L4" s="11"/>
      <c r="M4" s="11" t="s">
        <v>119</v>
      </c>
      <c r="N4" s="10"/>
      <c r="O4" s="12">
        <v>270000000</v>
      </c>
      <c r="P4" s="12">
        <v>81000000</v>
      </c>
      <c r="Q4" s="12">
        <v>270843306</v>
      </c>
      <c r="R4" s="12">
        <v>270843306</v>
      </c>
      <c r="S4" s="14"/>
      <c r="T4" s="14"/>
      <c r="U4" s="14"/>
      <c r="V4" s="20">
        <v>81000000</v>
      </c>
      <c r="W4" s="47">
        <f>P4-V4</f>
        <v>0</v>
      </c>
      <c r="X4" s="22"/>
    </row>
    <row r="5" spans="1:24" s="32" customFormat="1" ht="33" x14ac:dyDescent="0.3">
      <c r="A5" s="26"/>
      <c r="B5" s="42">
        <v>2</v>
      </c>
      <c r="C5" s="9" t="s">
        <v>14</v>
      </c>
      <c r="D5" s="10" t="s">
        <v>111</v>
      </c>
      <c r="E5" s="43">
        <v>202406241</v>
      </c>
      <c r="F5" s="43"/>
      <c r="G5" s="42">
        <v>240829</v>
      </c>
      <c r="H5" s="44" t="s">
        <v>116</v>
      </c>
      <c r="I5" s="43" t="s">
        <v>114</v>
      </c>
      <c r="J5" s="42"/>
      <c r="K5" s="44"/>
      <c r="L5" s="44"/>
      <c r="M5" s="43" t="s">
        <v>120</v>
      </c>
      <c r="N5" s="43"/>
      <c r="O5" s="34">
        <v>140000000</v>
      </c>
      <c r="P5" s="34">
        <v>42000000</v>
      </c>
      <c r="Q5" s="34">
        <v>156423296</v>
      </c>
      <c r="R5" s="34">
        <v>156423296</v>
      </c>
      <c r="S5" s="34"/>
      <c r="T5" s="34"/>
      <c r="U5" s="34"/>
      <c r="V5" s="34">
        <v>42000000</v>
      </c>
      <c r="W5" s="47">
        <f>P5-V5</f>
        <v>0</v>
      </c>
      <c r="X5" s="28"/>
    </row>
    <row r="6" spans="1:24" s="32" customFormat="1" x14ac:dyDescent="0.3">
      <c r="B6" s="27">
        <v>3</v>
      </c>
      <c r="C6" s="16" t="s">
        <v>14</v>
      </c>
      <c r="D6" s="17" t="s">
        <v>112</v>
      </c>
      <c r="E6" s="28">
        <v>202408111</v>
      </c>
      <c r="F6" s="28"/>
      <c r="G6" s="27">
        <v>240812</v>
      </c>
      <c r="H6" s="29" t="s">
        <v>117</v>
      </c>
      <c r="I6" s="28"/>
      <c r="J6" s="27"/>
      <c r="K6" s="29"/>
      <c r="L6" s="29"/>
      <c r="M6" s="28" t="s">
        <v>121</v>
      </c>
      <c r="N6" s="28"/>
      <c r="O6" s="30"/>
      <c r="P6" s="34"/>
      <c r="Q6" s="30">
        <v>349398820</v>
      </c>
      <c r="R6" s="30">
        <v>349398820</v>
      </c>
      <c r="S6" s="30"/>
      <c r="T6" s="30"/>
      <c r="U6" s="30"/>
      <c r="V6" s="31"/>
      <c r="W6" s="14"/>
      <c r="X6" s="28"/>
    </row>
    <row r="7" spans="1:24" s="32" customFormat="1" x14ac:dyDescent="0.3">
      <c r="B7" s="27">
        <v>4</v>
      </c>
      <c r="C7" s="16" t="s">
        <v>14</v>
      </c>
      <c r="D7" s="17" t="s">
        <v>112</v>
      </c>
      <c r="E7" s="28">
        <v>2024111802</v>
      </c>
      <c r="F7" s="28"/>
      <c r="G7" s="27">
        <v>241118</v>
      </c>
      <c r="H7" s="29" t="s">
        <v>118</v>
      </c>
      <c r="I7" s="28"/>
      <c r="J7" s="27"/>
      <c r="K7" s="29"/>
      <c r="L7" s="29"/>
      <c r="M7" s="28" t="s">
        <v>122</v>
      </c>
      <c r="N7" s="28"/>
      <c r="O7" s="30"/>
      <c r="P7" s="34"/>
      <c r="Q7" s="30">
        <v>118513140</v>
      </c>
      <c r="R7" s="30">
        <v>118513140</v>
      </c>
      <c r="S7" s="30"/>
      <c r="T7" s="30"/>
      <c r="U7" s="30"/>
      <c r="V7" s="31"/>
      <c r="W7" s="14"/>
      <c r="X7" s="28"/>
    </row>
    <row r="8" spans="1:24" s="32" customFormat="1" x14ac:dyDescent="0.3">
      <c r="B8" s="27">
        <v>5</v>
      </c>
      <c r="C8" s="16" t="s">
        <v>14</v>
      </c>
      <c r="D8" s="17" t="s">
        <v>112</v>
      </c>
      <c r="E8" s="28">
        <v>2024111901</v>
      </c>
      <c r="F8" s="28"/>
      <c r="G8" s="27">
        <v>241119</v>
      </c>
      <c r="H8" s="29" t="s">
        <v>124</v>
      </c>
      <c r="I8" s="28"/>
      <c r="J8" s="27"/>
      <c r="K8" s="29"/>
      <c r="L8" s="29"/>
      <c r="M8" s="28" t="s">
        <v>123</v>
      </c>
      <c r="N8" s="28"/>
      <c r="O8" s="30"/>
      <c r="P8" s="34"/>
      <c r="Q8" s="30">
        <v>27967374</v>
      </c>
      <c r="R8" s="30"/>
      <c r="S8" s="30">
        <v>27967374</v>
      </c>
      <c r="T8" s="30"/>
      <c r="U8" s="30"/>
      <c r="V8" s="31"/>
      <c r="W8" s="14"/>
      <c r="X8" s="28"/>
    </row>
    <row r="9" spans="1:24" s="32" customFormat="1" ht="33" x14ac:dyDescent="0.3">
      <c r="B9" s="27">
        <v>6</v>
      </c>
      <c r="C9" s="16" t="s">
        <v>14</v>
      </c>
      <c r="D9" s="17" t="s">
        <v>112</v>
      </c>
      <c r="E9" s="28">
        <v>2024121901</v>
      </c>
      <c r="F9" s="28"/>
      <c r="G9" s="27">
        <v>241219</v>
      </c>
      <c r="H9" s="29" t="s">
        <v>125</v>
      </c>
      <c r="I9" s="28"/>
      <c r="J9" s="27"/>
      <c r="K9" s="29"/>
      <c r="L9" s="29"/>
      <c r="M9" s="28" t="s">
        <v>126</v>
      </c>
      <c r="N9" s="28"/>
      <c r="O9" s="30"/>
      <c r="P9" s="34"/>
      <c r="Q9" s="30">
        <v>70000000</v>
      </c>
      <c r="R9" s="30">
        <v>70000000</v>
      </c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410000000</v>
      </c>
      <c r="P49" s="14">
        <f t="shared" ref="P49:V49" si="0">SUM(P4:P48)</f>
        <v>123000000</v>
      </c>
      <c r="Q49" s="14">
        <f t="shared" si="0"/>
        <v>993145936</v>
      </c>
      <c r="R49" s="14">
        <f t="shared" si="0"/>
        <v>965178562</v>
      </c>
      <c r="S49" s="14">
        <f t="shared" si="0"/>
        <v>27967374</v>
      </c>
      <c r="T49" s="14">
        <f t="shared" si="0"/>
        <v>0</v>
      </c>
      <c r="U49" s="14">
        <f t="shared" si="0"/>
        <v>0</v>
      </c>
      <c r="V49" s="14">
        <f t="shared" si="0"/>
        <v>123000000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128</v>
      </c>
      <c r="E4" s="17">
        <v>202407031</v>
      </c>
      <c r="F4" s="17"/>
      <c r="G4" s="16">
        <v>240703</v>
      </c>
      <c r="H4" s="19" t="s">
        <v>129</v>
      </c>
      <c r="I4" s="17"/>
      <c r="J4" s="16"/>
      <c r="K4" s="19"/>
      <c r="L4" s="19"/>
      <c r="M4" s="19" t="s">
        <v>130</v>
      </c>
      <c r="N4" s="17"/>
      <c r="O4" s="14"/>
      <c r="P4" s="12"/>
      <c r="Q4" s="14">
        <v>482560000</v>
      </c>
      <c r="R4" s="14"/>
      <c r="S4" s="14">
        <v>482560000</v>
      </c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482560000</v>
      </c>
      <c r="R49" s="14">
        <f t="shared" si="0"/>
        <v>0</v>
      </c>
      <c r="S49" s="14">
        <f t="shared" si="0"/>
        <v>482560000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132</v>
      </c>
      <c r="E4" s="17">
        <v>202409061</v>
      </c>
      <c r="F4" s="17"/>
      <c r="G4" s="16">
        <v>240906</v>
      </c>
      <c r="H4" s="19" t="s">
        <v>133</v>
      </c>
      <c r="I4" s="17"/>
      <c r="J4" s="16"/>
      <c r="K4" s="19"/>
      <c r="L4" s="19"/>
      <c r="M4" s="17" t="s">
        <v>134</v>
      </c>
      <c r="N4" s="17"/>
      <c r="O4" s="14"/>
      <c r="P4" s="12"/>
      <c r="Q4" s="14">
        <v>20350000</v>
      </c>
      <c r="R4" s="14">
        <v>20350000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20350000</v>
      </c>
      <c r="R49" s="14">
        <f t="shared" si="0"/>
        <v>20350000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136</v>
      </c>
      <c r="E4" s="17">
        <v>2024110701</v>
      </c>
      <c r="F4" s="17"/>
      <c r="G4" s="16">
        <v>241107</v>
      </c>
      <c r="H4" s="19" t="s">
        <v>137</v>
      </c>
      <c r="I4" s="17"/>
      <c r="J4" s="16"/>
      <c r="K4" s="19"/>
      <c r="L4" s="19"/>
      <c r="M4" s="17" t="s">
        <v>138</v>
      </c>
      <c r="N4" s="17"/>
      <c r="O4" s="14"/>
      <c r="P4" s="12"/>
      <c r="Q4" s="14">
        <v>169299200</v>
      </c>
      <c r="R4" s="14">
        <v>169299200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169299200</v>
      </c>
      <c r="R49" s="14">
        <f t="shared" si="0"/>
        <v>169299200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141</v>
      </c>
      <c r="E4" s="17">
        <v>2024111901</v>
      </c>
      <c r="F4" s="17"/>
      <c r="G4" s="16">
        <v>241119</v>
      </c>
      <c r="H4" s="19" t="s">
        <v>139</v>
      </c>
      <c r="I4" s="17"/>
      <c r="J4" s="16"/>
      <c r="K4" s="19"/>
      <c r="L4" s="19"/>
      <c r="M4" s="17" t="s">
        <v>140</v>
      </c>
      <c r="N4" s="17"/>
      <c r="O4" s="14"/>
      <c r="P4" s="12"/>
      <c r="Q4" s="14">
        <v>216099460</v>
      </c>
      <c r="R4" s="14">
        <v>216099460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216099460</v>
      </c>
      <c r="R49" s="14">
        <f t="shared" si="0"/>
        <v>216099460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2025-02-03T05:16:18Z</dcterms:modified>
</cp:coreProperties>
</file>
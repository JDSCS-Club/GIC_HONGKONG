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주현황\"/>
    </mc:Choice>
  </mc:AlternateContent>
  <xr:revisionPtr revIDLastSave="0" documentId="13_ncr:1_{9DE448D9-6B82-4EA8-9DB5-5FB08E52FECF}" xr6:coauthVersionLast="47" xr6:coauthVersionMax="47" xr10:uidLastSave="{00000000-0000-0000-0000-000000000000}"/>
  <bookViews>
    <workbookView xWindow="-93" yWindow="-93" windowWidth="25786" windowHeight="13986" firstSheet="1" activeTab="1" xr2:uid="{00000000-000D-0000-FFFF-FFFF00000000}"/>
  </bookViews>
  <sheets>
    <sheet name="실적추이" sheetId="17" r:id="rId1"/>
    <sheet name="Total" sheetId="4" r:id="rId2"/>
    <sheet name="1.지아이씨" sheetId="5" r:id="rId3"/>
    <sheet name="2.김포골드라인" sheetId="18" r:id="rId4"/>
    <sheet name="3.교통공사" sheetId="15" r:id="rId5"/>
    <sheet name="4.실리콘큐브" sheetId="13" r:id="rId6"/>
    <sheet name="5.무한테크 (우진산전)" sheetId="19" r:id="rId7"/>
    <sheet name="6.다원시스" sheetId="12" r:id="rId8"/>
    <sheet name="7.티랩" sheetId="14" r:id="rId9"/>
    <sheet name="8.마루소프트" sheetId="20" r:id="rId10"/>
    <sheet name="9_신진금고" sheetId="2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I7" i="4"/>
  <c r="F7" i="4"/>
  <c r="E7" i="4"/>
  <c r="K6" i="4"/>
  <c r="J6" i="4"/>
  <c r="I6" i="4"/>
  <c r="K23" i="15"/>
  <c r="P5" i="15"/>
  <c r="M3" i="21"/>
  <c r="R25" i="21"/>
  <c r="Q25" i="21"/>
  <c r="P25" i="21"/>
  <c r="O25" i="21"/>
  <c r="N25" i="21"/>
  <c r="M25" i="21"/>
  <c r="F12" i="4" s="1"/>
  <c r="L25" i="21"/>
  <c r="E12" i="4" s="1"/>
  <c r="K25" i="21"/>
  <c r="F11" i="4"/>
  <c r="M3" i="20"/>
  <c r="R25" i="20"/>
  <c r="Q25" i="20"/>
  <c r="P25" i="20"/>
  <c r="O25" i="20"/>
  <c r="N25" i="20"/>
  <c r="M25" i="20"/>
  <c r="L25" i="20"/>
  <c r="E11" i="4" s="1"/>
  <c r="K25" i="20"/>
  <c r="M7" i="12"/>
  <c r="M6" i="12"/>
  <c r="O5" i="15" l="1"/>
  <c r="E8" i="4"/>
  <c r="S25" i="19"/>
  <c r="R25" i="19"/>
  <c r="K8" i="4" s="1"/>
  <c r="Q25" i="19"/>
  <c r="J8" i="4" s="1"/>
  <c r="P25" i="19"/>
  <c r="I8" i="4" s="1"/>
  <c r="G8" i="4" s="1"/>
  <c r="N25" i="19"/>
  <c r="F8" i="4" s="1"/>
  <c r="M25" i="19"/>
  <c r="L25" i="19"/>
  <c r="O3" i="19"/>
  <c r="O25" i="19" s="1"/>
  <c r="F5" i="4"/>
  <c r="R23" i="18"/>
  <c r="Q23" i="18"/>
  <c r="P23" i="18"/>
  <c r="O23" i="18"/>
  <c r="L23" i="18"/>
  <c r="E5" i="4" s="1"/>
  <c r="M4" i="18"/>
  <c r="M23" i="18" s="1"/>
  <c r="C17" i="17"/>
  <c r="C19" i="17" s="1"/>
  <c r="P14" i="5"/>
  <c r="Q14" i="5" s="1"/>
  <c r="P13" i="5"/>
  <c r="Q13" i="5" s="1"/>
  <c r="N19" i="5"/>
  <c r="P19" i="5" s="1"/>
  <c r="Q19" i="5" s="1"/>
  <c r="N18" i="5"/>
  <c r="P18" i="5" s="1"/>
  <c r="R18" i="5" s="1"/>
  <c r="N14" i="5"/>
  <c r="N13" i="5"/>
  <c r="N9" i="5"/>
  <c r="P9" i="5" s="1"/>
  <c r="Q9" i="5" s="1"/>
  <c r="M19" i="5"/>
  <c r="M18" i="5"/>
  <c r="M17" i="5"/>
  <c r="N17" i="5" s="1"/>
  <c r="P17" i="5" s="1"/>
  <c r="Q17" i="5" s="1"/>
  <c r="M16" i="5"/>
  <c r="N16" i="5" s="1"/>
  <c r="P16" i="5" s="1"/>
  <c r="R16" i="5" s="1"/>
  <c r="M15" i="5"/>
  <c r="N15" i="5" s="1"/>
  <c r="P15" i="5" s="1"/>
  <c r="Q15" i="5" s="1"/>
  <c r="M14" i="5"/>
  <c r="M13" i="5"/>
  <c r="M12" i="5"/>
  <c r="N12" i="5" s="1"/>
  <c r="P12" i="5" s="1"/>
  <c r="Q12" i="5" s="1"/>
  <c r="M11" i="5"/>
  <c r="N11" i="5" s="1"/>
  <c r="P11" i="5" s="1"/>
  <c r="Q11" i="5" s="1"/>
  <c r="M10" i="5"/>
  <c r="N10" i="5" s="1"/>
  <c r="P10" i="5" s="1"/>
  <c r="Q10" i="5" s="1"/>
  <c r="M9" i="5"/>
  <c r="C33" i="17"/>
  <c r="C35" i="17" s="1"/>
  <c r="L8" i="4" l="1"/>
  <c r="M5" i="12"/>
  <c r="Q5" i="12" s="1"/>
  <c r="Q4" i="12"/>
  <c r="R23" i="15" l="1"/>
  <c r="Q23" i="15"/>
  <c r="O23" i="15"/>
  <c r="L23" i="15"/>
  <c r="E6" i="4" s="1"/>
  <c r="P23" i="15"/>
  <c r="M4" i="15"/>
  <c r="M23" i="15" s="1"/>
  <c r="F6" i="4" s="1"/>
  <c r="N8" i="5"/>
  <c r="P8" i="5" s="1"/>
  <c r="Q8" i="5" s="1"/>
  <c r="N25" i="14" l="1"/>
  <c r="G10" i="4" s="1"/>
  <c r="R25" i="14"/>
  <c r="M10" i="4" s="1"/>
  <c r="Q25" i="14"/>
  <c r="K10" i="4" s="1"/>
  <c r="L25" i="14"/>
  <c r="E10" i="4" s="1"/>
  <c r="K25" i="14"/>
  <c r="M25" i="14"/>
  <c r="F10" i="4" s="1"/>
  <c r="G9" i="4"/>
  <c r="T26" i="13"/>
  <c r="N26" i="13"/>
  <c r="M26" i="13"/>
  <c r="S26" i="13"/>
  <c r="O4" i="13"/>
  <c r="Q4" i="13" s="1"/>
  <c r="R26" i="12"/>
  <c r="M9" i="4" s="1"/>
  <c r="L26" i="12"/>
  <c r="E9" i="4" s="1"/>
  <c r="K26" i="12"/>
  <c r="Q26" i="12"/>
  <c r="K9" i="4" s="1"/>
  <c r="M4" i="12"/>
  <c r="N7" i="5"/>
  <c r="P7" i="5" s="1"/>
  <c r="Q7" i="5" s="1"/>
  <c r="N6" i="5"/>
  <c r="P6" i="5" s="1"/>
  <c r="R6" i="5" s="1"/>
  <c r="N5" i="5"/>
  <c r="P5" i="5" s="1"/>
  <c r="Q5" i="5" s="1"/>
  <c r="M26" i="12" l="1"/>
  <c r="F9" i="4" s="1"/>
  <c r="O26" i="13"/>
  <c r="Q26" i="13"/>
  <c r="R4" i="13"/>
  <c r="G4" i="4"/>
  <c r="D4" i="4"/>
  <c r="N4" i="5"/>
  <c r="P4" i="5" s="1"/>
  <c r="Q4" i="5" s="1"/>
  <c r="R26" i="5"/>
  <c r="K4" i="4" s="1"/>
  <c r="O25" i="14" l="1"/>
  <c r="I10" i="4" s="1"/>
  <c r="L10" i="4" s="1"/>
  <c r="P25" i="14"/>
  <c r="J10" i="4" s="1"/>
  <c r="R26" i="13"/>
  <c r="O26" i="12"/>
  <c r="I9" i="4" s="1"/>
  <c r="L9" i="4" s="1"/>
  <c r="P26" i="12"/>
  <c r="J9" i="4" s="1"/>
  <c r="K20" i="4"/>
  <c r="C3" i="17" s="1"/>
  <c r="C24" i="17" s="1"/>
  <c r="C37" i="17" s="1"/>
  <c r="S26" i="5" l="1"/>
  <c r="M4" i="4" s="1"/>
  <c r="L26" i="5" l="1"/>
  <c r="M26" i="5" l="1"/>
  <c r="E4" i="4" s="1"/>
  <c r="N26" i="5" l="1"/>
  <c r="F4" i="4" s="1"/>
  <c r="P26" i="5" l="1"/>
  <c r="I4" i="4" s="1"/>
  <c r="L4" i="4" s="1"/>
  <c r="Q26" i="5" l="1"/>
  <c r="J4" i="4" s="1"/>
  <c r="J20" i="4" l="1"/>
  <c r="C2" i="17" s="1"/>
  <c r="C9" i="17" s="1"/>
  <c r="C21" i="17" s="1"/>
  <c r="G20" i="4" l="1"/>
  <c r="F20" i="4" l="1"/>
  <c r="M20" i="4"/>
  <c r="I20" i="4" l="1"/>
  <c r="E20" i="4"/>
  <c r="N20" i="4" l="1"/>
  <c r="O20" i="4" l="1"/>
  <c r="L20" i="4" l="1"/>
</calcChain>
</file>

<file path=xl/sharedStrings.xml><?xml version="1.0" encoding="utf-8"?>
<sst xmlns="http://schemas.openxmlformats.org/spreadsheetml/2006/main" count="384" uniqueCount="147">
  <si>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</si>
  <si>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</si>
  <si>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</si>
  <si>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</si>
  <si>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</si>
  <si>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</si>
  <si>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</si>
  <si>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</si>
  <si>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</si>
  <si>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</si>
  <si>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</si>
  <si>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</si>
  <si>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</si>
  <si>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</si>
  <si>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</si>
  <si>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</si>
  <si>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</si>
  <si>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</si>
  <si>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</si>
  <si>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</si>
  <si>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</si>
  <si>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</si>
  <si>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</si>
  <si>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</si>
  <si>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</si>
  <si>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</si>
  <si>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</si>
  <si>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</si>
  <si>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</si>
  <si>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</si>
  <si>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</si>
  <si>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</si>
  <si>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</si>
  <si>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</si>
  <si>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</si>
  <si>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</si>
  <si>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</si>
  <si>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</si>
  <si>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생산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</si>
  <si>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</si>
  <si>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</si>
  <si>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</si>
  <si>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</si>
  <si>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</si>
  <si>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</si>
  <si>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</si>
  <si>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</si>
  <si>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</si>
  <si>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</si>
  <si>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</si>
  <si>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</si>
  <si>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</si>
  <si>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</si>
  <si>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</si>
  <si>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</si>
  <si>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티랩</t>
    <phoneticPr fontId="1" type="noConversion"/>
  </si>
  <si>
    <t>4호선 방송편집기 소프트웨어개발</t>
    <phoneticPr fontId="1" type="noConversion"/>
  </si>
  <si>
    <t>240827</t>
    <phoneticPr fontId="1" type="noConversion"/>
  </si>
  <si>
    <t>홍콩수리품</t>
    <phoneticPr fontId="1" type="noConversion"/>
  </si>
  <si>
    <t>교통공사</t>
    <phoneticPr fontId="1" type="noConversion"/>
  </si>
  <si>
    <t>7호선3차분 CSC교체품</t>
    <phoneticPr fontId="1" type="noConversion"/>
  </si>
  <si>
    <t>DWE-2024-JUN-11-001</t>
    <phoneticPr fontId="1" type="noConversion"/>
  </si>
  <si>
    <t>250331</t>
    <phoneticPr fontId="1" type="noConversion"/>
  </si>
  <si>
    <t>서울7호선 3차분 TCMS 개조</t>
    <phoneticPr fontId="1" type="noConversion"/>
  </si>
  <si>
    <t>선급금</t>
    <phoneticPr fontId="1" type="noConversion"/>
  </si>
  <si>
    <t>DWE-2024-AUG-29-001</t>
    <phoneticPr fontId="1" type="noConversion"/>
  </si>
  <si>
    <t>250630</t>
    <phoneticPr fontId="1" type="noConversion"/>
  </si>
  <si>
    <t>원가</t>
    <phoneticPr fontId="1" type="noConversion"/>
  </si>
  <si>
    <t>경비관련</t>
    <phoneticPr fontId="1" type="noConversion"/>
  </si>
  <si>
    <t>최수연</t>
    <phoneticPr fontId="1" type="noConversion"/>
  </si>
  <si>
    <t xml:space="preserve">매출손익 </t>
    <phoneticPr fontId="1" type="noConversion"/>
  </si>
  <si>
    <t>2024 year</t>
    <phoneticPr fontId="1" type="noConversion"/>
  </si>
  <si>
    <t>억원</t>
    <phoneticPr fontId="1" type="noConversion"/>
  </si>
  <si>
    <t>2028년</t>
    <phoneticPr fontId="1" type="noConversion"/>
  </si>
  <si>
    <t>2027년</t>
    <phoneticPr fontId="1" type="noConversion"/>
  </si>
  <si>
    <t>2026년</t>
    <phoneticPr fontId="1" type="noConversion"/>
  </si>
  <si>
    <t>2025년</t>
    <phoneticPr fontId="1" type="noConversion"/>
  </si>
  <si>
    <t>2024년</t>
    <phoneticPr fontId="1" type="noConversion"/>
  </si>
  <si>
    <t>강남권</t>
    <phoneticPr fontId="1" type="noConversion"/>
  </si>
  <si>
    <t>장덕수</t>
    <phoneticPr fontId="1" type="noConversion"/>
  </si>
  <si>
    <t>지출합계</t>
    <phoneticPr fontId="1" type="noConversion"/>
  </si>
  <si>
    <t xml:space="preserve"> </t>
    <phoneticPr fontId="1" type="noConversion"/>
  </si>
  <si>
    <t>예상손익</t>
    <phoneticPr fontId="1" type="noConversion"/>
  </si>
  <si>
    <t>년도별 매출</t>
    <phoneticPr fontId="1" type="noConversion"/>
  </si>
  <si>
    <t>2024년 진행방향</t>
    <phoneticPr fontId="1" type="noConversion"/>
  </si>
  <si>
    <t>50% 매출익</t>
    <phoneticPr fontId="1" type="noConversion"/>
  </si>
  <si>
    <t>급여합계</t>
    <phoneticPr fontId="1" type="noConversion"/>
  </si>
  <si>
    <t>지출</t>
    <phoneticPr fontId="1" type="noConversion"/>
  </si>
  <si>
    <t>김용종</t>
    <phoneticPr fontId="1" type="noConversion"/>
  </si>
  <si>
    <t>2025 year</t>
    <phoneticPr fontId="1" type="noConversion"/>
  </si>
  <si>
    <t>김대양</t>
    <phoneticPr fontId="1" type="noConversion"/>
  </si>
  <si>
    <t>이동진</t>
    <phoneticPr fontId="1" type="noConversion"/>
  </si>
  <si>
    <t>CSP24-0913-1</t>
    <phoneticPr fontId="1" type="noConversion"/>
  </si>
  <si>
    <t>250131</t>
    <phoneticPr fontId="1" type="noConversion"/>
  </si>
  <si>
    <t>MSR NVR외 11종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</si>
  <si>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</si>
  <si>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</si>
  <si>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</si>
  <si>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</si>
  <si>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</si>
  <si>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</si>
  <si>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</si>
  <si>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</si>
  <si>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</si>
  <si>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</si>
  <si>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</si>
  <si>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</si>
  <si>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</si>
  <si>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</si>
  <si>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</si>
  <si>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</si>
  <si>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</si>
  <si>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</si>
  <si>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</si>
  <si>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</si>
  <si>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</si>
  <si>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</si>
  <si>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</si>
  <si>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</si>
  <si>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</si>
  <si>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5. 국내외 업체의 수주처를 발굴한다.</t>
    <phoneticPr fontId="1" type="noConversion"/>
  </si>
  <si>
    <t>1. TMS 및 PA/PIS의 기본모델을 개발/제작한다.</t>
    <phoneticPr fontId="1" type="noConversion"/>
  </si>
  <si>
    <t>2. 기존고객관리를 철저히한다.</t>
    <phoneticPr fontId="1" type="noConversion"/>
  </si>
  <si>
    <t xml:space="preserve"> 1). 지아이씨 수주를 최대로 해야 함.</t>
    <phoneticPr fontId="1" type="noConversion"/>
  </si>
  <si>
    <t xml:space="preserve"> 1). 교통공사 수주 목표로 한다.</t>
    <phoneticPr fontId="1" type="noConversion"/>
  </si>
  <si>
    <t xml:space="preserve"> 2). 김포골드라인 수주목표로 한다.</t>
    <phoneticPr fontId="1" type="noConversion"/>
  </si>
  <si>
    <t xml:space="preserve"> 2). 다원시스 수주가 원활히 이루어지도록 해야 함.</t>
    <phoneticPr fontId="1" type="noConversion"/>
  </si>
  <si>
    <t xml:space="preserve"> 3). 실리콘큐브와 티램의 수주가 되도록 영업활동을 해야 함.</t>
    <phoneticPr fontId="1" type="noConversion"/>
  </si>
  <si>
    <t xml:space="preserve"> 1). 홍콩의 제품을 기본모델로 하여 시제품을 만든다.</t>
    <phoneticPr fontId="1" type="noConversion"/>
  </si>
  <si>
    <t>김포골드라인</t>
    <phoneticPr fontId="1" type="noConversion"/>
  </si>
  <si>
    <t>241019</t>
    <phoneticPr fontId="1" type="noConversion"/>
  </si>
  <si>
    <t>김포골드라인 10량분</t>
    <phoneticPr fontId="1" type="noConversion"/>
  </si>
  <si>
    <t>무한테크</t>
    <phoneticPr fontId="1" type="noConversion"/>
  </si>
  <si>
    <t>241013</t>
    <phoneticPr fontId="1" type="noConversion"/>
  </si>
  <si>
    <t>인도네시아 MTX/MRX</t>
    <phoneticPr fontId="1" type="noConversion"/>
  </si>
  <si>
    <t>무한테크</t>
    <phoneticPr fontId="1" type="noConversion"/>
  </si>
  <si>
    <t>마루소프트</t>
    <phoneticPr fontId="1" type="noConversion"/>
  </si>
  <si>
    <t>241115</t>
    <phoneticPr fontId="1" type="noConversion"/>
  </si>
  <si>
    <t>7호선3차분CSC수리비</t>
    <phoneticPr fontId="1" type="noConversion"/>
  </si>
  <si>
    <t>7호선3차분TCMS개조관련외주용역</t>
    <phoneticPr fontId="1" type="noConversion"/>
  </si>
  <si>
    <t>고장분석기기고정용RACK시험기</t>
    <phoneticPr fontId="1" type="noConversion"/>
  </si>
  <si>
    <t>240921</t>
    <phoneticPr fontId="1" type="noConversion"/>
  </si>
  <si>
    <t>신진금고</t>
    <phoneticPr fontId="1" type="noConversion"/>
  </si>
  <si>
    <t>241122</t>
    <phoneticPr fontId="1" type="noConversion"/>
  </si>
  <si>
    <t>티렉디바이스(신진금고)_LCDDISPLAY</t>
    <phoneticPr fontId="1" type="noConversion"/>
  </si>
  <si>
    <t>인도네시아LRT_CTM_견적_240906</t>
    <phoneticPr fontId="1" type="noConversion"/>
  </si>
  <si>
    <t>Total 반영 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</si>
</sst>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[$HKD]\ #,##0.00"/>
    <numFmt numFmtId="178" formatCode="yyyy&quot;년&quot;\ m&quot;월&quot;\ d&quot;일&quot;;@"/>
    <numFmt numFmtId="179" formatCode="#,##0_);[Red]\(#,##0\)"/>
    <numFmt numFmtId="180" formatCode="#,##0.00_ "/>
    <numFmt numFmtId="181" formatCode="0.00_ 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8" fillId="0" borderId="1" xfId="0" applyFont="1" applyBorder="1">
      <alignment vertical="center"/>
    </xf>
    <xf numFmtId="4" fontId="8" fillId="0" borderId="1" xfId="0" applyNumberFormat="1" applyFont="1" applyBorder="1">
      <alignment vertical="center"/>
    </xf>
    <xf numFmtId="4" fontId="14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  <xf numFmtId="181" fontId="7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81" fontId="0" fillId="0" borderId="3" xfId="0" applyNumberFormat="1" applyBorder="1">
      <alignment vertical="center"/>
    </xf>
    <xf numFmtId="0" fontId="14" fillId="0" borderId="3" xfId="0" applyFont="1" applyBorder="1">
      <alignment vertical="center"/>
    </xf>
    <xf numFmtId="180" fontId="14" fillId="0" borderId="1" xfId="0" applyNumberFormat="1" applyFont="1" applyBorder="1">
      <alignment vertical="center"/>
    </xf>
    <xf numFmtId="3" fontId="9" fillId="0" borderId="7" xfId="0" applyNumberFormat="1" applyFont="1" applyBorder="1" applyAlignment="1">
      <alignment horizontal="center" vertical="center"/>
    </xf>
    <xf numFmtId="180" fontId="8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지아이씨 매출추이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실적추이!$B$2:$B$6</c:f>
              <c:strCache>
                <c:ptCount val="5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  <c:pt idx="4">
                  <c:v>2028년</c:v>
                </c:pt>
              </c:strCache>
            </c:strRef>
          </c:cat>
          <c:val>
            <c:numRef>
              <c:f>실적추이!$C$2:$C$6</c:f>
              <c:numCache>
                <c:formatCode>#,##0.00</c:formatCode>
                <c:ptCount val="5"/>
                <c:pt idx="0">
                  <c:v>12.79446869</c:v>
                </c:pt>
                <c:pt idx="1">
                  <c:v>6.7942254999999996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B-41FE-BEF0-A85D3444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188016"/>
        <c:axId val="1169188560"/>
      </c:lineChart>
      <c:catAx>
        <c:axId val="11691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560"/>
        <c:crosses val="autoZero"/>
        <c:auto val="1"/>
        <c:lblAlgn val="ctr"/>
        <c:lblOffset val="100"/>
        <c:noMultiLvlLbl val="0"/>
      </c:catAx>
      <c:valAx>
        <c:axId val="11691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200023</xdr:colOff>
      <xdr:row>0</xdr:row>
      <xdr:rowOff>123826</xdr:rowOff>
    </xdr:from>
    <xdr:to>
      <xdr:col>14</xdr:col>
      <xdr:colOff>133351</xdr:colOff>
      <xdr:row>17</xdr:row>
      <xdr:rowOff>161926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8FB4FE-1C69-4BFC-A23B-FCA122E8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589E-8E91-402D-8815-194943A23573}">
  <dimension ref="A1:H37"/>
  <sheetViews>
    <sheetView topLeftCell="A7" workbookViewId="0">
      <selection activeCell="L33" sqref="L33"/>
    </sheetView>
  </sheetViews>
  <sheetFormatPr defaultRowHeight="16.7"/>
  <cols>
    <col min="1" max="1" width="13" bestFit="1" customWidth="1"/>
    <col min="2" max="2" width="10.609375" bestFit="1" customWidth="1"/>
    <col min="3" max="3" width="7" bestFit="1" customWidth="1"/>
    <col min="4" max="4" width="5.5" bestFit="1" customWidth="1"/>
  </cols>
  <sheetData>
    <row r="1" spans="1:4">
      <c r="B1" t="s">
        <v>83</v>
      </c>
    </row>
    <row r="2" spans="1:4">
      <c r="B2" s="85" t="s">
        <v>77</v>
      </c>
      <c r="C2" s="86">
        <f>Total!J20/100000000</f>
        <v>12.79446869</v>
      </c>
      <c r="D2" s="85" t="s">
        <v>72</v>
      </c>
    </row>
    <row r="3" spans="1:4">
      <c r="B3" s="84" t="s">
        <v>76</v>
      </c>
      <c r="C3" s="87">
        <f>Total!K20/100000000</f>
        <v>6.7942254999999996</v>
      </c>
      <c r="D3" s="84" t="s">
        <v>72</v>
      </c>
    </row>
    <row r="4" spans="1:4">
      <c r="B4" s="84" t="s">
        <v>75</v>
      </c>
      <c r="C4" s="84"/>
      <c r="D4" s="84" t="s">
        <v>72</v>
      </c>
    </row>
    <row r="5" spans="1:4">
      <c r="B5" s="84" t="s">
        <v>74</v>
      </c>
      <c r="C5" s="84"/>
      <c r="D5" s="84" t="s">
        <v>72</v>
      </c>
    </row>
    <row r="6" spans="1:4">
      <c r="B6" s="84" t="s">
        <v>73</v>
      </c>
      <c r="C6" s="84"/>
      <c r="D6" s="84" t="s">
        <v>72</v>
      </c>
    </row>
    <row r="7" spans="1:4">
      <c r="B7" s="42"/>
      <c r="C7" s="42"/>
      <c r="D7" s="42"/>
    </row>
    <row r="8" spans="1:4">
      <c r="B8" s="42" t="s">
        <v>71</v>
      </c>
      <c r="C8" s="42"/>
      <c r="D8" s="42"/>
    </row>
    <row r="9" spans="1:4">
      <c r="A9" t="s">
        <v>85</v>
      </c>
      <c r="B9" s="20" t="s">
        <v>70</v>
      </c>
      <c r="C9" s="88">
        <f>C2*0.5</f>
        <v>6.3972343450000002</v>
      </c>
      <c r="D9" s="84" t="s">
        <v>72</v>
      </c>
    </row>
    <row r="10" spans="1:4">
      <c r="B10" s="90"/>
      <c r="C10" s="91"/>
      <c r="D10" s="92"/>
    </row>
    <row r="11" spans="1:4">
      <c r="B11" s="20" t="s">
        <v>87</v>
      </c>
      <c r="C11" s="88"/>
      <c r="D11" s="84"/>
    </row>
    <row r="12" spans="1:4">
      <c r="B12" s="20" t="s">
        <v>78</v>
      </c>
      <c r="C12" s="20">
        <v>0.9</v>
      </c>
      <c r="D12" s="84" t="s">
        <v>72</v>
      </c>
    </row>
    <row r="13" spans="1:4">
      <c r="B13" s="20" t="s">
        <v>79</v>
      </c>
      <c r="C13" s="20">
        <v>0.9</v>
      </c>
      <c r="D13" s="84" t="s">
        <v>72</v>
      </c>
    </row>
    <row r="14" spans="1:4">
      <c r="B14" s="20" t="s">
        <v>88</v>
      </c>
      <c r="C14" s="20">
        <v>0.9</v>
      </c>
      <c r="D14" s="84" t="s">
        <v>72</v>
      </c>
    </row>
    <row r="15" spans="1:4">
      <c r="B15" s="20" t="s">
        <v>69</v>
      </c>
      <c r="C15" s="20">
        <v>0.65</v>
      </c>
      <c r="D15" s="84" t="s">
        <v>72</v>
      </c>
    </row>
    <row r="16" spans="1:4">
      <c r="B16" s="20" t="s">
        <v>90</v>
      </c>
      <c r="C16" s="20">
        <v>0.55300000000000005</v>
      </c>
      <c r="D16" s="84" t="s">
        <v>72</v>
      </c>
    </row>
    <row r="17" spans="1:8">
      <c r="B17" s="23" t="s">
        <v>86</v>
      </c>
      <c r="C17" s="23">
        <f>SUM(C12:C16)</f>
        <v>3.903</v>
      </c>
      <c r="D17" s="84" t="s">
        <v>72</v>
      </c>
    </row>
    <row r="18" spans="1:8">
      <c r="B18" s="23" t="s">
        <v>68</v>
      </c>
      <c r="C18" s="23">
        <v>1</v>
      </c>
      <c r="D18" s="84" t="s">
        <v>72</v>
      </c>
    </row>
    <row r="19" spans="1:8">
      <c r="B19" s="23" t="s">
        <v>80</v>
      </c>
      <c r="C19" s="89">
        <f>SUM(C17:C18)</f>
        <v>4.9030000000000005</v>
      </c>
      <c r="D19" s="84" t="s">
        <v>72</v>
      </c>
    </row>
    <row r="21" spans="1:8">
      <c r="B21" s="85" t="s">
        <v>82</v>
      </c>
      <c r="C21" s="95">
        <f>C9-C19</f>
        <v>1.4942343449999997</v>
      </c>
      <c r="D21" s="85" t="s">
        <v>72</v>
      </c>
      <c r="F21" s="42"/>
      <c r="G21" s="42"/>
      <c r="H21" s="42"/>
    </row>
    <row r="22" spans="1:8">
      <c r="B22" t="s">
        <v>81</v>
      </c>
      <c r="F22" s="25" t="s">
        <v>84</v>
      </c>
    </row>
    <row r="23" spans="1:8">
      <c r="B23" s="42" t="s">
        <v>89</v>
      </c>
      <c r="C23" s="42"/>
      <c r="D23" s="42"/>
      <c r="F23" s="96" t="s">
        <v>121</v>
      </c>
    </row>
    <row r="24" spans="1:8">
      <c r="A24" t="s">
        <v>85</v>
      </c>
      <c r="B24" s="20" t="s">
        <v>70</v>
      </c>
      <c r="C24" s="88">
        <f>C3*0.5</f>
        <v>3.3971127499999998</v>
      </c>
      <c r="D24" s="84" t="s">
        <v>72</v>
      </c>
      <c r="F24" s="96" t="s">
        <v>128</v>
      </c>
    </row>
    <row r="25" spans="1:8">
      <c r="B25" s="90"/>
      <c r="C25" s="91"/>
      <c r="D25" s="92"/>
      <c r="F25" s="96" t="s">
        <v>122</v>
      </c>
    </row>
    <row r="26" spans="1:8">
      <c r="B26" s="20" t="s">
        <v>87</v>
      </c>
      <c r="C26" s="88"/>
      <c r="D26" s="84"/>
      <c r="F26" t="s">
        <v>123</v>
      </c>
    </row>
    <row r="27" spans="1:8">
      <c r="B27" s="20" t="s">
        <v>78</v>
      </c>
      <c r="C27" s="20">
        <v>0.9</v>
      </c>
      <c r="D27" s="84" t="s">
        <v>72</v>
      </c>
      <c r="F27" t="s">
        <v>126</v>
      </c>
    </row>
    <row r="28" spans="1:8">
      <c r="B28" s="20" t="s">
        <v>79</v>
      </c>
      <c r="C28" s="20">
        <v>0.9</v>
      </c>
      <c r="D28" s="84" t="s">
        <v>72</v>
      </c>
      <c r="F28" t="s">
        <v>127</v>
      </c>
    </row>
    <row r="29" spans="1:8">
      <c r="B29" s="20" t="s">
        <v>88</v>
      </c>
      <c r="C29" s="20">
        <v>0.9</v>
      </c>
      <c r="D29" s="84" t="s">
        <v>72</v>
      </c>
      <c r="F29" t="s">
        <v>120</v>
      </c>
    </row>
    <row r="30" spans="1:8">
      <c r="B30" s="20" t="s">
        <v>91</v>
      </c>
      <c r="C30" s="20">
        <v>0.66300000000000003</v>
      </c>
      <c r="D30" s="84" t="s">
        <v>72</v>
      </c>
      <c r="F30" t="s">
        <v>124</v>
      </c>
    </row>
    <row r="31" spans="1:8">
      <c r="B31" s="20" t="s">
        <v>69</v>
      </c>
      <c r="C31" s="20">
        <v>0.65</v>
      </c>
      <c r="D31" s="84" t="s">
        <v>72</v>
      </c>
      <c r="F31" t="s">
        <v>125</v>
      </c>
    </row>
    <row r="32" spans="1:8">
      <c r="B32" s="20" t="s">
        <v>90</v>
      </c>
      <c r="C32" s="20">
        <v>0.55300000000000005</v>
      </c>
      <c r="D32" s="84" t="s">
        <v>72</v>
      </c>
    </row>
    <row r="33" spans="2:4">
      <c r="B33" s="23" t="s">
        <v>86</v>
      </c>
      <c r="C33" s="23">
        <f>SUM(C27:C32)</f>
        <v>4.5660000000000007</v>
      </c>
      <c r="D33" s="84" t="s">
        <v>72</v>
      </c>
    </row>
    <row r="34" spans="2:4">
      <c r="B34" s="23" t="s">
        <v>68</v>
      </c>
      <c r="C34" s="23">
        <v>1</v>
      </c>
      <c r="D34" s="84" t="s">
        <v>72</v>
      </c>
    </row>
    <row r="35" spans="2:4">
      <c r="B35" s="23" t="s">
        <v>80</v>
      </c>
      <c r="C35" s="89">
        <f>SUM(C33:C34)</f>
        <v>5.5660000000000007</v>
      </c>
      <c r="D35" s="84" t="s">
        <v>72</v>
      </c>
    </row>
    <row r="37" spans="2:4">
      <c r="B37" s="84" t="s">
        <v>82</v>
      </c>
      <c r="C37" s="93">
        <f>C24-C35</f>
        <v>-2.1688872500000009</v>
      </c>
      <c r="D37" s="84" t="s">
        <v>72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1"/>
  <sheetViews>
    <sheetView tabSelected="1" workbookViewId="0">
      <selection activeCell="J8" sqref="J8"/>
    </sheetView>
  </sheetViews>
  <sheetFormatPr defaultRowHeight="16.7"/>
  <cols>
    <col min="1" max="1" width="4" customWidth="1"/>
    <col min="2" max="2" width="16.21875" style="7" customWidth="1"/>
    <col min="3" max="3" width="5.21875" style="1" bestFit="1" customWidth="1"/>
    <col min="4" max="4" width="15.21875" style="52" bestFit="1" customWidth="1"/>
    <col min="5" max="6" width="16.21875" bestFit="1" customWidth="1"/>
    <col min="7" max="7" width="15" bestFit="1" customWidth="1"/>
    <col min="8" max="8" width="1.21875" customWidth="1"/>
    <col min="9" max="9" width="15" bestFit="1" customWidth="1"/>
    <col min="10" max="11" width="14.88671875" bestFit="1" customWidth="1"/>
    <col min="12" max="13" width="14.88671875" customWidth="1"/>
    <col min="14" max="14" width="15" bestFit="1" customWidth="1"/>
    <col min="15" max="15" width="13.71875" customWidth="1"/>
    <col min="16" max="16" width="14.71875" customWidth="1"/>
    <col min="17" max="17" width="10.109375" customWidth="1"/>
  </cols>
  <sheetData>
    <row r="2" spans="2:16">
      <c r="B2" s="46"/>
      <c r="C2" s="34"/>
      <c r="D2" s="48"/>
      <c r="E2" s="101" t="s">
        <v>16</v>
      </c>
      <c r="F2" s="102"/>
      <c r="G2" s="103"/>
      <c r="H2" s="25"/>
      <c r="I2" s="35" t="s">
        <v>20</v>
      </c>
      <c r="J2" s="45"/>
      <c r="K2" s="45"/>
      <c r="L2" s="45"/>
      <c r="M2" s="45"/>
      <c r="N2" s="45"/>
      <c r="O2" s="36"/>
      <c r="P2" s="25"/>
    </row>
    <row r="3" spans="2:16" s="1" customFormat="1">
      <c r="B3" s="47" t="s">
        <v>25</v>
      </c>
      <c r="C3" s="22" t="s">
        <v>13</v>
      </c>
      <c r="D3" s="47" t="s">
        <v>39</v>
      </c>
      <c r="E3" s="22" t="s">
        <v>19</v>
      </c>
      <c r="F3" s="22" t="s">
        <v>17</v>
      </c>
      <c r="G3" s="35" t="s">
        <v>18</v>
      </c>
      <c r="H3" s="75"/>
      <c r="I3" s="36" t="s">
        <v>24</v>
      </c>
      <c r="J3" s="36" t="s">
        <v>28</v>
      </c>
      <c r="K3" s="36" t="s">
        <v>30</v>
      </c>
      <c r="L3" s="36" t="s">
        <v>22</v>
      </c>
      <c r="M3" s="22" t="s">
        <v>14</v>
      </c>
      <c r="N3" s="22" t="s">
        <v>15</v>
      </c>
      <c r="O3" s="22" t="s">
        <v>21</v>
      </c>
      <c r="P3" s="22" t="s">
        <v>5</v>
      </c>
    </row>
    <row r="4" spans="2:16">
      <c r="B4" s="55" t="s">
        <v>38</v>
      </c>
      <c r="C4" s="2">
        <v>1</v>
      </c>
      <c r="D4" s="49" t="str">
        <f>'1.지아이씨'!D4</f>
        <v>지아이씨</v>
      </c>
      <c r="E4" s="21">
        <f>'1.지아이씨'!M26</f>
        <v>1488279419</v>
      </c>
      <c r="F4" s="21">
        <f>'1.지아이씨'!N26</f>
        <v>1488279419</v>
      </c>
      <c r="G4" s="30">
        <f>'1.지아이씨'!O26</f>
        <v>0</v>
      </c>
      <c r="H4" s="76"/>
      <c r="I4" s="32">
        <f>'1.지아이씨'!P26</f>
        <v>1488279419</v>
      </c>
      <c r="J4" s="32">
        <f>'1.지아이씨'!Q26</f>
        <v>1095856869</v>
      </c>
      <c r="K4" s="32">
        <f>'1.지아이씨'!R26</f>
        <v>392422550</v>
      </c>
      <c r="L4" s="37">
        <f>I4/E4</f>
        <v>1</v>
      </c>
      <c r="M4" s="21">
        <f>'1.지아이씨'!S26</f>
        <v>0</v>
      </c>
      <c r="N4" s="21"/>
      <c r="O4" s="28"/>
      <c r="P4" s="20"/>
    </row>
    <row r="5" spans="2:16">
      <c r="B5" s="56"/>
      <c r="C5" s="2">
        <v>2</v>
      </c>
      <c r="D5" s="49" t="s">
        <v>129</v>
      </c>
      <c r="E5" s="21">
        <f>'2.김포골드라인'!L23</f>
        <v>957811200</v>
      </c>
      <c r="F5" s="21">
        <f>'2.김포골드라인'!M23</f>
        <v>957811200</v>
      </c>
      <c r="G5" s="30"/>
      <c r="H5" s="76"/>
      <c r="I5" s="32"/>
      <c r="J5" s="32"/>
      <c r="K5" s="32"/>
      <c r="L5" s="37"/>
      <c r="M5" s="21"/>
      <c r="N5" s="21"/>
      <c r="O5" s="28"/>
      <c r="P5" s="20"/>
    </row>
    <row r="6" spans="2:16">
      <c r="B6" s="56"/>
      <c r="C6" s="2">
        <v>3</v>
      </c>
      <c r="D6" s="49" t="s">
        <v>59</v>
      </c>
      <c r="E6" s="21">
        <f>'3.교통공사'!L23</f>
        <v>209604910</v>
      </c>
      <c r="F6" s="21">
        <f>'3.교통공사'!M23</f>
        <v>207254910</v>
      </c>
      <c r="G6" s="30"/>
      <c r="H6" s="76"/>
      <c r="I6" s="32">
        <f>'3.교통공사'!O23</f>
        <v>2350000</v>
      </c>
      <c r="J6" s="32">
        <f>'3.교통공사'!P23</f>
        <v>2350000</v>
      </c>
      <c r="K6" s="32">
        <f>'3.교통공사'!Q23</f>
        <v>0</v>
      </c>
      <c r="L6" s="37"/>
      <c r="M6" s="21"/>
      <c r="N6" s="21"/>
      <c r="O6" s="28"/>
      <c r="P6" s="20"/>
    </row>
    <row r="7" spans="2:16">
      <c r="B7" s="56"/>
      <c r="C7" s="2">
        <v>4</v>
      </c>
      <c r="D7" s="49" t="s">
        <v>50</v>
      </c>
      <c r="E7" s="21">
        <f>'4.실리콘큐브'!N26</f>
        <v>46840000</v>
      </c>
      <c r="F7" s="21">
        <f>'4.실리콘큐브'!O26</f>
        <v>46840000</v>
      </c>
      <c r="G7" s="30"/>
      <c r="H7" s="76"/>
      <c r="I7" s="32">
        <f>'4.실리콘큐브'!Q26</f>
        <v>46840000</v>
      </c>
      <c r="J7" s="32">
        <f>'4.실리콘큐브'!R26</f>
        <v>46840000</v>
      </c>
      <c r="K7" s="32"/>
      <c r="L7" s="37"/>
      <c r="M7" s="21"/>
      <c r="N7" s="21"/>
      <c r="O7" s="28"/>
      <c r="P7" s="20"/>
    </row>
    <row r="8" spans="2:16">
      <c r="B8" s="56"/>
      <c r="C8" s="2">
        <v>5</v>
      </c>
      <c r="D8" s="49" t="s">
        <v>135</v>
      </c>
      <c r="E8" s="21">
        <f>'5.무한테크 (우진산전)'!M3</f>
        <v>20350000</v>
      </c>
      <c r="F8" s="21">
        <f>'5.무한테크 (우진산전)'!N25</f>
        <v>0</v>
      </c>
      <c r="G8" s="30">
        <f>I8</f>
        <v>11400000</v>
      </c>
      <c r="H8" s="76"/>
      <c r="I8" s="32">
        <f>'5.무한테크 (우진산전)'!P25</f>
        <v>11400000</v>
      </c>
      <c r="J8" s="32">
        <f>'5.무한테크 (우진산전)'!Q25</f>
        <v>11400000</v>
      </c>
      <c r="K8" s="32">
        <f>'5.무한테크 (우진산전)'!R25</f>
        <v>0</v>
      </c>
      <c r="L8" s="37">
        <f>I8/E8</f>
        <v>0.56019656019656017</v>
      </c>
      <c r="M8" s="21"/>
      <c r="N8" s="21"/>
      <c r="O8" s="28"/>
      <c r="P8" s="20"/>
    </row>
    <row r="9" spans="2:16">
      <c r="B9" s="56"/>
      <c r="C9" s="2">
        <v>6</v>
      </c>
      <c r="D9" s="49" t="s">
        <v>53</v>
      </c>
      <c r="E9" s="21">
        <f>'6.다원시스'!L26</f>
        <v>862178562</v>
      </c>
      <c r="F9" s="21">
        <f>'6.다원시스'!M26</f>
        <v>862178562</v>
      </c>
      <c r="G9" s="30">
        <f>'1.지아이씨'!O26</f>
        <v>0</v>
      </c>
      <c r="H9" s="76"/>
      <c r="I9" s="32">
        <f>'6.다원시스'!O26</f>
        <v>410000000</v>
      </c>
      <c r="J9" s="32">
        <f>'6.다원시스'!P26</f>
        <v>123000000</v>
      </c>
      <c r="K9" s="32">
        <f>'6.다원시스'!Q26</f>
        <v>287000000</v>
      </c>
      <c r="L9" s="37">
        <f>I9/E9</f>
        <v>0.47553954374476781</v>
      </c>
      <c r="M9" s="21">
        <f>'6.다원시스'!R26</f>
        <v>0</v>
      </c>
      <c r="N9" s="21"/>
      <c r="O9" s="28"/>
      <c r="P9" s="20"/>
    </row>
    <row r="10" spans="2:16" s="27" customFormat="1">
      <c r="B10" s="56"/>
      <c r="C10" s="2">
        <v>7</v>
      </c>
      <c r="D10" s="50" t="s">
        <v>55</v>
      </c>
      <c r="E10" s="21">
        <f>'7.티랩'!L25</f>
        <v>0</v>
      </c>
      <c r="F10" s="21">
        <f>'7.티랩'!M25</f>
        <v>0</v>
      </c>
      <c r="G10" s="30">
        <f>'7.티랩'!N25</f>
        <v>0</v>
      </c>
      <c r="H10" s="76"/>
      <c r="I10" s="32">
        <f>'7.티랩'!O25</f>
        <v>0</v>
      </c>
      <c r="J10" s="32">
        <f>'7.티랩'!P25</f>
        <v>0</v>
      </c>
      <c r="K10" s="32">
        <f>'7.티랩'!Q25</f>
        <v>0</v>
      </c>
      <c r="L10" s="37" t="e">
        <f>I10/E10</f>
        <v>#DIV/0!</v>
      </c>
      <c r="M10" s="21">
        <f>'7.티랩'!R25</f>
        <v>0</v>
      </c>
      <c r="N10" s="21"/>
      <c r="O10" s="28"/>
      <c r="P10" s="26"/>
    </row>
    <row r="11" spans="2:16" s="27" customFormat="1">
      <c r="B11" s="56"/>
      <c r="C11" s="2">
        <v>8</v>
      </c>
      <c r="D11" s="50" t="s">
        <v>136</v>
      </c>
      <c r="E11" s="21">
        <f>'8.마루소프트'!L25</f>
        <v>20350000</v>
      </c>
      <c r="F11" s="21">
        <f>'8.마루소프트'!M25</f>
        <v>20350000</v>
      </c>
      <c r="G11" s="30"/>
      <c r="H11" s="76"/>
      <c r="I11" s="32"/>
      <c r="J11" s="32"/>
      <c r="K11" s="32"/>
      <c r="L11" s="37"/>
      <c r="M11" s="21"/>
      <c r="N11" s="21"/>
      <c r="O11" s="28"/>
      <c r="P11" s="26"/>
    </row>
    <row r="12" spans="2:16">
      <c r="B12" s="56"/>
      <c r="C12" s="2">
        <v>9</v>
      </c>
      <c r="D12" s="49" t="s">
        <v>142</v>
      </c>
      <c r="E12" s="21">
        <f>'9_신진금고'!L25</f>
        <v>169299200</v>
      </c>
      <c r="F12" s="21">
        <f>'9_신진금고'!M25</f>
        <v>169299200</v>
      </c>
      <c r="G12" s="30"/>
      <c r="H12" s="76"/>
      <c r="I12" s="32"/>
      <c r="J12" s="32"/>
      <c r="K12" s="32"/>
      <c r="L12" s="37"/>
      <c r="M12" s="21"/>
      <c r="N12" s="21"/>
      <c r="O12" s="28"/>
      <c r="P12" s="20"/>
    </row>
    <row r="13" spans="2:16">
      <c r="B13" s="56"/>
      <c r="C13" s="2"/>
      <c r="D13" s="49"/>
      <c r="E13" s="21"/>
      <c r="F13" s="21"/>
      <c r="G13" s="30"/>
      <c r="H13" s="76"/>
      <c r="I13" s="32"/>
      <c r="J13" s="32"/>
      <c r="K13" s="32"/>
      <c r="L13" s="37"/>
      <c r="M13" s="21"/>
      <c r="N13" s="21"/>
      <c r="O13" s="28"/>
      <c r="P13" s="20"/>
    </row>
    <row r="14" spans="2:16">
      <c r="B14" s="56"/>
      <c r="C14" s="2"/>
      <c r="D14" s="49"/>
      <c r="E14" s="21"/>
      <c r="F14" s="21"/>
      <c r="G14" s="30"/>
      <c r="H14" s="76"/>
      <c r="I14" s="32"/>
      <c r="J14" s="32"/>
      <c r="K14" s="32"/>
      <c r="L14" s="37"/>
      <c r="M14" s="21"/>
      <c r="N14" s="21"/>
      <c r="O14" s="28"/>
      <c r="P14" s="20"/>
    </row>
    <row r="15" spans="2:16">
      <c r="B15" s="56"/>
      <c r="C15" s="2"/>
      <c r="D15" s="49"/>
      <c r="E15" s="21"/>
      <c r="F15" s="21"/>
      <c r="G15" s="30"/>
      <c r="H15" s="76"/>
      <c r="I15" s="32"/>
      <c r="J15" s="32"/>
      <c r="K15" s="32"/>
      <c r="L15" s="37"/>
      <c r="M15" s="21"/>
      <c r="N15" s="21"/>
      <c r="O15" s="28"/>
      <c r="P15" s="20"/>
    </row>
    <row r="16" spans="2:16">
      <c r="B16" s="56"/>
      <c r="C16" s="2"/>
      <c r="D16" s="49"/>
      <c r="E16" s="21"/>
      <c r="F16" s="21"/>
      <c r="G16" s="30"/>
      <c r="H16" s="76"/>
      <c r="I16" s="32"/>
      <c r="J16" s="32"/>
      <c r="K16" s="32"/>
      <c r="L16" s="37"/>
      <c r="M16" s="21"/>
      <c r="N16" s="21"/>
      <c r="O16" s="28"/>
      <c r="P16" s="20"/>
    </row>
    <row r="17" spans="2:16">
      <c r="B17" s="56"/>
      <c r="C17" s="2"/>
      <c r="D17" s="49"/>
      <c r="E17" s="21"/>
      <c r="F17" s="21"/>
      <c r="G17" s="30"/>
      <c r="H17" s="76"/>
      <c r="I17" s="32"/>
      <c r="J17" s="32"/>
      <c r="K17" s="32"/>
      <c r="L17" s="37"/>
      <c r="M17" s="21"/>
      <c r="N17" s="21"/>
      <c r="O17" s="28"/>
      <c r="P17" s="20"/>
    </row>
    <row r="18" spans="2:16">
      <c r="B18" s="56"/>
      <c r="C18" s="2"/>
      <c r="D18" s="49"/>
      <c r="E18" s="21"/>
      <c r="F18" s="21"/>
      <c r="G18" s="30"/>
      <c r="H18" s="76"/>
      <c r="I18" s="32"/>
      <c r="J18" s="32"/>
      <c r="K18" s="32"/>
      <c r="L18" s="37"/>
      <c r="M18" s="21"/>
      <c r="N18" s="21"/>
      <c r="O18" s="28"/>
      <c r="P18" s="20"/>
    </row>
    <row r="19" spans="2:16">
      <c r="B19" s="56"/>
      <c r="C19" s="2"/>
      <c r="D19" s="49"/>
      <c r="E19" s="21"/>
      <c r="F19" s="21"/>
      <c r="G19" s="30"/>
      <c r="H19" s="76"/>
      <c r="I19" s="32"/>
      <c r="J19" s="32"/>
      <c r="K19" s="32"/>
      <c r="L19" s="37"/>
      <c r="M19" s="21"/>
      <c r="N19" s="21"/>
      <c r="O19" s="28"/>
      <c r="P19" s="20"/>
    </row>
    <row r="20" spans="2:16" s="25" customFormat="1">
      <c r="B20" s="47"/>
      <c r="C20" s="22"/>
      <c r="D20" s="51" t="s">
        <v>26</v>
      </c>
      <c r="E20" s="24">
        <f>SUM(E4:E12)</f>
        <v>3774713291</v>
      </c>
      <c r="F20" s="24">
        <f>SUM(F4:F12)</f>
        <v>3752013291</v>
      </c>
      <c r="G20" s="31">
        <f>SUM(G4:G12)</f>
        <v>11400000</v>
      </c>
      <c r="H20" s="77"/>
      <c r="I20" s="33">
        <f>SUM(I4:I12)</f>
        <v>1958869419</v>
      </c>
      <c r="J20" s="33">
        <f>SUM(J4:J12)</f>
        <v>1279446869</v>
      </c>
      <c r="K20" s="33">
        <f>SUM(K4:K11)</f>
        <v>679422550</v>
      </c>
      <c r="L20" s="38">
        <f t="shared" ref="L20" si="0">I20/E20</f>
        <v>0.5189452199377651</v>
      </c>
      <c r="M20" s="24">
        <f>SUM(M4:M12)</f>
        <v>0</v>
      </c>
      <c r="N20" s="24">
        <f>SUM(N4:N12)</f>
        <v>0</v>
      </c>
      <c r="O20" s="29">
        <f>N20/I20</f>
        <v>0</v>
      </c>
      <c r="P20" s="23"/>
    </row>
    <row r="21" spans="2:16" s="25" customFormat="1">
      <c r="B21" s="68"/>
      <c r="C21" s="69"/>
      <c r="D21" s="70"/>
      <c r="E21" s="71"/>
      <c r="F21" s="71"/>
      <c r="G21" s="71"/>
      <c r="H21" s="74"/>
      <c r="I21" s="71"/>
      <c r="J21" s="71"/>
      <c r="K21" s="71"/>
      <c r="L21" s="72"/>
      <c r="M21" s="71"/>
      <c r="N21" s="71"/>
      <c r="O21" s="72"/>
      <c r="P21" s="73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27"/>
  <sheetViews>
    <sheetView topLeftCell="B1" zoomScale="85" zoomScaleNormal="85" workbookViewId="0">
      <selection activeCell="T6" sqref="T6"/>
    </sheetView>
  </sheetViews>
  <sheetFormatPr defaultRowHeight="16.7"/>
  <cols>
    <col min="1" max="1" width="4.21875" customWidth="1"/>
    <col min="2" max="2" width="5.71875" style="1" customWidth="1"/>
    <col min="3" max="3" width="5.21875" style="1" bestFit="1" customWidth="1"/>
    <col min="4" max="4" width="8.71875" style="7" bestFit="1" customWidth="1"/>
    <col min="5" max="5" width="20.88671875" style="7" customWidth="1"/>
    <col min="6" max="6" width="14.88671875" style="7" bestFit="1" customWidth="1"/>
    <col min="7" max="7" width="9.21875" style="1" customWidth="1"/>
    <col min="8" max="8" width="9.109375" style="12" customWidth="1"/>
    <col min="9" max="9" width="5.88671875" style="12" bestFit="1" customWidth="1"/>
    <col min="10" max="10" width="33.21875" style="7" customWidth="1"/>
    <col min="11" max="11" width="11" style="7" customWidth="1"/>
    <col min="12" max="12" width="21.5" style="8" bestFit="1" customWidth="1"/>
    <col min="13" max="13" width="15.88671875" style="8" customWidth="1"/>
    <col min="14" max="16" width="16.109375" style="8" customWidth="1"/>
    <col min="17" max="18" width="18.109375" style="8" customWidth="1"/>
    <col min="19" max="19" width="16.109375" style="8" customWidth="1"/>
    <col min="20" max="20" width="12.71875" style="17" customWidth="1"/>
    <col min="21" max="21" width="17.21875" customWidth="1"/>
  </cols>
  <sheetData>
    <row r="2" spans="2:20">
      <c r="B2" s="6"/>
      <c r="C2" s="6"/>
    </row>
    <row r="3" spans="2:20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25</v>
      </c>
      <c r="K3" s="5" t="s">
        <v>33</v>
      </c>
      <c r="L3" s="9" t="s">
        <v>6</v>
      </c>
      <c r="M3" s="9" t="s">
        <v>7</v>
      </c>
      <c r="N3" s="9" t="s">
        <v>10</v>
      </c>
      <c r="O3" s="9" t="s">
        <v>11</v>
      </c>
      <c r="P3" s="9" t="s">
        <v>23</v>
      </c>
      <c r="Q3" s="9" t="s">
        <v>27</v>
      </c>
      <c r="R3" s="9" t="s">
        <v>29</v>
      </c>
      <c r="S3" s="9" t="s">
        <v>67</v>
      </c>
      <c r="T3" s="9" t="s">
        <v>5</v>
      </c>
    </row>
    <row r="4" spans="2:20" s="1" customFormat="1">
      <c r="B4" s="39">
        <v>1</v>
      </c>
      <c r="C4" s="39" t="s">
        <v>34</v>
      </c>
      <c r="D4" s="40" t="s">
        <v>35</v>
      </c>
      <c r="E4" s="40" t="s">
        <v>36</v>
      </c>
      <c r="F4" s="40"/>
      <c r="G4" s="39">
        <v>240409</v>
      </c>
      <c r="H4" s="58" t="s">
        <v>37</v>
      </c>
      <c r="I4" s="58"/>
      <c r="J4" s="58" t="s">
        <v>48</v>
      </c>
      <c r="K4" s="64"/>
      <c r="L4" s="59"/>
      <c r="M4" s="41">
        <v>423083700</v>
      </c>
      <c r="N4" s="41">
        <f t="shared" ref="N4:N9" si="0">M4</f>
        <v>423083700</v>
      </c>
      <c r="O4" s="41"/>
      <c r="P4" s="41">
        <f t="shared" ref="P4:P10" si="1">N4</f>
        <v>423083700</v>
      </c>
      <c r="Q4" s="41">
        <f>P4</f>
        <v>423083700</v>
      </c>
      <c r="R4" s="41"/>
      <c r="S4" s="41"/>
      <c r="T4" s="41"/>
    </row>
    <row r="5" spans="2:20" s="42" customFormat="1">
      <c r="B5" s="39">
        <v>2</v>
      </c>
      <c r="C5" s="39" t="s">
        <v>34</v>
      </c>
      <c r="D5" s="40" t="s">
        <v>35</v>
      </c>
      <c r="E5" s="40" t="s">
        <v>40</v>
      </c>
      <c r="F5" s="40"/>
      <c r="G5" s="39">
        <v>240409</v>
      </c>
      <c r="H5" s="58" t="s">
        <v>41</v>
      </c>
      <c r="I5" s="58"/>
      <c r="J5" s="40" t="s">
        <v>47</v>
      </c>
      <c r="K5" s="40"/>
      <c r="L5" s="59"/>
      <c r="M5" s="41">
        <v>3942000</v>
      </c>
      <c r="N5" s="41">
        <f t="shared" si="0"/>
        <v>3942000</v>
      </c>
      <c r="O5" s="41"/>
      <c r="P5" s="41">
        <f t="shared" si="1"/>
        <v>3942000</v>
      </c>
      <c r="Q5" s="41">
        <f>P5</f>
        <v>3942000</v>
      </c>
      <c r="R5" s="60"/>
      <c r="S5" s="41"/>
      <c r="T5" s="40"/>
    </row>
    <row r="6" spans="2:20" s="42" customFormat="1">
      <c r="B6" s="54">
        <v>3</v>
      </c>
      <c r="C6" s="54" t="s">
        <v>34</v>
      </c>
      <c r="D6" s="53" t="s">
        <v>35</v>
      </c>
      <c r="E6" s="53" t="s">
        <v>42</v>
      </c>
      <c r="F6" s="53"/>
      <c r="G6" s="54">
        <v>240524</v>
      </c>
      <c r="H6" s="65" t="s">
        <v>43</v>
      </c>
      <c r="I6" s="65"/>
      <c r="J6" s="53" t="s">
        <v>44</v>
      </c>
      <c r="K6" s="53"/>
      <c r="L6" s="66"/>
      <c r="M6" s="67">
        <v>350710750</v>
      </c>
      <c r="N6" s="67">
        <f t="shared" si="0"/>
        <v>350710750</v>
      </c>
      <c r="O6" s="67"/>
      <c r="P6" s="67">
        <f t="shared" si="1"/>
        <v>350710750</v>
      </c>
      <c r="Q6" s="67"/>
      <c r="R6" s="94">
        <f>P6</f>
        <v>350710750</v>
      </c>
      <c r="S6" s="67"/>
      <c r="T6" s="40"/>
    </row>
    <row r="7" spans="2:20" s="42" customFormat="1">
      <c r="B7" s="39">
        <v>4</v>
      </c>
      <c r="C7" s="39" t="s">
        <v>34</v>
      </c>
      <c r="D7" s="40" t="s">
        <v>35</v>
      </c>
      <c r="E7" s="40" t="s">
        <v>45</v>
      </c>
      <c r="F7" s="40"/>
      <c r="G7" s="39">
        <v>240524</v>
      </c>
      <c r="H7" s="58" t="s">
        <v>46</v>
      </c>
      <c r="I7" s="58"/>
      <c r="J7" s="40" t="s">
        <v>49</v>
      </c>
      <c r="K7" s="40"/>
      <c r="L7" s="59"/>
      <c r="M7" s="41">
        <v>197810000</v>
      </c>
      <c r="N7" s="41">
        <f t="shared" si="0"/>
        <v>197810000</v>
      </c>
      <c r="O7" s="41"/>
      <c r="P7" s="41">
        <f t="shared" si="1"/>
        <v>197810000</v>
      </c>
      <c r="Q7" s="41">
        <f>P7</f>
        <v>197810000</v>
      </c>
      <c r="R7" s="41"/>
      <c r="S7" s="41"/>
      <c r="T7" s="40"/>
    </row>
    <row r="8" spans="2:20" s="42" customFormat="1">
      <c r="B8" s="39">
        <v>5</v>
      </c>
      <c r="C8" s="39" t="s">
        <v>34</v>
      </c>
      <c r="D8" s="40" t="s">
        <v>35</v>
      </c>
      <c r="E8" s="40" t="s">
        <v>92</v>
      </c>
      <c r="F8" s="40"/>
      <c r="G8" s="39">
        <v>240913</v>
      </c>
      <c r="H8" s="58" t="s">
        <v>93</v>
      </c>
      <c r="I8" s="58"/>
      <c r="J8" s="40" t="s">
        <v>94</v>
      </c>
      <c r="K8" s="40"/>
      <c r="L8" s="59"/>
      <c r="M8" s="41">
        <v>351015169</v>
      </c>
      <c r="N8" s="41">
        <f t="shared" si="0"/>
        <v>351015169</v>
      </c>
      <c r="O8" s="41"/>
      <c r="P8" s="41">
        <f t="shared" si="1"/>
        <v>351015169</v>
      </c>
      <c r="Q8" s="41">
        <f>P8</f>
        <v>351015169</v>
      </c>
      <c r="R8" s="41"/>
      <c r="S8" s="41"/>
      <c r="T8" s="40"/>
    </row>
    <row r="9" spans="2:20" s="42" customFormat="1">
      <c r="B9" s="39">
        <v>6</v>
      </c>
      <c r="C9" s="39" t="s">
        <v>34</v>
      </c>
      <c r="D9" s="40" t="s">
        <v>35</v>
      </c>
      <c r="E9" s="40" t="s">
        <v>95</v>
      </c>
      <c r="F9" s="40"/>
      <c r="G9" s="39">
        <v>240923</v>
      </c>
      <c r="H9" s="58" t="s">
        <v>118</v>
      </c>
      <c r="I9" s="58" t="s">
        <v>107</v>
      </c>
      <c r="J9" s="40" t="s">
        <v>96</v>
      </c>
      <c r="K9" s="40">
        <v>10</v>
      </c>
      <c r="L9" s="59"/>
      <c r="M9" s="41">
        <f>291760*K9</f>
        <v>2917600</v>
      </c>
      <c r="N9" s="41">
        <f t="shared" si="0"/>
        <v>2917600</v>
      </c>
      <c r="O9" s="41"/>
      <c r="P9" s="41">
        <f t="shared" si="1"/>
        <v>2917600</v>
      </c>
      <c r="Q9" s="41">
        <f>P9</f>
        <v>2917600</v>
      </c>
      <c r="R9" s="41"/>
      <c r="S9" s="41"/>
      <c r="T9" s="40"/>
    </row>
    <row r="10" spans="2:20" s="42" customFormat="1">
      <c r="B10" s="39"/>
      <c r="C10" s="39"/>
      <c r="D10" s="40"/>
      <c r="E10" s="40"/>
      <c r="F10" s="40"/>
      <c r="G10" s="39"/>
      <c r="H10" s="58" t="s">
        <v>118</v>
      </c>
      <c r="I10" s="58" t="s">
        <v>108</v>
      </c>
      <c r="J10" s="40" t="s">
        <v>97</v>
      </c>
      <c r="K10" s="40">
        <v>10</v>
      </c>
      <c r="L10" s="59"/>
      <c r="M10" s="41">
        <f>818880*K10</f>
        <v>8188800</v>
      </c>
      <c r="N10" s="41">
        <f t="shared" ref="N10:N19" si="2">M10</f>
        <v>8188800</v>
      </c>
      <c r="O10" s="41"/>
      <c r="P10" s="41">
        <f t="shared" si="1"/>
        <v>8188800</v>
      </c>
      <c r="Q10" s="41">
        <f>P10</f>
        <v>8188800</v>
      </c>
      <c r="R10" s="41"/>
      <c r="S10" s="41"/>
      <c r="T10" s="40"/>
    </row>
    <row r="11" spans="2:20" s="42" customFormat="1">
      <c r="B11" s="43"/>
      <c r="C11" s="43"/>
      <c r="D11" s="44"/>
      <c r="E11" s="44"/>
      <c r="F11" s="44"/>
      <c r="G11" s="43"/>
      <c r="H11" s="58" t="s">
        <v>118</v>
      </c>
      <c r="I11" s="58" t="s">
        <v>109</v>
      </c>
      <c r="J11" s="40" t="s">
        <v>98</v>
      </c>
      <c r="K11" s="40">
        <v>20</v>
      </c>
      <c r="L11" s="63"/>
      <c r="M11" s="41">
        <f>938410*K11</f>
        <v>18768200</v>
      </c>
      <c r="N11" s="41">
        <f t="shared" si="2"/>
        <v>18768200</v>
      </c>
      <c r="O11" s="19"/>
      <c r="P11" s="41">
        <f t="shared" ref="P11:P19" si="3">N11</f>
        <v>18768200</v>
      </c>
      <c r="Q11" s="41">
        <f>P11</f>
        <v>18768200</v>
      </c>
      <c r="R11" s="19"/>
      <c r="S11" s="19"/>
      <c r="T11" s="44"/>
    </row>
    <row r="12" spans="2:20" s="42" customFormat="1">
      <c r="B12" s="43"/>
      <c r="C12" s="43"/>
      <c r="D12" s="44"/>
      <c r="E12" s="44"/>
      <c r="F12" s="44"/>
      <c r="G12" s="43"/>
      <c r="H12" s="58" t="s">
        <v>118</v>
      </c>
      <c r="I12" s="58" t="s">
        <v>110</v>
      </c>
      <c r="J12" s="40" t="s">
        <v>99</v>
      </c>
      <c r="K12" s="40">
        <v>10</v>
      </c>
      <c r="L12" s="63"/>
      <c r="M12" s="41">
        <f>187450*K12</f>
        <v>1874500</v>
      </c>
      <c r="N12" s="41">
        <f t="shared" si="2"/>
        <v>1874500</v>
      </c>
      <c r="O12" s="19"/>
      <c r="P12" s="41">
        <f t="shared" si="3"/>
        <v>1874500</v>
      </c>
      <c r="Q12" s="41">
        <f t="shared" ref="Q12:Q19" si="4">P12</f>
        <v>1874500</v>
      </c>
      <c r="R12" s="19"/>
      <c r="S12" s="19"/>
      <c r="T12" s="44"/>
    </row>
    <row r="13" spans="2:20" s="42" customFormat="1">
      <c r="B13" s="43"/>
      <c r="C13" s="43"/>
      <c r="D13" s="44"/>
      <c r="E13" s="44"/>
      <c r="F13" s="44"/>
      <c r="G13" s="43"/>
      <c r="H13" s="58" t="s">
        <v>118</v>
      </c>
      <c r="I13" s="58" t="s">
        <v>111</v>
      </c>
      <c r="J13" s="40" t="s">
        <v>100</v>
      </c>
      <c r="K13" s="40">
        <v>10</v>
      </c>
      <c r="L13" s="63"/>
      <c r="M13" s="41">
        <f>224480*K13</f>
        <v>2244800</v>
      </c>
      <c r="N13" s="41">
        <f t="shared" si="2"/>
        <v>2244800</v>
      </c>
      <c r="O13" s="19"/>
      <c r="P13" s="41">
        <f t="shared" si="3"/>
        <v>2244800</v>
      </c>
      <c r="Q13" s="41">
        <f t="shared" si="4"/>
        <v>2244800</v>
      </c>
      <c r="R13" s="19"/>
      <c r="S13" s="19"/>
      <c r="T13" s="44"/>
    </row>
    <row r="14" spans="2:20" s="42" customFormat="1">
      <c r="B14" s="43"/>
      <c r="C14" s="43"/>
      <c r="D14" s="44"/>
      <c r="E14" s="44"/>
      <c r="F14" s="44"/>
      <c r="G14" s="43"/>
      <c r="H14" s="58" t="s">
        <v>118</v>
      </c>
      <c r="I14" s="58" t="s">
        <v>112</v>
      </c>
      <c r="J14" s="40" t="s">
        <v>101</v>
      </c>
      <c r="K14" s="40">
        <v>10</v>
      </c>
      <c r="L14" s="63"/>
      <c r="M14" s="41">
        <f>936830*K14</f>
        <v>9368300</v>
      </c>
      <c r="N14" s="41">
        <f t="shared" si="2"/>
        <v>9368300</v>
      </c>
      <c r="O14" s="19"/>
      <c r="P14" s="41">
        <f t="shared" si="3"/>
        <v>9368300</v>
      </c>
      <c r="Q14" s="41">
        <f t="shared" si="4"/>
        <v>9368300</v>
      </c>
      <c r="R14" s="19"/>
      <c r="S14" s="19"/>
      <c r="T14" s="44"/>
    </row>
    <row r="15" spans="2:20" s="42" customFormat="1">
      <c r="B15" s="39"/>
      <c r="C15" s="39"/>
      <c r="D15" s="40"/>
      <c r="E15" s="40"/>
      <c r="F15" s="40"/>
      <c r="G15" s="39"/>
      <c r="H15" s="58" t="s">
        <v>118</v>
      </c>
      <c r="I15" s="58" t="s">
        <v>113</v>
      </c>
      <c r="J15" s="40" t="s">
        <v>102</v>
      </c>
      <c r="K15" s="40">
        <v>10</v>
      </c>
      <c r="L15" s="59"/>
      <c r="M15" s="41">
        <f>1035220*K15</f>
        <v>10352200</v>
      </c>
      <c r="N15" s="41">
        <f t="shared" si="2"/>
        <v>10352200</v>
      </c>
      <c r="O15" s="41"/>
      <c r="P15" s="41">
        <f t="shared" si="3"/>
        <v>10352200</v>
      </c>
      <c r="Q15" s="41">
        <f t="shared" si="4"/>
        <v>10352200</v>
      </c>
      <c r="R15" s="41"/>
      <c r="S15" s="41"/>
      <c r="T15" s="40"/>
    </row>
    <row r="16" spans="2:20" s="42" customFormat="1">
      <c r="B16" s="43"/>
      <c r="C16" s="43"/>
      <c r="D16" s="44"/>
      <c r="E16" s="44"/>
      <c r="F16" s="44"/>
      <c r="G16" s="43"/>
      <c r="H16" s="65" t="s">
        <v>119</v>
      </c>
      <c r="I16" s="65" t="s">
        <v>114</v>
      </c>
      <c r="J16" s="53" t="s">
        <v>103</v>
      </c>
      <c r="K16" s="53">
        <v>10</v>
      </c>
      <c r="L16" s="66"/>
      <c r="M16" s="67">
        <f>3233680*K16</f>
        <v>32336800</v>
      </c>
      <c r="N16" s="67">
        <f t="shared" si="2"/>
        <v>32336800</v>
      </c>
      <c r="O16" s="67"/>
      <c r="P16" s="67">
        <f t="shared" si="3"/>
        <v>32336800</v>
      </c>
      <c r="Q16" s="41"/>
      <c r="R16" s="67">
        <f>P16</f>
        <v>32336800</v>
      </c>
      <c r="S16" s="67"/>
      <c r="T16" s="44"/>
    </row>
    <row r="17" spans="2:20" s="42" customFormat="1">
      <c r="B17" s="43"/>
      <c r="C17" s="43"/>
      <c r="D17" s="44"/>
      <c r="E17" s="44"/>
      <c r="F17" s="44"/>
      <c r="G17" s="43"/>
      <c r="H17" s="58" t="s">
        <v>118</v>
      </c>
      <c r="I17" s="58" t="s">
        <v>115</v>
      </c>
      <c r="J17" s="40" t="s">
        <v>104</v>
      </c>
      <c r="K17" s="40">
        <v>10</v>
      </c>
      <c r="L17" s="63"/>
      <c r="M17" s="41">
        <f>2058600*K17</f>
        <v>20586000</v>
      </c>
      <c r="N17" s="41">
        <f t="shared" si="2"/>
        <v>20586000</v>
      </c>
      <c r="O17" s="19"/>
      <c r="P17" s="41">
        <f t="shared" si="3"/>
        <v>20586000</v>
      </c>
      <c r="Q17" s="41">
        <f t="shared" si="4"/>
        <v>20586000</v>
      </c>
      <c r="R17" s="19"/>
      <c r="S17" s="19"/>
      <c r="T17" s="44"/>
    </row>
    <row r="18" spans="2:20" s="42" customFormat="1">
      <c r="B18" s="43"/>
      <c r="C18" s="43"/>
      <c r="D18" s="44"/>
      <c r="E18" s="44"/>
      <c r="F18" s="44"/>
      <c r="G18" s="43"/>
      <c r="H18" s="65" t="s">
        <v>119</v>
      </c>
      <c r="I18" s="65" t="s">
        <v>116</v>
      </c>
      <c r="J18" s="53" t="s">
        <v>105</v>
      </c>
      <c r="K18" s="53">
        <v>10</v>
      </c>
      <c r="L18" s="66"/>
      <c r="M18" s="67">
        <f>937500*K18</f>
        <v>9375000</v>
      </c>
      <c r="N18" s="67">
        <f t="shared" si="2"/>
        <v>9375000</v>
      </c>
      <c r="O18" s="67"/>
      <c r="P18" s="67">
        <f t="shared" si="3"/>
        <v>9375000</v>
      </c>
      <c r="Q18" s="41"/>
      <c r="R18" s="67">
        <f>P18</f>
        <v>9375000</v>
      </c>
      <c r="S18" s="67"/>
      <c r="T18" s="44"/>
    </row>
    <row r="19" spans="2:20" s="42" customFormat="1">
      <c r="B19" s="43"/>
      <c r="C19" s="43"/>
      <c r="D19" s="44"/>
      <c r="E19" s="44"/>
      <c r="F19" s="44"/>
      <c r="G19" s="43"/>
      <c r="H19" s="58" t="s">
        <v>118</v>
      </c>
      <c r="I19" s="58" t="s">
        <v>117</v>
      </c>
      <c r="J19" s="40" t="s">
        <v>106</v>
      </c>
      <c r="K19" s="40">
        <v>20</v>
      </c>
      <c r="L19" s="63"/>
      <c r="M19" s="41">
        <f>2285280*K19</f>
        <v>45705600</v>
      </c>
      <c r="N19" s="41">
        <f t="shared" si="2"/>
        <v>45705600</v>
      </c>
      <c r="O19" s="19"/>
      <c r="P19" s="41">
        <f t="shared" si="3"/>
        <v>45705600</v>
      </c>
      <c r="Q19" s="41">
        <f t="shared" si="4"/>
        <v>45705600</v>
      </c>
      <c r="R19" s="19"/>
      <c r="S19" s="19"/>
      <c r="T19" s="44"/>
    </row>
    <row r="20" spans="2:20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63"/>
      <c r="M24" s="19"/>
      <c r="N24" s="19"/>
      <c r="O24" s="19"/>
      <c r="P24" s="19"/>
      <c r="Q24" s="19"/>
      <c r="R24" s="19"/>
      <c r="S24" s="19"/>
      <c r="T24" s="44"/>
    </row>
    <row r="25" spans="2:20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63"/>
      <c r="M25" s="19"/>
      <c r="N25" s="19"/>
      <c r="O25" s="19"/>
      <c r="P25" s="19"/>
      <c r="Q25" s="19"/>
      <c r="R25" s="19"/>
      <c r="S25" s="19"/>
      <c r="T25" s="44"/>
    </row>
    <row r="26" spans="2:20">
      <c r="B26" s="2"/>
      <c r="C26" s="104" t="s">
        <v>12</v>
      </c>
      <c r="D26" s="105"/>
      <c r="E26" s="105"/>
      <c r="F26" s="105"/>
      <c r="G26" s="105"/>
      <c r="H26" s="105"/>
      <c r="I26" s="105"/>
      <c r="J26" s="57"/>
      <c r="K26" s="57"/>
      <c r="L26" s="11">
        <f>SUM(L4:L25)</f>
        <v>0</v>
      </c>
      <c r="M26" s="16">
        <f>SUM(M4:M25)</f>
        <v>1488279419</v>
      </c>
      <c r="N26" s="10">
        <f>SUM(N4:N25)</f>
        <v>1488279419</v>
      </c>
      <c r="O26" s="10"/>
      <c r="P26" s="16">
        <f>SUM(P4:P25)</f>
        <v>1488279419</v>
      </c>
      <c r="Q26" s="16">
        <f>SUM(Q4:Q25)</f>
        <v>1095856869</v>
      </c>
      <c r="R26" s="16">
        <f>SUM(R4:R25)</f>
        <v>392422550</v>
      </c>
      <c r="S26" s="16">
        <f>SUM(S4:S25)</f>
        <v>0</v>
      </c>
      <c r="T26" s="9"/>
    </row>
    <row r="27" spans="2:20">
      <c r="M27" s="15"/>
      <c r="O27" s="13"/>
      <c r="P27" s="14"/>
      <c r="Q27" s="14"/>
      <c r="R27" s="14"/>
      <c r="S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2288-55C1-4CD4-AD9E-F7C43E203E90}">
  <dimension ref="B2:S24"/>
  <sheetViews>
    <sheetView workbookViewId="0">
      <selection activeCell="I13" sqref="I13"/>
    </sheetView>
  </sheetViews>
  <sheetFormatPr defaultRowHeight="16.7"/>
  <cols>
    <col min="1" max="1" width="4.21875" customWidth="1"/>
    <col min="2" max="2" width="5.71875" style="1" customWidth="1"/>
    <col min="3" max="3" width="5.21875" style="1" bestFit="1" customWidth="1"/>
    <col min="4" max="4" width="16" style="7" customWidth="1"/>
    <col min="5" max="5" width="20.88671875" style="7" customWidth="1"/>
    <col min="6" max="6" width="14.88671875" style="7" bestFit="1" customWidth="1"/>
    <col min="7" max="7" width="10.71875" style="1" customWidth="1"/>
    <col min="8" max="8" width="10.71875" style="12" customWidth="1"/>
    <col min="9" max="9" width="38.609375" style="12" customWidth="1"/>
    <col min="10" max="10" width="11" style="7" customWidth="1"/>
    <col min="11" max="11" width="21.5" style="8" bestFit="1" customWidth="1"/>
    <col min="12" max="12" width="15.88671875" style="8" customWidth="1"/>
    <col min="13" max="15" width="16.109375" style="8" customWidth="1"/>
    <col min="16" max="17" width="18.109375" style="8" customWidth="1"/>
    <col min="18" max="18" width="16.109375" style="8" customWidth="1"/>
    <col min="19" max="19" width="5.609375" style="17" bestFit="1" customWidth="1"/>
    <col min="20" max="20" width="17.21875" customWidth="1"/>
  </cols>
  <sheetData>
    <row r="2" spans="2:19">
      <c r="B2" s="6"/>
      <c r="C2" s="6"/>
    </row>
    <row r="3" spans="2:19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83" customFormat="1">
      <c r="B4" s="22">
        <v>1</v>
      </c>
      <c r="C4" s="22" t="s">
        <v>34</v>
      </c>
      <c r="D4" s="47" t="s">
        <v>129</v>
      </c>
      <c r="E4" s="47">
        <v>202410041</v>
      </c>
      <c r="F4" s="47"/>
      <c r="G4" s="22">
        <v>241004</v>
      </c>
      <c r="H4" s="80" t="s">
        <v>130</v>
      </c>
      <c r="I4" s="16" t="s">
        <v>131</v>
      </c>
      <c r="J4" s="81"/>
      <c r="K4" s="82"/>
      <c r="L4" s="16">
        <v>957811200</v>
      </c>
      <c r="M4" s="16">
        <f>L4</f>
        <v>957811200</v>
      </c>
      <c r="N4" s="16"/>
      <c r="O4" s="16"/>
      <c r="P4" s="16"/>
      <c r="Q4" s="16"/>
      <c r="R4" s="16"/>
      <c r="S4" s="16"/>
    </row>
    <row r="5" spans="2:19" s="42" customFormat="1">
      <c r="B5" s="43"/>
      <c r="C5" s="43"/>
      <c r="D5" s="44"/>
      <c r="E5" s="44"/>
      <c r="F5" s="44"/>
      <c r="G5" s="43"/>
      <c r="H5" s="65"/>
      <c r="I5" s="65"/>
      <c r="J5" s="53"/>
      <c r="K5" s="66"/>
      <c r="L5" s="67"/>
      <c r="M5" s="67"/>
      <c r="N5" s="67"/>
      <c r="O5" s="67"/>
      <c r="P5" s="67"/>
      <c r="Q5" s="67"/>
      <c r="R5" s="67"/>
      <c r="S5" s="53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39"/>
      <c r="C7" s="39"/>
      <c r="D7" s="40"/>
      <c r="E7" s="40"/>
      <c r="F7" s="40"/>
      <c r="G7" s="39"/>
      <c r="H7" s="61"/>
      <c r="I7" s="58"/>
      <c r="J7" s="40"/>
      <c r="K7" s="59"/>
      <c r="L7" s="41"/>
      <c r="M7" s="41"/>
      <c r="N7" s="41"/>
      <c r="O7" s="41"/>
      <c r="P7" s="41"/>
      <c r="Q7" s="41"/>
      <c r="R7" s="41"/>
      <c r="S7" s="40"/>
    </row>
    <row r="8" spans="2:19" s="42" customFormat="1">
      <c r="B8" s="43"/>
      <c r="C8" s="43"/>
      <c r="D8" s="44"/>
      <c r="E8" s="44"/>
      <c r="F8" s="44"/>
      <c r="G8" s="43"/>
      <c r="H8" s="62"/>
      <c r="I8" s="62"/>
      <c r="J8" s="44"/>
      <c r="K8" s="63"/>
      <c r="L8" s="19"/>
      <c r="M8" s="19"/>
      <c r="N8" s="19"/>
      <c r="O8" s="19"/>
      <c r="P8" s="19"/>
      <c r="Q8" s="19"/>
      <c r="R8" s="19"/>
      <c r="S8" s="44"/>
    </row>
    <row r="9" spans="2:19" s="42" customFormat="1">
      <c r="B9" s="43"/>
      <c r="C9" s="43"/>
      <c r="D9" s="44"/>
      <c r="E9" s="44"/>
      <c r="F9" s="44"/>
      <c r="G9" s="43"/>
      <c r="H9" s="62"/>
      <c r="I9" s="62"/>
      <c r="J9" s="44"/>
      <c r="K9" s="63"/>
      <c r="L9" s="19"/>
      <c r="M9" s="19"/>
      <c r="N9" s="19"/>
      <c r="O9" s="19"/>
      <c r="P9" s="19"/>
      <c r="Q9" s="19"/>
      <c r="R9" s="19"/>
      <c r="S9" s="44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39"/>
      <c r="C12" s="39"/>
      <c r="D12" s="40"/>
      <c r="E12" s="40"/>
      <c r="F12" s="40"/>
      <c r="G12" s="39"/>
      <c r="H12" s="58"/>
      <c r="I12" s="58"/>
      <c r="J12" s="40"/>
      <c r="K12" s="59"/>
      <c r="L12" s="41"/>
      <c r="M12" s="41"/>
      <c r="N12" s="41"/>
      <c r="O12" s="41"/>
      <c r="P12" s="41"/>
      <c r="Q12" s="41"/>
      <c r="R12" s="41"/>
      <c r="S12" s="40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>
      <c r="B23" s="2"/>
      <c r="C23" s="104" t="s">
        <v>12</v>
      </c>
      <c r="D23" s="105"/>
      <c r="E23" s="105"/>
      <c r="F23" s="105"/>
      <c r="G23" s="105"/>
      <c r="H23" s="105"/>
      <c r="I23" s="105"/>
      <c r="J23" s="57"/>
      <c r="K23" s="11"/>
      <c r="L23" s="16">
        <f>SUM(L4:L22)</f>
        <v>957811200</v>
      </c>
      <c r="M23" s="10">
        <f>SUM(M4:M22)</f>
        <v>957811200</v>
      </c>
      <c r="N23" s="10"/>
      <c r="O23" s="16">
        <f>SUM(O4:O22)</f>
        <v>0</v>
      </c>
      <c r="P23" s="16">
        <f>SUM(P4:P22)</f>
        <v>0</v>
      </c>
      <c r="Q23" s="16">
        <f>SUM(Q4:Q22)</f>
        <v>0</v>
      </c>
      <c r="R23" s="16">
        <f>SUM(R4:R22)</f>
        <v>0</v>
      </c>
      <c r="S23" s="9"/>
    </row>
    <row r="24" spans="2:19">
      <c r="L24" s="15"/>
      <c r="N24" s="13"/>
      <c r="O24" s="14"/>
      <c r="P24" s="14"/>
      <c r="Q24" s="14"/>
      <c r="R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B949-D677-4E2F-92FA-809AB42C3220}">
  <dimension ref="B2:S24"/>
  <sheetViews>
    <sheetView topLeftCell="E1" zoomScaleNormal="100" workbookViewId="0">
      <selection activeCell="S5" sqref="S5"/>
    </sheetView>
  </sheetViews>
  <sheetFormatPr defaultRowHeight="16.7"/>
  <cols>
    <col min="1" max="1" width="4.21875" customWidth="1"/>
    <col min="2" max="2" width="5.71875" style="1" customWidth="1"/>
    <col min="3" max="3" width="5.21875" style="1" bestFit="1" customWidth="1"/>
    <col min="4" max="4" width="8.71875" style="7" bestFit="1" customWidth="1"/>
    <col min="5" max="5" width="12.21875" style="7" customWidth="1"/>
    <col min="6" max="6" width="14.88671875" style="7" bestFit="1" customWidth="1"/>
    <col min="7" max="7" width="10.71875" style="1" customWidth="1"/>
    <col min="8" max="8" width="10.71875" style="12" customWidth="1"/>
    <col min="9" max="9" width="33.609375" style="12" customWidth="1"/>
    <col min="10" max="10" width="11" style="7" customWidth="1"/>
    <col min="11" max="11" width="18.109375" style="8" customWidth="1"/>
    <col min="12" max="12" width="15.88671875" style="8" customWidth="1"/>
    <col min="13" max="15" width="16.109375" style="8" customWidth="1"/>
    <col min="16" max="17" width="18.109375" style="8" customWidth="1"/>
    <col min="18" max="18" width="16.109375" style="8" customWidth="1"/>
    <col min="19" max="19" width="13.38671875" style="17" bestFit="1" customWidth="1"/>
    <col min="20" max="20" width="17.21875" customWidth="1"/>
  </cols>
  <sheetData>
    <row r="2" spans="2:19">
      <c r="B2" s="6"/>
      <c r="C2" s="6"/>
    </row>
    <row r="3" spans="2:19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98" customFormat="1">
      <c r="B4" s="43">
        <v>1</v>
      </c>
      <c r="C4" s="43" t="s">
        <v>34</v>
      </c>
      <c r="D4" s="44" t="s">
        <v>59</v>
      </c>
      <c r="E4" s="44">
        <v>202408114</v>
      </c>
      <c r="F4" s="44"/>
      <c r="G4" s="43">
        <v>240509</v>
      </c>
      <c r="H4" s="62" t="s">
        <v>54</v>
      </c>
      <c r="I4" s="19" t="s">
        <v>60</v>
      </c>
      <c r="J4" s="78"/>
      <c r="K4" s="63"/>
      <c r="L4" s="19">
        <v>207254910</v>
      </c>
      <c r="M4" s="19">
        <f>L4</f>
        <v>207254910</v>
      </c>
      <c r="N4" s="19"/>
      <c r="O4" s="19"/>
      <c r="P4" s="19"/>
      <c r="Q4" s="19"/>
      <c r="R4" s="19"/>
      <c r="S4" s="19"/>
    </row>
    <row r="5" spans="2:19" s="42" customFormat="1">
      <c r="B5" s="39">
        <v>2</v>
      </c>
      <c r="C5" s="39" t="s">
        <v>34</v>
      </c>
      <c r="D5" s="40" t="s">
        <v>59</v>
      </c>
      <c r="E5" s="40">
        <v>202410291</v>
      </c>
      <c r="F5" s="40"/>
      <c r="G5" s="39">
        <v>241029</v>
      </c>
      <c r="H5" s="58" t="s">
        <v>137</v>
      </c>
      <c r="I5" s="41" t="s">
        <v>138</v>
      </c>
      <c r="J5" s="40"/>
      <c r="K5" s="59"/>
      <c r="L5" s="41">
        <v>2350000</v>
      </c>
      <c r="N5" s="41"/>
      <c r="O5" s="41">
        <f>L5</f>
        <v>2350000</v>
      </c>
      <c r="P5" s="41">
        <f>O5</f>
        <v>2350000</v>
      </c>
      <c r="Q5" s="19"/>
      <c r="R5" s="19"/>
      <c r="S5" s="100" t="s">
        <v>146</v>
      </c>
    </row>
    <row r="6" spans="2:19" s="42" customFormat="1">
      <c r="B6" s="43"/>
      <c r="C6" s="43"/>
      <c r="D6" s="44"/>
      <c r="E6" s="44"/>
      <c r="F6" s="44"/>
      <c r="G6" s="43"/>
      <c r="H6" s="62"/>
      <c r="I6" s="62"/>
      <c r="J6" s="44"/>
      <c r="K6" s="63"/>
      <c r="L6" s="19"/>
      <c r="M6" s="19"/>
      <c r="N6" s="19"/>
      <c r="O6" s="19"/>
      <c r="P6" s="19"/>
      <c r="Q6" s="19"/>
      <c r="R6" s="19"/>
      <c r="S6" s="44"/>
    </row>
    <row r="7" spans="2:19" s="42" customFormat="1">
      <c r="B7" s="43"/>
      <c r="C7" s="43"/>
      <c r="D7" s="44"/>
      <c r="E7" s="44"/>
      <c r="F7" s="44"/>
      <c r="G7" s="43"/>
      <c r="H7" s="99"/>
      <c r="I7" s="62"/>
      <c r="J7" s="44"/>
      <c r="K7" s="63"/>
      <c r="L7" s="19"/>
      <c r="M7" s="19"/>
      <c r="N7" s="19"/>
      <c r="O7" s="19"/>
      <c r="P7" s="19"/>
      <c r="Q7" s="19"/>
      <c r="R7" s="19"/>
      <c r="S7" s="44"/>
    </row>
    <row r="8" spans="2:19" s="42" customFormat="1">
      <c r="B8" s="43"/>
      <c r="C8" s="43"/>
      <c r="D8" s="44"/>
      <c r="E8" s="44"/>
      <c r="F8" s="44"/>
      <c r="G8" s="43"/>
      <c r="H8" s="62"/>
      <c r="I8" s="62"/>
      <c r="J8" s="44"/>
      <c r="K8" s="63"/>
      <c r="L8" s="19"/>
      <c r="M8" s="19"/>
      <c r="N8" s="19"/>
      <c r="O8" s="19"/>
      <c r="P8" s="19"/>
      <c r="Q8" s="19"/>
      <c r="R8" s="19"/>
      <c r="S8" s="44"/>
    </row>
    <row r="9" spans="2:19" s="42" customFormat="1">
      <c r="B9" s="43"/>
      <c r="C9" s="43"/>
      <c r="D9" s="44"/>
      <c r="E9" s="44"/>
      <c r="F9" s="44"/>
      <c r="G9" s="43"/>
      <c r="H9" s="62"/>
      <c r="I9" s="62"/>
      <c r="J9" s="44"/>
      <c r="K9" s="63"/>
      <c r="L9" s="19"/>
      <c r="M9" s="19"/>
      <c r="N9" s="19"/>
      <c r="O9" s="19"/>
      <c r="P9" s="19"/>
      <c r="Q9" s="19"/>
      <c r="R9" s="19"/>
      <c r="S9" s="44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>
      <c r="B23" s="2"/>
      <c r="C23" s="104" t="s">
        <v>12</v>
      </c>
      <c r="D23" s="105"/>
      <c r="E23" s="105"/>
      <c r="F23" s="105"/>
      <c r="G23" s="105"/>
      <c r="H23" s="105"/>
      <c r="I23" s="105"/>
      <c r="J23" s="57"/>
      <c r="K23" s="11">
        <f>SUM(K4:K22)</f>
        <v>0</v>
      </c>
      <c r="L23" s="16">
        <f>SUM(L4:L22)</f>
        <v>209604910</v>
      </c>
      <c r="M23" s="10">
        <f>SUM(M4:M22)</f>
        <v>207254910</v>
      </c>
      <c r="N23" s="10"/>
      <c r="O23" s="16">
        <f>SUM(O4:O22)</f>
        <v>2350000</v>
      </c>
      <c r="P23" s="16">
        <f>SUM(P4:P22)</f>
        <v>2350000</v>
      </c>
      <c r="Q23" s="16">
        <f>SUM(Q4:Q22)</f>
        <v>0</v>
      </c>
      <c r="R23" s="16">
        <f>SUM(R4:R22)</f>
        <v>0</v>
      </c>
      <c r="S23" s="9"/>
    </row>
    <row r="24" spans="2:19">
      <c r="L24" s="15"/>
      <c r="N24" s="13"/>
      <c r="O24" s="14"/>
      <c r="P24" s="14"/>
      <c r="Q24" s="14"/>
      <c r="R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U27"/>
  <sheetViews>
    <sheetView zoomScale="85" zoomScaleNormal="85" workbookViewId="0">
      <pane xSplit="9" ySplit="3" topLeftCell="L4" activePane="bottomRight" state="frozen"/>
      <selection pane="topRight" activeCell="J1" sqref="J1"/>
      <selection pane="bottomLeft" activeCell="A4" sqref="A4"/>
      <selection pane="bottomRight" activeCell="U4" sqref="U4"/>
    </sheetView>
  </sheetViews>
  <sheetFormatPr defaultRowHeight="16.7"/>
  <cols>
    <col min="1" max="1" width="4.21875" customWidth="1"/>
    <col min="2" max="2" width="5.71875" style="1" customWidth="1"/>
    <col min="3" max="3" width="5.21875" style="1" bestFit="1" customWidth="1"/>
    <col min="4" max="4" width="11" style="7" bestFit="1" customWidth="1"/>
    <col min="5" max="5" width="20.88671875" style="7" customWidth="1"/>
    <col min="6" max="6" width="14.88671875" style="7" bestFit="1" customWidth="1"/>
    <col min="7" max="7" width="10.71875" style="1" customWidth="1"/>
    <col min="8" max="8" width="10.71875" style="12" customWidth="1"/>
    <col min="9" max="9" width="18.5" style="12" customWidth="1"/>
    <col min="10" max="11" width="33.21875" style="7" customWidth="1"/>
    <col min="12" max="12" width="11" style="7" customWidth="1"/>
    <col min="13" max="13" width="21.5" style="8" bestFit="1" customWidth="1"/>
    <col min="14" max="14" width="15.88671875" style="8" customWidth="1"/>
    <col min="15" max="17" width="16.109375" style="8" customWidth="1"/>
    <col min="18" max="19" width="18.109375" style="8" customWidth="1"/>
    <col min="20" max="20" width="16.109375" style="8" customWidth="1"/>
    <col min="21" max="21" width="12.71875" style="17" customWidth="1"/>
    <col min="22" max="22" width="17.21875" customWidth="1"/>
  </cols>
  <sheetData>
    <row r="2" spans="2:21">
      <c r="B2" s="6"/>
      <c r="C2" s="6"/>
    </row>
    <row r="3" spans="2:21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1</v>
      </c>
      <c r="K3" s="5" t="s">
        <v>25</v>
      </c>
      <c r="L3" s="5" t="s">
        <v>33</v>
      </c>
      <c r="M3" s="9" t="s">
        <v>6</v>
      </c>
      <c r="N3" s="9" t="s">
        <v>7</v>
      </c>
      <c r="O3" s="9" t="s">
        <v>10</v>
      </c>
      <c r="P3" s="9" t="s">
        <v>11</v>
      </c>
      <c r="Q3" s="9" t="s">
        <v>23</v>
      </c>
      <c r="R3" s="9" t="s">
        <v>27</v>
      </c>
      <c r="S3" s="9" t="s">
        <v>29</v>
      </c>
      <c r="T3" s="9" t="s">
        <v>67</v>
      </c>
      <c r="U3" s="9" t="s">
        <v>5</v>
      </c>
    </row>
    <row r="4" spans="2:21" s="1" customFormat="1">
      <c r="B4" s="39">
        <v>1</v>
      </c>
      <c r="C4" s="39" t="s">
        <v>34</v>
      </c>
      <c r="D4" s="40" t="s">
        <v>50</v>
      </c>
      <c r="E4" s="40" t="s">
        <v>52</v>
      </c>
      <c r="F4" s="40"/>
      <c r="G4" s="39"/>
      <c r="H4" s="58"/>
      <c r="I4" s="58" t="s">
        <v>58</v>
      </c>
      <c r="J4" s="58" t="s">
        <v>51</v>
      </c>
      <c r="K4" s="58" t="s">
        <v>51</v>
      </c>
      <c r="L4" s="64"/>
      <c r="M4" s="59"/>
      <c r="N4" s="41">
        <v>46840000</v>
      </c>
      <c r="O4" s="41">
        <f>N4</f>
        <v>46840000</v>
      </c>
      <c r="P4" s="41"/>
      <c r="Q4" s="41">
        <f>O4</f>
        <v>46840000</v>
      </c>
      <c r="R4" s="41">
        <f>Q4</f>
        <v>46840000</v>
      </c>
      <c r="S4" s="41"/>
      <c r="T4" s="41"/>
      <c r="U4" s="100" t="s">
        <v>146</v>
      </c>
    </row>
    <row r="5" spans="2:21" s="42" customFormat="1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59"/>
      <c r="N6" s="41"/>
      <c r="O6" s="41"/>
      <c r="P6" s="41"/>
      <c r="Q6" s="41"/>
      <c r="R6" s="41"/>
      <c r="S6" s="60"/>
      <c r="T6" s="41"/>
      <c r="U6" s="40"/>
    </row>
    <row r="7" spans="2:21" s="42" customFormat="1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59"/>
      <c r="N7" s="41"/>
      <c r="O7" s="41"/>
      <c r="P7" s="41"/>
      <c r="Q7" s="41"/>
      <c r="R7" s="41"/>
      <c r="S7" s="41"/>
      <c r="T7" s="41"/>
      <c r="U7" s="40"/>
    </row>
    <row r="8" spans="2:21" s="42" customFormat="1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66"/>
      <c r="N8" s="67"/>
      <c r="O8" s="67"/>
      <c r="P8" s="67"/>
      <c r="Q8" s="67"/>
      <c r="R8" s="67"/>
      <c r="S8" s="67"/>
      <c r="T8" s="67"/>
      <c r="U8" s="53"/>
    </row>
    <row r="9" spans="2:21" s="42" customFormat="1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59"/>
      <c r="N10" s="41"/>
      <c r="O10" s="41"/>
      <c r="P10" s="41"/>
      <c r="Q10" s="41"/>
      <c r="R10" s="41"/>
      <c r="S10" s="41"/>
      <c r="T10" s="41"/>
      <c r="U10" s="40"/>
    </row>
    <row r="11" spans="2:21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63"/>
      <c r="N14" s="19"/>
      <c r="O14" s="19"/>
      <c r="P14" s="19"/>
      <c r="Q14" s="19"/>
      <c r="R14" s="19"/>
      <c r="S14" s="19"/>
      <c r="T14" s="19"/>
      <c r="U14" s="44"/>
    </row>
    <row r="15" spans="2:21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59"/>
      <c r="N15" s="41"/>
      <c r="O15" s="41"/>
      <c r="P15" s="41"/>
      <c r="Q15" s="41"/>
      <c r="R15" s="41"/>
      <c r="S15" s="41"/>
      <c r="T15" s="41"/>
      <c r="U15" s="40"/>
    </row>
    <row r="16" spans="2:21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63"/>
      <c r="N25" s="19"/>
      <c r="O25" s="19"/>
      <c r="P25" s="19"/>
      <c r="Q25" s="19"/>
      <c r="R25" s="19"/>
      <c r="S25" s="19"/>
      <c r="T25" s="19"/>
      <c r="U25" s="44"/>
    </row>
    <row r="26" spans="2:21">
      <c r="B26" s="2"/>
      <c r="C26" s="104" t="s">
        <v>12</v>
      </c>
      <c r="D26" s="105"/>
      <c r="E26" s="105"/>
      <c r="F26" s="105"/>
      <c r="G26" s="105"/>
      <c r="H26" s="105"/>
      <c r="I26" s="105"/>
      <c r="J26" s="106"/>
      <c r="K26" s="57"/>
      <c r="L26" s="57"/>
      <c r="M26" s="11">
        <f>SUM(M4:M25)</f>
        <v>0</v>
      </c>
      <c r="N26" s="16">
        <f>SUM(N4:N25)</f>
        <v>46840000</v>
      </c>
      <c r="O26" s="10">
        <f>SUM(O4:O25)</f>
        <v>46840000</v>
      </c>
      <c r="P26" s="10"/>
      <c r="Q26" s="16">
        <f>SUM(Q4:Q25)</f>
        <v>46840000</v>
      </c>
      <c r="R26" s="16">
        <f>SUM(R4:R25)</f>
        <v>46840000</v>
      </c>
      <c r="S26" s="16">
        <f>SUM(S4:S25)</f>
        <v>0</v>
      </c>
      <c r="T26" s="16">
        <f>SUM(T4:T25)</f>
        <v>0</v>
      </c>
      <c r="U26" s="9"/>
    </row>
    <row r="27" spans="2:21">
      <c r="N27" s="15"/>
      <c r="P27" s="13"/>
      <c r="Q27" s="14"/>
      <c r="R27" s="14"/>
      <c r="S27" s="14"/>
      <c r="T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2A77-F454-4743-B3C1-8206B8E63335}">
  <dimension ref="B2:T26"/>
  <sheetViews>
    <sheetView zoomScaleNormal="100" workbookViewId="0">
      <pane xSplit="9" ySplit="2" topLeftCell="O3" activePane="bottomRight" state="frozen"/>
      <selection pane="topRight" activeCell="J1" sqref="J1"/>
      <selection pane="bottomLeft" activeCell="A4" sqref="A4"/>
      <selection pane="bottomRight" activeCell="T25" sqref="T25"/>
    </sheetView>
  </sheetViews>
  <sheetFormatPr defaultRowHeight="16.7"/>
  <cols>
    <col min="1" max="1" width="4.21875" customWidth="1"/>
    <col min="2" max="2" width="5.71875" style="1" customWidth="1"/>
    <col min="3" max="3" width="5.21875" style="1" bestFit="1" customWidth="1"/>
    <col min="4" max="4" width="11" style="7" bestFit="1" customWidth="1"/>
    <col min="5" max="5" width="14.5" style="7" customWidth="1"/>
    <col min="6" max="6" width="14.88671875" style="7" bestFit="1" customWidth="1"/>
    <col min="7" max="7" width="10.71875" style="1" customWidth="1"/>
    <col min="8" max="8" width="10.71875" style="12" customWidth="1"/>
    <col min="9" max="9" width="28.38671875" style="12" customWidth="1"/>
    <col min="10" max="10" width="33.21875" style="7" customWidth="1"/>
    <col min="11" max="11" width="11" style="7" customWidth="1"/>
    <col min="12" max="12" width="14.38671875" style="8" bestFit="1" customWidth="1"/>
    <col min="13" max="13" width="15.88671875" style="8" customWidth="1"/>
    <col min="14" max="16" width="16.109375" style="8" customWidth="1"/>
    <col min="17" max="18" width="18.109375" style="8" customWidth="1"/>
    <col min="19" max="19" width="16.109375" style="8" customWidth="1"/>
    <col min="20" max="20" width="12.71875" style="17" customWidth="1"/>
    <col min="21" max="21" width="17.21875" customWidth="1"/>
  </cols>
  <sheetData>
    <row r="2" spans="2:20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1</v>
      </c>
      <c r="K2" s="5" t="s">
        <v>33</v>
      </c>
      <c r="L2" s="9" t="s">
        <v>6</v>
      </c>
      <c r="M2" s="9" t="s">
        <v>7</v>
      </c>
      <c r="N2" s="9" t="s">
        <v>10</v>
      </c>
      <c r="O2" s="9" t="s">
        <v>11</v>
      </c>
      <c r="P2" s="9" t="s">
        <v>23</v>
      </c>
      <c r="Q2" s="9" t="s">
        <v>27</v>
      </c>
      <c r="R2" s="9" t="s">
        <v>29</v>
      </c>
      <c r="S2" s="9" t="s">
        <v>67</v>
      </c>
      <c r="T2" s="9" t="s">
        <v>5</v>
      </c>
    </row>
    <row r="3" spans="2:20" s="1" customFormat="1">
      <c r="B3" s="40">
        <v>1</v>
      </c>
      <c r="C3" s="40" t="s">
        <v>34</v>
      </c>
      <c r="D3" s="40" t="s">
        <v>132</v>
      </c>
      <c r="E3" s="40">
        <v>202409271</v>
      </c>
      <c r="F3" s="40"/>
      <c r="G3" s="40">
        <v>240927</v>
      </c>
      <c r="H3" s="40" t="s">
        <v>133</v>
      </c>
      <c r="I3" s="40" t="s">
        <v>134</v>
      </c>
      <c r="J3" s="40"/>
      <c r="K3" s="40">
        <v>10</v>
      </c>
      <c r="L3" s="40"/>
      <c r="M3" s="97">
        <v>20350000</v>
      </c>
      <c r="N3" s="97"/>
      <c r="O3" s="97">
        <f>M3</f>
        <v>20350000</v>
      </c>
      <c r="P3" s="97">
        <v>11400000</v>
      </c>
      <c r="Q3" s="97">
        <v>11400000</v>
      </c>
      <c r="R3" s="97"/>
      <c r="S3" s="97"/>
      <c r="T3" s="97"/>
    </row>
    <row r="4" spans="2:20" s="42" customFormat="1">
      <c r="B4" s="39"/>
      <c r="C4" s="39"/>
      <c r="D4" s="40"/>
      <c r="E4" s="40"/>
      <c r="F4" s="40"/>
      <c r="G4" s="39"/>
      <c r="H4" s="58"/>
      <c r="I4" s="58"/>
      <c r="J4" s="40"/>
      <c r="K4" s="40"/>
      <c r="L4" s="59"/>
      <c r="M4" s="41"/>
      <c r="N4" s="41"/>
      <c r="O4" s="41"/>
      <c r="P4" s="41"/>
      <c r="Q4" s="41"/>
      <c r="R4" s="60"/>
      <c r="S4" s="41"/>
      <c r="T4" s="40"/>
    </row>
    <row r="5" spans="2:20" s="42" customFormat="1">
      <c r="B5" s="39"/>
      <c r="C5" s="39"/>
      <c r="D5" s="40"/>
      <c r="E5" s="40"/>
      <c r="F5" s="40"/>
      <c r="G5" s="39"/>
      <c r="H5" s="58"/>
      <c r="I5" s="58"/>
      <c r="J5" s="40"/>
      <c r="K5" s="40"/>
      <c r="L5" s="59"/>
      <c r="M5" s="41"/>
      <c r="N5" s="41"/>
      <c r="O5" s="41"/>
      <c r="P5" s="41"/>
      <c r="Q5" s="41"/>
      <c r="R5" s="60"/>
      <c r="S5" s="41"/>
      <c r="T5" s="40"/>
    </row>
    <row r="6" spans="2:20" s="42" customFormat="1">
      <c r="B6" s="39"/>
      <c r="C6" s="39"/>
      <c r="D6" s="40"/>
      <c r="E6" s="40"/>
      <c r="F6" s="40"/>
      <c r="G6" s="39"/>
      <c r="H6" s="58"/>
      <c r="I6" s="58"/>
      <c r="J6" s="40"/>
      <c r="K6" s="40"/>
      <c r="L6" s="59"/>
      <c r="M6" s="41"/>
      <c r="N6" s="41"/>
      <c r="O6" s="41"/>
      <c r="P6" s="41"/>
      <c r="Q6" s="41"/>
      <c r="R6" s="41"/>
      <c r="S6" s="41"/>
      <c r="T6" s="40"/>
    </row>
    <row r="7" spans="2:20" s="42" customFormat="1">
      <c r="B7" s="43"/>
      <c r="C7" s="43"/>
      <c r="D7" s="44"/>
      <c r="E7" s="44"/>
      <c r="F7" s="44"/>
      <c r="G7" s="43"/>
      <c r="H7" s="65"/>
      <c r="I7" s="65"/>
      <c r="J7" s="53"/>
      <c r="K7" s="53"/>
      <c r="L7" s="66"/>
      <c r="M7" s="67"/>
      <c r="N7" s="67"/>
      <c r="O7" s="67"/>
      <c r="P7" s="67"/>
      <c r="Q7" s="67"/>
      <c r="R7" s="67"/>
      <c r="S7" s="67"/>
      <c r="T7" s="53"/>
    </row>
    <row r="8" spans="2:20" s="42" customFormat="1">
      <c r="B8" s="39"/>
      <c r="C8" s="39"/>
      <c r="D8" s="40"/>
      <c r="E8" s="40"/>
      <c r="F8" s="40"/>
      <c r="G8" s="39"/>
      <c r="H8" s="58"/>
      <c r="I8" s="58"/>
      <c r="J8" s="40"/>
      <c r="K8" s="40"/>
      <c r="L8" s="59"/>
      <c r="M8" s="41"/>
      <c r="N8" s="41"/>
      <c r="O8" s="41"/>
      <c r="P8" s="41"/>
      <c r="Q8" s="41"/>
      <c r="R8" s="41"/>
      <c r="S8" s="41"/>
      <c r="T8" s="40"/>
    </row>
    <row r="9" spans="2:20" s="42" customFormat="1">
      <c r="B9" s="39"/>
      <c r="C9" s="39"/>
      <c r="D9" s="40"/>
      <c r="E9" s="40"/>
      <c r="F9" s="40"/>
      <c r="G9" s="39"/>
      <c r="H9" s="61"/>
      <c r="I9" s="58"/>
      <c r="J9" s="40"/>
      <c r="K9" s="40"/>
      <c r="L9" s="59"/>
      <c r="M9" s="41"/>
      <c r="N9" s="41"/>
      <c r="O9" s="41"/>
      <c r="P9" s="41"/>
      <c r="Q9" s="41"/>
      <c r="R9" s="41"/>
      <c r="S9" s="41"/>
      <c r="T9" s="40"/>
    </row>
    <row r="10" spans="2:20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44"/>
      <c r="L10" s="63"/>
      <c r="M10" s="19"/>
      <c r="N10" s="19"/>
      <c r="O10" s="19"/>
      <c r="P10" s="19"/>
      <c r="Q10" s="19"/>
      <c r="R10" s="19"/>
      <c r="S10" s="19"/>
      <c r="T10" s="44"/>
    </row>
    <row r="11" spans="2:20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63"/>
      <c r="M12" s="19"/>
      <c r="N12" s="19"/>
      <c r="O12" s="19"/>
      <c r="P12" s="19"/>
      <c r="Q12" s="19"/>
      <c r="R12" s="19"/>
      <c r="S12" s="19"/>
      <c r="T12" s="44"/>
    </row>
    <row r="13" spans="2:20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40"/>
      <c r="L14" s="59"/>
      <c r="M14" s="41"/>
      <c r="N14" s="41"/>
      <c r="O14" s="41"/>
      <c r="P14" s="41"/>
      <c r="Q14" s="41"/>
      <c r="R14" s="41"/>
      <c r="S14" s="41"/>
      <c r="T14" s="40"/>
    </row>
    <row r="15" spans="2:20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44"/>
      <c r="L15" s="63"/>
      <c r="M15" s="19"/>
      <c r="N15" s="19"/>
      <c r="O15" s="19"/>
      <c r="P15" s="19"/>
      <c r="Q15" s="19"/>
      <c r="R15" s="19"/>
      <c r="S15" s="19"/>
      <c r="T15" s="44"/>
    </row>
    <row r="16" spans="2:20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63"/>
      <c r="M24" s="19"/>
      <c r="N24" s="19"/>
      <c r="O24" s="19"/>
      <c r="P24" s="19"/>
      <c r="Q24" s="19"/>
      <c r="R24" s="19"/>
      <c r="S24" s="19"/>
      <c r="T24" s="44"/>
    </row>
    <row r="25" spans="2:20">
      <c r="B25" s="2"/>
      <c r="C25" s="104" t="s">
        <v>12</v>
      </c>
      <c r="D25" s="105"/>
      <c r="E25" s="105"/>
      <c r="F25" s="105"/>
      <c r="G25" s="105"/>
      <c r="H25" s="105"/>
      <c r="I25" s="105"/>
      <c r="J25" s="106"/>
      <c r="K25" s="57"/>
      <c r="L25" s="11">
        <f t="shared" ref="L25:S25" si="0">SUM(L3:L24)</f>
        <v>0</v>
      </c>
      <c r="M25" s="16">
        <f t="shared" si="0"/>
        <v>20350000</v>
      </c>
      <c r="N25" s="10">
        <f t="shared" si="0"/>
        <v>0</v>
      </c>
      <c r="O25" s="10">
        <f t="shared" si="0"/>
        <v>20350000</v>
      </c>
      <c r="P25" s="16">
        <f t="shared" si="0"/>
        <v>11400000</v>
      </c>
      <c r="Q25" s="16">
        <f t="shared" si="0"/>
        <v>11400000</v>
      </c>
      <c r="R25" s="16">
        <f t="shared" si="0"/>
        <v>0</v>
      </c>
      <c r="S25" s="16">
        <f t="shared" si="0"/>
        <v>0</v>
      </c>
      <c r="T25" s="9"/>
    </row>
    <row r="26" spans="2:20">
      <c r="M26" s="15"/>
      <c r="O26" s="13"/>
      <c r="P26" s="14"/>
      <c r="Q26" s="14"/>
      <c r="R26" s="14"/>
      <c r="S26" s="18"/>
    </row>
  </sheetData>
  <mergeCells count="1">
    <mergeCell ref="C25:J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S27"/>
  <sheetViews>
    <sheetView zoomScale="85" zoomScaleNormal="85" workbookViewId="0">
      <selection activeCell="Q26" sqref="Q26"/>
    </sheetView>
  </sheetViews>
  <sheetFormatPr defaultRowHeight="16.7"/>
  <cols>
    <col min="1" max="1" width="4.21875" customWidth="1"/>
    <col min="2" max="2" width="5.71875" style="1" customWidth="1"/>
    <col min="3" max="3" width="5.21875" style="1" bestFit="1" customWidth="1"/>
    <col min="4" max="4" width="8.71875" style="7" bestFit="1" customWidth="1"/>
    <col min="5" max="5" width="24.109375" style="7" bestFit="1" customWidth="1"/>
    <col min="6" max="6" width="9.5" style="7" bestFit="1" customWidth="1"/>
    <col min="7" max="7" width="10.71875" style="1" customWidth="1"/>
    <col min="8" max="8" width="10.71875" style="12" customWidth="1"/>
    <col min="9" max="9" width="39.109375" style="12" bestFit="1" customWidth="1"/>
    <col min="10" max="10" width="5.21875" style="7" bestFit="1" customWidth="1"/>
    <col min="11" max="11" width="14.38671875" style="8" bestFit="1" customWidth="1"/>
    <col min="12" max="12" width="15.88671875" style="8" customWidth="1"/>
    <col min="13" max="15" width="16.109375" style="8" customWidth="1"/>
    <col min="16" max="17" width="18.109375" style="8" customWidth="1"/>
    <col min="18" max="18" width="16.109375" style="8" customWidth="1"/>
    <col min="19" max="19" width="7.38671875" style="17" bestFit="1" customWidth="1"/>
    <col min="20" max="20" width="17.21875" customWidth="1"/>
  </cols>
  <sheetData>
    <row r="2" spans="2:19">
      <c r="B2" s="6"/>
      <c r="C2" s="6"/>
    </row>
    <row r="3" spans="2:19" s="1" customFormat="1">
      <c r="B3" s="2" t="s">
        <v>0</v>
      </c>
      <c r="C3" s="2" t="s">
        <v>8</v>
      </c>
      <c r="D3" s="3" t="s">
        <v>2</v>
      </c>
      <c r="E3" s="3" t="s">
        <v>3</v>
      </c>
      <c r="F3" s="3" t="s">
        <v>32</v>
      </c>
      <c r="G3" s="3" t="s">
        <v>9</v>
      </c>
      <c r="H3" s="4" t="s">
        <v>4</v>
      </c>
      <c r="I3" s="4" t="s">
        <v>31</v>
      </c>
      <c r="J3" s="5" t="s">
        <v>33</v>
      </c>
      <c r="K3" s="9" t="s">
        <v>6</v>
      </c>
      <c r="L3" s="9" t="s">
        <v>7</v>
      </c>
      <c r="M3" s="9" t="s">
        <v>10</v>
      </c>
      <c r="N3" s="9" t="s">
        <v>11</v>
      </c>
      <c r="O3" s="9" t="s">
        <v>23</v>
      </c>
      <c r="P3" s="9" t="s">
        <v>27</v>
      </c>
      <c r="Q3" s="9" t="s">
        <v>29</v>
      </c>
      <c r="R3" s="9" t="s">
        <v>67</v>
      </c>
      <c r="S3" s="9" t="s">
        <v>5</v>
      </c>
    </row>
    <row r="4" spans="2:19" s="1" customFormat="1">
      <c r="B4" s="39">
        <v>1</v>
      </c>
      <c r="C4" s="39" t="s">
        <v>34</v>
      </c>
      <c r="D4" s="40" t="s">
        <v>53</v>
      </c>
      <c r="E4" s="40" t="s">
        <v>61</v>
      </c>
      <c r="F4" s="40"/>
      <c r="G4" s="39">
        <v>240611</v>
      </c>
      <c r="H4" s="58" t="s">
        <v>62</v>
      </c>
      <c r="I4" s="41" t="s">
        <v>63</v>
      </c>
      <c r="J4" s="64"/>
      <c r="K4" s="59"/>
      <c r="L4" s="41">
        <v>270843306</v>
      </c>
      <c r="M4" s="41">
        <f>L4</f>
        <v>270843306</v>
      </c>
      <c r="N4" s="41"/>
      <c r="O4" s="41">
        <v>270000000</v>
      </c>
      <c r="P4" s="41">
        <v>81000000</v>
      </c>
      <c r="Q4" s="41">
        <f>O4-P4</f>
        <v>189000000</v>
      </c>
      <c r="R4" s="41"/>
      <c r="S4" s="41" t="s">
        <v>64</v>
      </c>
    </row>
    <row r="5" spans="2:19" s="42" customFormat="1">
      <c r="B5" s="39">
        <v>2</v>
      </c>
      <c r="C5" s="39" t="s">
        <v>34</v>
      </c>
      <c r="D5" s="40" t="s">
        <v>53</v>
      </c>
      <c r="E5" s="40" t="s">
        <v>65</v>
      </c>
      <c r="F5" s="40"/>
      <c r="G5" s="39">
        <v>240829</v>
      </c>
      <c r="H5" s="58" t="s">
        <v>66</v>
      </c>
      <c r="I5" s="40" t="s">
        <v>56</v>
      </c>
      <c r="J5" s="40"/>
      <c r="K5" s="59"/>
      <c r="L5" s="41">
        <v>156423296</v>
      </c>
      <c r="M5" s="41">
        <f>L5</f>
        <v>156423296</v>
      </c>
      <c r="N5" s="41"/>
      <c r="O5" s="41">
        <v>140000000</v>
      </c>
      <c r="P5" s="41">
        <v>42000000</v>
      </c>
      <c r="Q5" s="60">
        <f>O5-P5</f>
        <v>98000000</v>
      </c>
      <c r="R5" s="41"/>
      <c r="S5" s="40" t="s">
        <v>64</v>
      </c>
    </row>
    <row r="6" spans="2:19" s="42" customFormat="1">
      <c r="B6" s="43">
        <v>3</v>
      </c>
      <c r="C6" s="43" t="s">
        <v>34</v>
      </c>
      <c r="D6" s="44" t="s">
        <v>53</v>
      </c>
      <c r="E6" s="44"/>
      <c r="F6" s="44"/>
      <c r="G6" s="43">
        <v>240812</v>
      </c>
      <c r="H6" s="62" t="s">
        <v>57</v>
      </c>
      <c r="I6" s="44" t="s">
        <v>139</v>
      </c>
      <c r="J6" s="44"/>
      <c r="K6" s="63"/>
      <c r="L6" s="19">
        <v>349398820</v>
      </c>
      <c r="M6" s="19">
        <f>L6</f>
        <v>349398820</v>
      </c>
      <c r="N6" s="19"/>
      <c r="O6" s="19"/>
      <c r="P6" s="19"/>
      <c r="Q6" s="79"/>
      <c r="R6" s="19"/>
      <c r="S6" s="44"/>
    </row>
    <row r="7" spans="2:19" s="42" customFormat="1">
      <c r="B7" s="43">
        <v>4</v>
      </c>
      <c r="C7" s="43" t="s">
        <v>34</v>
      </c>
      <c r="D7" s="44" t="s">
        <v>53</v>
      </c>
      <c r="E7" s="44"/>
      <c r="F7" s="44"/>
      <c r="G7" s="43">
        <v>240812</v>
      </c>
      <c r="H7" s="62" t="s">
        <v>57</v>
      </c>
      <c r="I7" s="44" t="s">
        <v>140</v>
      </c>
      <c r="J7" s="44"/>
      <c r="K7" s="63"/>
      <c r="L7" s="19">
        <v>85513140</v>
      </c>
      <c r="M7" s="19">
        <f>L7</f>
        <v>85513140</v>
      </c>
      <c r="N7" s="19"/>
      <c r="O7" s="19"/>
      <c r="P7" s="19"/>
      <c r="Q7" s="19"/>
      <c r="R7" s="19"/>
      <c r="S7" s="44"/>
    </row>
    <row r="8" spans="2:19" s="42" customFormat="1">
      <c r="B8" s="43"/>
      <c r="C8" s="43"/>
      <c r="D8" s="44"/>
      <c r="E8" s="44"/>
      <c r="F8" s="44"/>
      <c r="G8" s="43"/>
      <c r="H8" s="65"/>
      <c r="I8" s="65"/>
      <c r="J8" s="53"/>
      <c r="K8" s="66"/>
      <c r="L8" s="67"/>
      <c r="M8" s="67"/>
      <c r="N8" s="67"/>
      <c r="O8" s="67"/>
      <c r="P8" s="67"/>
      <c r="Q8" s="67"/>
      <c r="R8" s="67"/>
      <c r="S8" s="53"/>
    </row>
    <row r="9" spans="2:19" s="42" customFormat="1">
      <c r="B9" s="39"/>
      <c r="C9" s="39"/>
      <c r="D9" s="40"/>
      <c r="E9" s="40"/>
      <c r="F9" s="40"/>
      <c r="G9" s="39"/>
      <c r="H9" s="58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39"/>
      <c r="C10" s="39"/>
      <c r="D10" s="40"/>
      <c r="E10" s="40"/>
      <c r="F10" s="40"/>
      <c r="G10" s="39"/>
      <c r="H10" s="61"/>
      <c r="I10" s="58"/>
      <c r="J10" s="40"/>
      <c r="K10" s="59"/>
      <c r="L10" s="41"/>
      <c r="M10" s="41"/>
      <c r="N10" s="41"/>
      <c r="O10" s="41"/>
      <c r="P10" s="41"/>
      <c r="Q10" s="41"/>
      <c r="R10" s="41"/>
      <c r="S10" s="40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43"/>
      <c r="C14" s="43"/>
      <c r="D14" s="44"/>
      <c r="E14" s="44"/>
      <c r="F14" s="44"/>
      <c r="G14" s="43"/>
      <c r="H14" s="62"/>
      <c r="I14" s="62"/>
      <c r="J14" s="44"/>
      <c r="K14" s="63"/>
      <c r="L14" s="19"/>
      <c r="M14" s="19"/>
      <c r="N14" s="19"/>
      <c r="O14" s="19"/>
      <c r="P14" s="19"/>
      <c r="Q14" s="19"/>
      <c r="R14" s="19"/>
      <c r="S14" s="44"/>
    </row>
    <row r="15" spans="2:19" s="42" customFormat="1">
      <c r="B15" s="39"/>
      <c r="C15" s="39"/>
      <c r="D15" s="40"/>
      <c r="E15" s="40"/>
      <c r="F15" s="40"/>
      <c r="G15" s="39"/>
      <c r="H15" s="58"/>
      <c r="I15" s="58"/>
      <c r="J15" s="40"/>
      <c r="K15" s="59"/>
      <c r="L15" s="41"/>
      <c r="M15" s="41"/>
      <c r="N15" s="41"/>
      <c r="O15" s="41"/>
      <c r="P15" s="41"/>
      <c r="Q15" s="41"/>
      <c r="R15" s="41"/>
      <c r="S15" s="40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 s="42" customFormat="1">
      <c r="B25" s="43"/>
      <c r="C25" s="43"/>
      <c r="D25" s="44"/>
      <c r="E25" s="44"/>
      <c r="F25" s="44"/>
      <c r="G25" s="43"/>
      <c r="H25" s="62"/>
      <c r="I25" s="62"/>
      <c r="J25" s="44"/>
      <c r="K25" s="63"/>
      <c r="L25" s="19"/>
      <c r="M25" s="19"/>
      <c r="N25" s="19"/>
      <c r="O25" s="19"/>
      <c r="P25" s="19"/>
      <c r="Q25" s="19"/>
      <c r="R25" s="19"/>
      <c r="S25" s="44"/>
    </row>
    <row r="26" spans="2:19">
      <c r="B26" s="2"/>
      <c r="C26" s="104" t="s">
        <v>12</v>
      </c>
      <c r="D26" s="105"/>
      <c r="E26" s="105"/>
      <c r="F26" s="105"/>
      <c r="G26" s="105"/>
      <c r="H26" s="105"/>
      <c r="I26" s="105"/>
      <c r="J26" s="57"/>
      <c r="K26" s="11">
        <f>SUM(K4:K25)</f>
        <v>0</v>
      </c>
      <c r="L26" s="16">
        <f>SUM(L4:L25)</f>
        <v>862178562</v>
      </c>
      <c r="M26" s="10">
        <f>SUM(M4:M25)</f>
        <v>862178562</v>
      </c>
      <c r="N26" s="10"/>
      <c r="O26" s="16">
        <f>SUM(O4:O25)</f>
        <v>410000000</v>
      </c>
      <c r="P26" s="16">
        <f>SUM(P4:P25)</f>
        <v>123000000</v>
      </c>
      <c r="Q26" s="16">
        <f>SUM(Q4:Q25)</f>
        <v>287000000</v>
      </c>
      <c r="R26" s="16">
        <f>SUM(R4:R25)</f>
        <v>0</v>
      </c>
      <c r="S26" s="9"/>
    </row>
    <row r="27" spans="2:19">
      <c r="L27" s="15"/>
      <c r="N27" s="13"/>
      <c r="O27" s="14"/>
      <c r="P27" s="14"/>
      <c r="Q27" s="14"/>
      <c r="R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S26"/>
  <sheetViews>
    <sheetView zoomScale="75" zoomScaleNormal="75" workbookViewId="0">
      <pane xSplit="9" ySplit="2" topLeftCell="J3" activePane="bottomRight" state="frozen"/>
      <selection pane="topRight" activeCell="J1" sqref="J1"/>
      <selection pane="bottomLeft" activeCell="A4" sqref="A4"/>
      <selection pane="bottomRight" activeCell="J30" sqref="J30"/>
    </sheetView>
  </sheetViews>
  <sheetFormatPr defaultRowHeight="16.7"/>
  <cols>
    <col min="1" max="1" width="4.21875" customWidth="1"/>
    <col min="2" max="2" width="5.71875" style="1" customWidth="1"/>
    <col min="3" max="3" width="5.21875" style="1" bestFit="1" customWidth="1"/>
    <col min="4" max="4" width="11" style="7" bestFit="1" customWidth="1"/>
    <col min="5" max="5" width="14.5" style="7" customWidth="1"/>
    <col min="6" max="6" width="14.88671875" style="7" bestFit="1" customWidth="1"/>
    <col min="7" max="7" width="10.71875" style="1" customWidth="1"/>
    <col min="8" max="8" width="10.71875" style="12" customWidth="1"/>
    <col min="9" max="9" width="28.38671875" style="12" customWidth="1"/>
    <col min="10" max="10" width="11" style="7" customWidth="1"/>
    <col min="11" max="11" width="14.38671875" style="8" bestFit="1" customWidth="1"/>
    <col min="12" max="12" width="15.88671875" style="8" customWidth="1"/>
    <col min="13" max="15" width="16.109375" style="8" customWidth="1"/>
    <col min="16" max="17" width="18.109375" style="8" customWidth="1"/>
    <col min="18" max="18" width="16.109375" style="8" customWidth="1"/>
    <col min="19" max="19" width="12.71875" style="17" customWidth="1"/>
    <col min="20" max="20" width="17.2187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67</v>
      </c>
      <c r="S2" s="9" t="s">
        <v>5</v>
      </c>
    </row>
    <row r="3" spans="2:19" s="1" customFormat="1">
      <c r="B3" s="43"/>
      <c r="C3" s="43"/>
      <c r="D3" s="44"/>
      <c r="E3" s="44"/>
      <c r="F3" s="44"/>
      <c r="G3" s="43"/>
      <c r="H3" s="62"/>
      <c r="I3" s="62"/>
      <c r="J3" s="78"/>
      <c r="K3" s="63"/>
      <c r="L3" s="19"/>
      <c r="M3" s="19"/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04" t="s">
        <v>12</v>
      </c>
      <c r="D25" s="105"/>
      <c r="E25" s="105"/>
      <c r="F25" s="105"/>
      <c r="G25" s="105"/>
      <c r="H25" s="105"/>
      <c r="I25" s="105"/>
      <c r="J25" s="57"/>
      <c r="K25" s="11">
        <f t="shared" ref="K25:R25" si="0">SUM(K3:K24)</f>
        <v>0</v>
      </c>
      <c r="L25" s="16">
        <f t="shared" si="0"/>
        <v>0</v>
      </c>
      <c r="M25" s="10">
        <f t="shared" si="0"/>
        <v>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60B-D9B0-48B0-91B0-47CAC8A4D265}">
  <dimension ref="B2:S26"/>
  <sheetViews>
    <sheetView workbookViewId="0">
      <selection activeCell="M13" sqref="M13"/>
    </sheetView>
  </sheetViews>
  <sheetFormatPr defaultRowHeight="16.7"/>
  <cols>
    <col min="1" max="1" width="4.21875" customWidth="1"/>
    <col min="2" max="2" width="5.71875" style="1" customWidth="1"/>
    <col min="3" max="3" width="5.21875" style="1" bestFit="1" customWidth="1"/>
    <col min="4" max="4" width="11" style="7" bestFit="1" customWidth="1"/>
    <col min="5" max="5" width="14.5" style="7" customWidth="1"/>
    <col min="6" max="6" width="14.88671875" style="7" bestFit="1" customWidth="1"/>
    <col min="7" max="7" width="10.71875" style="1" customWidth="1"/>
    <col min="8" max="8" width="10.71875" style="12" customWidth="1"/>
    <col min="9" max="9" width="28.38671875" style="12" customWidth="1"/>
    <col min="10" max="10" width="11" style="7" customWidth="1"/>
    <col min="11" max="11" width="14.38671875" style="8" bestFit="1" customWidth="1"/>
    <col min="12" max="12" width="15.88671875" style="8" customWidth="1"/>
    <col min="13" max="15" width="16.109375" style="8" customWidth="1"/>
    <col min="16" max="17" width="18.109375" style="8" customWidth="1"/>
    <col min="18" max="18" width="16.109375" style="8" customWidth="1"/>
    <col min="19" max="19" width="12.71875" style="17" customWidth="1"/>
    <col min="20" max="20" width="17.2187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67</v>
      </c>
      <c r="S2" s="9" t="s">
        <v>5</v>
      </c>
    </row>
    <row r="3" spans="2:19" s="1" customFormat="1" ht="33.35">
      <c r="B3" s="43">
        <v>1</v>
      </c>
      <c r="C3" s="43" t="s">
        <v>34</v>
      </c>
      <c r="D3" s="44" t="s">
        <v>136</v>
      </c>
      <c r="E3" s="44">
        <v>202409061</v>
      </c>
      <c r="F3" s="44"/>
      <c r="G3" s="43">
        <v>240906</v>
      </c>
      <c r="H3" s="62" t="s">
        <v>141</v>
      </c>
      <c r="I3" s="62" t="s">
        <v>145</v>
      </c>
      <c r="J3" s="78"/>
      <c r="K3" s="63"/>
      <c r="L3" s="19">
        <v>20350000</v>
      </c>
      <c r="M3" s="19">
        <f>L3</f>
        <v>20350000</v>
      </c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04" t="s">
        <v>12</v>
      </c>
      <c r="D25" s="105"/>
      <c r="E25" s="105"/>
      <c r="F25" s="105"/>
      <c r="G25" s="105"/>
      <c r="H25" s="105"/>
      <c r="I25" s="105"/>
      <c r="J25" s="57"/>
      <c r="K25" s="11">
        <f t="shared" ref="K25:R25" si="0">SUM(K3:K24)</f>
        <v>0</v>
      </c>
      <c r="L25" s="16">
        <f t="shared" si="0"/>
        <v>20350000</v>
      </c>
      <c r="M25" s="10">
        <f t="shared" si="0"/>
        <v>20350000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4081-84EB-47C5-BAF8-53D19B8467B7}">
  <dimension ref="B2:S26"/>
  <sheetViews>
    <sheetView workbookViewId="0">
      <selection activeCell="O5" sqref="O5"/>
    </sheetView>
  </sheetViews>
  <sheetFormatPr defaultRowHeight="16.7"/>
  <cols>
    <col min="1" max="1" width="4.21875" customWidth="1"/>
    <col min="2" max="2" width="3.21875" style="1" bestFit="1" customWidth="1"/>
    <col min="3" max="3" width="5.21875" style="1" bestFit="1" customWidth="1"/>
    <col min="4" max="4" width="8.609375" style="7" bestFit="1" customWidth="1"/>
    <col min="5" max="5" width="11.5" style="7" bestFit="1" customWidth="1"/>
    <col min="6" max="6" width="14.88671875" style="7" bestFit="1" customWidth="1"/>
    <col min="7" max="7" width="7.38671875" style="1" bestFit="1" customWidth="1"/>
    <col min="8" max="8" width="8.5" style="12" bestFit="1" customWidth="1"/>
    <col min="9" max="9" width="18.88671875" style="12" bestFit="1" customWidth="1"/>
    <col min="10" max="10" width="11" style="7" customWidth="1"/>
    <col min="11" max="11" width="21.5" style="8" bestFit="1" customWidth="1"/>
    <col min="12" max="13" width="15.109375" style="8" customWidth="1"/>
    <col min="14" max="15" width="16.109375" style="8" customWidth="1"/>
    <col min="16" max="17" width="18.109375" style="8" customWidth="1"/>
    <col min="18" max="18" width="16.109375" style="8" customWidth="1"/>
    <col min="19" max="19" width="12.71875" style="17" customWidth="1"/>
    <col min="20" max="20" width="17.21875" customWidth="1"/>
  </cols>
  <sheetData>
    <row r="2" spans="2:19" s="1" customFormat="1">
      <c r="B2" s="2" t="s">
        <v>0</v>
      </c>
      <c r="C2" s="2" t="s">
        <v>8</v>
      </c>
      <c r="D2" s="3" t="s">
        <v>2</v>
      </c>
      <c r="E2" s="3" t="s">
        <v>3</v>
      </c>
      <c r="F2" s="3" t="s">
        <v>32</v>
      </c>
      <c r="G2" s="3" t="s">
        <v>9</v>
      </c>
      <c r="H2" s="4" t="s">
        <v>4</v>
      </c>
      <c r="I2" s="4" t="s">
        <v>31</v>
      </c>
      <c r="J2" s="5" t="s">
        <v>33</v>
      </c>
      <c r="K2" s="9" t="s">
        <v>6</v>
      </c>
      <c r="L2" s="9" t="s">
        <v>7</v>
      </c>
      <c r="M2" s="9" t="s">
        <v>10</v>
      </c>
      <c r="N2" s="9" t="s">
        <v>11</v>
      </c>
      <c r="O2" s="9" t="s">
        <v>23</v>
      </c>
      <c r="P2" s="9" t="s">
        <v>27</v>
      </c>
      <c r="Q2" s="9" t="s">
        <v>29</v>
      </c>
      <c r="R2" s="9" t="s">
        <v>67</v>
      </c>
      <c r="S2" s="9" t="s">
        <v>5</v>
      </c>
    </row>
    <row r="3" spans="2:19" s="1" customFormat="1" ht="33.35">
      <c r="B3" s="43">
        <v>1</v>
      </c>
      <c r="C3" s="43" t="s">
        <v>34</v>
      </c>
      <c r="D3" s="44" t="s">
        <v>142</v>
      </c>
      <c r="E3" s="44">
        <v>2024110701</v>
      </c>
      <c r="F3" s="44"/>
      <c r="G3" s="43">
        <v>241107</v>
      </c>
      <c r="H3" s="62" t="s">
        <v>143</v>
      </c>
      <c r="I3" s="62" t="s">
        <v>144</v>
      </c>
      <c r="J3" s="78"/>
      <c r="K3" s="63"/>
      <c r="L3" s="19">
        <v>169299200</v>
      </c>
      <c r="M3" s="19">
        <f>L3</f>
        <v>169299200</v>
      </c>
      <c r="N3" s="19"/>
      <c r="O3" s="19"/>
      <c r="P3" s="19"/>
      <c r="Q3" s="19"/>
      <c r="R3" s="19"/>
      <c r="S3" s="19"/>
    </row>
    <row r="4" spans="2:19" s="42" customFormat="1">
      <c r="B4" s="39"/>
      <c r="C4" s="39"/>
      <c r="D4" s="40"/>
      <c r="E4" s="40"/>
      <c r="F4" s="40"/>
      <c r="G4" s="39"/>
      <c r="H4" s="58"/>
      <c r="I4" s="58"/>
      <c r="J4" s="40"/>
      <c r="K4" s="59"/>
      <c r="L4" s="41"/>
      <c r="M4" s="41"/>
      <c r="N4" s="41"/>
      <c r="O4" s="41"/>
      <c r="P4" s="41"/>
      <c r="Q4" s="60"/>
      <c r="R4" s="41"/>
      <c r="S4" s="40"/>
    </row>
    <row r="5" spans="2:19" s="42" customFormat="1">
      <c r="B5" s="39"/>
      <c r="C5" s="39"/>
      <c r="D5" s="40"/>
      <c r="E5" s="40"/>
      <c r="F5" s="40"/>
      <c r="G5" s="39"/>
      <c r="H5" s="58"/>
      <c r="I5" s="58"/>
      <c r="J5" s="40"/>
      <c r="K5" s="59"/>
      <c r="L5" s="41"/>
      <c r="M5" s="41"/>
      <c r="N5" s="41"/>
      <c r="O5" s="41"/>
      <c r="P5" s="41"/>
      <c r="Q5" s="60"/>
      <c r="R5" s="41"/>
      <c r="S5" s="40"/>
    </row>
    <row r="6" spans="2:19" s="42" customFormat="1">
      <c r="B6" s="39"/>
      <c r="C6" s="39"/>
      <c r="D6" s="40"/>
      <c r="E6" s="40"/>
      <c r="F6" s="40"/>
      <c r="G6" s="39"/>
      <c r="H6" s="58"/>
      <c r="I6" s="58"/>
      <c r="J6" s="40"/>
      <c r="K6" s="59"/>
      <c r="L6" s="41"/>
      <c r="M6" s="41"/>
      <c r="N6" s="41"/>
      <c r="O6" s="41"/>
      <c r="P6" s="41"/>
      <c r="Q6" s="41"/>
      <c r="R6" s="41"/>
      <c r="S6" s="40"/>
    </row>
    <row r="7" spans="2:19" s="42" customFormat="1">
      <c r="B7" s="43"/>
      <c r="C7" s="43"/>
      <c r="D7" s="44"/>
      <c r="E7" s="44"/>
      <c r="F7" s="44"/>
      <c r="G7" s="43"/>
      <c r="H7" s="65"/>
      <c r="I7" s="65"/>
      <c r="J7" s="53"/>
      <c r="K7" s="66"/>
      <c r="L7" s="67"/>
      <c r="M7" s="67"/>
      <c r="N7" s="67"/>
      <c r="O7" s="67"/>
      <c r="P7" s="67"/>
      <c r="Q7" s="67"/>
      <c r="R7" s="67"/>
      <c r="S7" s="53"/>
    </row>
    <row r="8" spans="2:19" s="42" customFormat="1">
      <c r="B8" s="39"/>
      <c r="C8" s="39"/>
      <c r="D8" s="40"/>
      <c r="E8" s="40"/>
      <c r="F8" s="40"/>
      <c r="G8" s="39"/>
      <c r="H8" s="58"/>
      <c r="I8" s="58"/>
      <c r="J8" s="40"/>
      <c r="K8" s="59"/>
      <c r="L8" s="41"/>
      <c r="M8" s="41"/>
      <c r="N8" s="41"/>
      <c r="O8" s="41"/>
      <c r="P8" s="41"/>
      <c r="Q8" s="41"/>
      <c r="R8" s="41"/>
      <c r="S8" s="40"/>
    </row>
    <row r="9" spans="2:19" s="42" customFormat="1">
      <c r="B9" s="39"/>
      <c r="C9" s="39"/>
      <c r="D9" s="40"/>
      <c r="E9" s="40"/>
      <c r="F9" s="40"/>
      <c r="G9" s="39"/>
      <c r="H9" s="61"/>
      <c r="I9" s="58"/>
      <c r="J9" s="40"/>
      <c r="K9" s="59"/>
      <c r="L9" s="41"/>
      <c r="M9" s="41"/>
      <c r="N9" s="41"/>
      <c r="O9" s="41"/>
      <c r="P9" s="41"/>
      <c r="Q9" s="41"/>
      <c r="R9" s="41"/>
      <c r="S9" s="40"/>
    </row>
    <row r="10" spans="2:19" s="42" customFormat="1">
      <c r="B10" s="43"/>
      <c r="C10" s="43"/>
      <c r="D10" s="44"/>
      <c r="E10" s="44"/>
      <c r="F10" s="44"/>
      <c r="G10" s="43"/>
      <c r="H10" s="62"/>
      <c r="I10" s="62"/>
      <c r="J10" s="44"/>
      <c r="K10" s="63"/>
      <c r="L10" s="19"/>
      <c r="M10" s="19"/>
      <c r="N10" s="19"/>
      <c r="O10" s="19"/>
      <c r="P10" s="19"/>
      <c r="Q10" s="19"/>
      <c r="R10" s="19"/>
      <c r="S10" s="44"/>
    </row>
    <row r="11" spans="2:19" s="42" customFormat="1">
      <c r="B11" s="43"/>
      <c r="C11" s="43"/>
      <c r="D11" s="44"/>
      <c r="E11" s="44"/>
      <c r="F11" s="44"/>
      <c r="G11" s="43"/>
      <c r="H11" s="62"/>
      <c r="I11" s="62"/>
      <c r="J11" s="44"/>
      <c r="K11" s="63"/>
      <c r="L11" s="19"/>
      <c r="M11" s="19"/>
      <c r="N11" s="19"/>
      <c r="O11" s="19"/>
      <c r="P11" s="19"/>
      <c r="Q11" s="19"/>
      <c r="R11" s="19"/>
      <c r="S11" s="44"/>
    </row>
    <row r="12" spans="2:19" s="42" customFormat="1">
      <c r="B12" s="43"/>
      <c r="C12" s="43"/>
      <c r="D12" s="44"/>
      <c r="E12" s="44"/>
      <c r="F12" s="44"/>
      <c r="G12" s="43"/>
      <c r="H12" s="62"/>
      <c r="I12" s="62"/>
      <c r="J12" s="44"/>
      <c r="K12" s="63"/>
      <c r="L12" s="19"/>
      <c r="M12" s="19"/>
      <c r="N12" s="19"/>
      <c r="O12" s="19"/>
      <c r="P12" s="19"/>
      <c r="Q12" s="19"/>
      <c r="R12" s="19"/>
      <c r="S12" s="44"/>
    </row>
    <row r="13" spans="2:19" s="42" customFormat="1">
      <c r="B13" s="43"/>
      <c r="C13" s="43"/>
      <c r="D13" s="44"/>
      <c r="E13" s="44"/>
      <c r="F13" s="44"/>
      <c r="G13" s="43"/>
      <c r="H13" s="62"/>
      <c r="I13" s="62"/>
      <c r="J13" s="44"/>
      <c r="K13" s="63"/>
      <c r="L13" s="19"/>
      <c r="M13" s="19"/>
      <c r="N13" s="19"/>
      <c r="O13" s="19"/>
      <c r="P13" s="19"/>
      <c r="Q13" s="19"/>
      <c r="R13" s="19"/>
      <c r="S13" s="44"/>
    </row>
    <row r="14" spans="2:19" s="42" customFormat="1">
      <c r="B14" s="39"/>
      <c r="C14" s="39"/>
      <c r="D14" s="40"/>
      <c r="E14" s="40"/>
      <c r="F14" s="40"/>
      <c r="G14" s="39"/>
      <c r="H14" s="58"/>
      <c r="I14" s="58"/>
      <c r="J14" s="40"/>
      <c r="K14" s="59"/>
      <c r="L14" s="41"/>
      <c r="M14" s="41"/>
      <c r="N14" s="41"/>
      <c r="O14" s="41"/>
      <c r="P14" s="41"/>
      <c r="Q14" s="41"/>
      <c r="R14" s="41"/>
      <c r="S14" s="40"/>
    </row>
    <row r="15" spans="2:19" s="42" customFormat="1">
      <c r="B15" s="43"/>
      <c r="C15" s="43"/>
      <c r="D15" s="44"/>
      <c r="E15" s="44"/>
      <c r="F15" s="44"/>
      <c r="G15" s="43"/>
      <c r="H15" s="62"/>
      <c r="I15" s="62"/>
      <c r="J15" s="44"/>
      <c r="K15" s="63"/>
      <c r="L15" s="19"/>
      <c r="M15" s="19"/>
      <c r="N15" s="19"/>
      <c r="O15" s="19"/>
      <c r="P15" s="19"/>
      <c r="Q15" s="19"/>
      <c r="R15" s="19"/>
      <c r="S15" s="44"/>
    </row>
    <row r="16" spans="2:19" s="42" customFormat="1">
      <c r="B16" s="43"/>
      <c r="C16" s="43"/>
      <c r="D16" s="44"/>
      <c r="E16" s="44"/>
      <c r="F16" s="44"/>
      <c r="G16" s="43"/>
      <c r="H16" s="62"/>
      <c r="I16" s="62"/>
      <c r="J16" s="44"/>
      <c r="K16" s="63"/>
      <c r="L16" s="19"/>
      <c r="M16" s="19"/>
      <c r="N16" s="19"/>
      <c r="O16" s="19"/>
      <c r="P16" s="19"/>
      <c r="Q16" s="19"/>
      <c r="R16" s="19"/>
      <c r="S16" s="44"/>
    </row>
    <row r="17" spans="2:19" s="42" customFormat="1">
      <c r="B17" s="43"/>
      <c r="C17" s="43"/>
      <c r="D17" s="44"/>
      <c r="E17" s="44"/>
      <c r="F17" s="44"/>
      <c r="G17" s="43"/>
      <c r="H17" s="62"/>
      <c r="I17" s="62"/>
      <c r="J17" s="44"/>
      <c r="K17" s="63"/>
      <c r="L17" s="19"/>
      <c r="M17" s="19"/>
      <c r="N17" s="19"/>
      <c r="O17" s="19"/>
      <c r="P17" s="19"/>
      <c r="Q17" s="19"/>
      <c r="R17" s="19"/>
      <c r="S17" s="44"/>
    </row>
    <row r="18" spans="2:19" s="42" customFormat="1">
      <c r="B18" s="43"/>
      <c r="C18" s="43"/>
      <c r="D18" s="44"/>
      <c r="E18" s="44"/>
      <c r="F18" s="44"/>
      <c r="G18" s="43"/>
      <c r="H18" s="62"/>
      <c r="I18" s="62"/>
      <c r="J18" s="44"/>
      <c r="K18" s="63"/>
      <c r="L18" s="19"/>
      <c r="M18" s="19"/>
      <c r="N18" s="19"/>
      <c r="O18" s="19"/>
      <c r="P18" s="19"/>
      <c r="Q18" s="19"/>
      <c r="R18" s="19"/>
      <c r="S18" s="44"/>
    </row>
    <row r="19" spans="2:19" s="42" customFormat="1">
      <c r="B19" s="43"/>
      <c r="C19" s="43"/>
      <c r="D19" s="44"/>
      <c r="E19" s="44"/>
      <c r="F19" s="44"/>
      <c r="G19" s="43"/>
      <c r="H19" s="62"/>
      <c r="I19" s="62"/>
      <c r="J19" s="44"/>
      <c r="K19" s="63"/>
      <c r="L19" s="19"/>
      <c r="M19" s="19"/>
      <c r="N19" s="19"/>
      <c r="O19" s="19"/>
      <c r="P19" s="19"/>
      <c r="Q19" s="19"/>
      <c r="R19" s="19"/>
      <c r="S19" s="44"/>
    </row>
    <row r="20" spans="2:19" s="42" customFormat="1">
      <c r="B20" s="43"/>
      <c r="C20" s="43"/>
      <c r="D20" s="44"/>
      <c r="E20" s="44"/>
      <c r="F20" s="44"/>
      <c r="G20" s="43"/>
      <c r="H20" s="62"/>
      <c r="I20" s="62"/>
      <c r="J20" s="44"/>
      <c r="K20" s="63"/>
      <c r="L20" s="19"/>
      <c r="M20" s="19"/>
      <c r="N20" s="19"/>
      <c r="O20" s="19"/>
      <c r="P20" s="19"/>
      <c r="Q20" s="19"/>
      <c r="R20" s="19"/>
      <c r="S20" s="44"/>
    </row>
    <row r="21" spans="2:19" s="42" customFormat="1">
      <c r="B21" s="43"/>
      <c r="C21" s="43"/>
      <c r="D21" s="44"/>
      <c r="E21" s="44"/>
      <c r="F21" s="44"/>
      <c r="G21" s="43"/>
      <c r="H21" s="62"/>
      <c r="I21" s="62"/>
      <c r="J21" s="44"/>
      <c r="K21" s="63"/>
      <c r="L21" s="19"/>
      <c r="M21" s="19"/>
      <c r="N21" s="19"/>
      <c r="O21" s="19"/>
      <c r="P21" s="19"/>
      <c r="Q21" s="19"/>
      <c r="R21" s="19"/>
      <c r="S21" s="44"/>
    </row>
    <row r="22" spans="2:19" s="42" customFormat="1">
      <c r="B22" s="43"/>
      <c r="C22" s="43"/>
      <c r="D22" s="44"/>
      <c r="E22" s="44"/>
      <c r="F22" s="44"/>
      <c r="G22" s="43"/>
      <c r="H22" s="62"/>
      <c r="I22" s="62"/>
      <c r="J22" s="44"/>
      <c r="K22" s="63"/>
      <c r="L22" s="19"/>
      <c r="M22" s="19"/>
      <c r="N22" s="19"/>
      <c r="O22" s="19"/>
      <c r="P22" s="19"/>
      <c r="Q22" s="19"/>
      <c r="R22" s="19"/>
      <c r="S22" s="44"/>
    </row>
    <row r="23" spans="2:19" s="42" customFormat="1">
      <c r="B23" s="43"/>
      <c r="C23" s="43"/>
      <c r="D23" s="44"/>
      <c r="E23" s="44"/>
      <c r="F23" s="44"/>
      <c r="G23" s="43"/>
      <c r="H23" s="62"/>
      <c r="I23" s="62"/>
      <c r="J23" s="44"/>
      <c r="K23" s="63"/>
      <c r="L23" s="19"/>
      <c r="M23" s="19"/>
      <c r="N23" s="19"/>
      <c r="O23" s="19"/>
      <c r="P23" s="19"/>
      <c r="Q23" s="19"/>
      <c r="R23" s="19"/>
      <c r="S23" s="44"/>
    </row>
    <row r="24" spans="2:19" s="42" customFormat="1">
      <c r="B24" s="43"/>
      <c r="C24" s="43"/>
      <c r="D24" s="44"/>
      <c r="E24" s="44"/>
      <c r="F24" s="44"/>
      <c r="G24" s="43"/>
      <c r="H24" s="62"/>
      <c r="I24" s="62"/>
      <c r="J24" s="44"/>
      <c r="K24" s="63"/>
      <c r="L24" s="19"/>
      <c r="M24" s="19"/>
      <c r="N24" s="19"/>
      <c r="O24" s="19"/>
      <c r="P24" s="19"/>
      <c r="Q24" s="19"/>
      <c r="R24" s="19"/>
      <c r="S24" s="44"/>
    </row>
    <row r="25" spans="2:19">
      <c r="B25" s="2"/>
      <c r="C25" s="104" t="s">
        <v>12</v>
      </c>
      <c r="D25" s="105"/>
      <c r="E25" s="105"/>
      <c r="F25" s="105"/>
      <c r="G25" s="105"/>
      <c r="H25" s="105"/>
      <c r="I25" s="105"/>
      <c r="J25" s="57"/>
      <c r="K25" s="11">
        <f t="shared" ref="K25:R25" si="0">SUM(K3:K24)</f>
        <v>0</v>
      </c>
      <c r="L25" s="16">
        <f t="shared" si="0"/>
        <v>169299200</v>
      </c>
      <c r="M25" s="10">
        <f t="shared" si="0"/>
        <v>169299200</v>
      </c>
      <c r="N25" s="10">
        <f t="shared" si="0"/>
        <v>0</v>
      </c>
      <c r="O25" s="16">
        <f t="shared" si="0"/>
        <v>0</v>
      </c>
      <c r="P25" s="16">
        <f t="shared" si="0"/>
        <v>0</v>
      </c>
      <c r="Q25" s="16">
        <f t="shared" si="0"/>
        <v>0</v>
      </c>
      <c r="R25" s="16">
        <f t="shared" si="0"/>
        <v>0</v>
      </c>
      <c r="S25" s="9"/>
    </row>
    <row r="26" spans="2:19">
      <c r="L26" s="15"/>
      <c r="N26" s="13"/>
      <c r="O26" s="14"/>
      <c r="P26" s="14"/>
      <c r="Q26" s="14"/>
      <c r="R26" s="18"/>
    </row>
  </sheetData>
  <mergeCells count="1">
    <mergeCell ref="C25:I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실적추이</vt:lpstr>
      <vt:lpstr>Total</vt:lpstr>
      <vt:lpstr>1.지아이씨</vt:lpstr>
      <vt:lpstr>2.김포골드라인</vt:lpstr>
      <vt:lpstr>3.교통공사</vt:lpstr>
      <vt:lpstr>4.실리콘큐브</vt:lpstr>
      <vt:lpstr>5.무한테크 (우진산전)</vt:lpstr>
      <vt:lpstr>6.다원시스</vt:lpstr>
      <vt:lpstr>7.티랩</vt:lpstr>
      <vt:lpstr>8.마루소프트</vt:lpstr>
      <vt:lpstr>9_신진금고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연수 김</cp:lastModifiedBy>
  <dcterms:created xsi:type="dcterms:W3CDTF">2010-03-24T06:08:57Z</dcterms:created>
  <dcterms:modified xsi:type="dcterms:W3CDTF">2024-11-22T06:14:48Z</dcterms:modified>
</cp:coreProperties>
</file>
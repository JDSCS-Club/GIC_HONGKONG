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전략\2025년 향후수주현황\"/>
    </mc:Choice>
  </mc:AlternateContent>
  <xr:revisionPtr revIDLastSave="0" documentId="13_ncr:1_{163762D6-BCDF-48D7-B7B5-D86231E154AF}" xr6:coauthVersionLast="47" xr6:coauthVersionMax="47" xr10:uidLastSave="{00000000-0000-0000-0000-000000000000}"/>
  <bookViews>
    <workbookView xWindow="3255" yWindow="105" windowWidth="25365" windowHeight="15075" xr2:uid="{1589083E-8638-43ED-94E9-5FD63EBCF32C}"/>
  </bookViews>
  <sheets>
    <sheet name="2025년 전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" i="1" l="1"/>
  <c r="S8" i="1" l="1"/>
  <c r="S7" i="1"/>
  <c r="S6" i="1"/>
  <c r="S18" i="1" l="1"/>
  <c r="T11" i="1" l="1"/>
  <c r="T10" i="1"/>
  <c r="T9" i="1"/>
  <c r="U29" i="1"/>
  <c r="T18" i="1" l="1"/>
  <c r="S19" i="1" s="1"/>
  <c r="U8" i="1"/>
  <c r="U7" i="1"/>
  <c r="U6" i="1"/>
  <c r="U18" i="1" l="1"/>
  <c r="V18" i="1"/>
</calcChain>
</file>

<file path=xl/sharedStrings.xml><?xml version="1.0" encoding="utf-8"?>
<sst xmlns="http://schemas.openxmlformats.org/spreadsheetml/2006/main" count="60" uniqueCount="48">
  <si>
    <t>순</t>
    <phoneticPr fontId="1" type="noConversion"/>
  </si>
  <si>
    <t>국가</t>
    <phoneticPr fontId="1" type="noConversion"/>
  </si>
  <si>
    <t>고객</t>
    <phoneticPr fontId="1" type="noConversion"/>
  </si>
  <si>
    <t>일정</t>
    <phoneticPr fontId="1" type="noConversion"/>
  </si>
  <si>
    <t>비고</t>
    <phoneticPr fontId="1" type="noConversion"/>
  </si>
  <si>
    <t>프로젝트명</t>
    <phoneticPr fontId="1" type="noConversion"/>
  </si>
  <si>
    <t>인도네시아(자카르타)</t>
    <phoneticPr fontId="1" type="noConversion"/>
  </si>
  <si>
    <t>인터모빌리티</t>
    <phoneticPr fontId="1" type="noConversion"/>
  </si>
  <si>
    <t>지아이씨</t>
  </si>
  <si>
    <t>2024년 수주 이월</t>
    <phoneticPr fontId="1" type="noConversion"/>
  </si>
  <si>
    <t>홍콩</t>
    <phoneticPr fontId="1" type="noConversion"/>
  </si>
  <si>
    <t>CSP24-0524-1</t>
  </si>
  <si>
    <t>CSP24-0913-1</t>
  </si>
  <si>
    <t>CSP24-0923-1</t>
  </si>
  <si>
    <t>LRV TCMS 개조</t>
    <phoneticPr fontId="1" type="noConversion"/>
  </si>
  <si>
    <t>LRV PIS 개조</t>
    <phoneticPr fontId="1" type="noConversion"/>
  </si>
  <si>
    <t>총계</t>
    <phoneticPr fontId="1" type="noConversion"/>
  </si>
  <si>
    <t>수주금액</t>
    <phoneticPr fontId="1" type="noConversion"/>
  </si>
  <si>
    <t>수주율(%)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</si>
  <si>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</si>
  <si>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</si>
  <si>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</si>
  <si>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</si>
  <si>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</si>
  <si>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</si>
  <si>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</si>
  <si>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</si>
  <si>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</si>
  <si>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</si>
  <si>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</si>
  <si>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</si>
  <si>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MTRC_Full Test Equipment</t>
    <phoneticPr fontId="1" type="noConversion"/>
  </si>
  <si>
    <t>Individual Test Equipment</t>
    <phoneticPr fontId="1" type="noConversion"/>
  </si>
  <si>
    <t>Additional Order</t>
    <phoneticPr fontId="1" type="noConversion"/>
  </si>
  <si>
    <t>New Station for KTU</t>
    <phoneticPr fontId="1" type="noConversion"/>
  </si>
  <si>
    <t>현대로템</t>
    <phoneticPr fontId="1" type="noConversion"/>
  </si>
  <si>
    <t>MOP, MSR, CTM 생산</t>
  </si>
  <si>
    <t>MSR NVR</t>
  </si>
  <si>
    <t>MSR PWR BOARD. FOR MSR.</t>
  </si>
  <si>
    <t>견적가
(AB)</t>
    <phoneticPr fontId="1" type="noConversion"/>
  </si>
  <si>
    <t>견적가
(CD)</t>
    <phoneticPr fontId="1" type="noConversion"/>
  </si>
  <si>
    <t>목표가</t>
    <phoneticPr fontId="1" type="noConversion"/>
  </si>
  <si>
    <t>EIDS 수리비 및 보수품</t>
    <phoneticPr fontId="1" type="noConversion"/>
  </si>
  <si>
    <t>Attach 2</t>
    <phoneticPr fontId="1" type="noConversion"/>
  </si>
  <si>
    <t>Attach 1</t>
    <phoneticPr fontId="1" type="noConversion"/>
  </si>
  <si>
    <t>2025년 주식회사 비업시스 영업추진 전략 및 목표 (해외)</t>
    <phoneticPr fontId="1" type="noConversion"/>
  </si>
  <si>
    <t>첨부 4</t>
    <phoneticPr fontId="1" type="noConversion"/>
  </si>
  <si>
    <t>말레이지아 LRV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</si>
</sst>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₩&quot;#,##0"/>
    <numFmt numFmtId="177" formatCode="#,##0_ "/>
    <numFmt numFmtId="178" formatCode="#,##0.00_ 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590A-26BB-490D-80EF-77F2D46F07ED}">
  <dimension ref="B2:Y29"/>
  <sheetViews>
    <sheetView tabSelected="1" zoomScale="85" zoomScaleNormal="85" workbookViewId="0">
      <selection activeCell="F24" sqref="F24"/>
    </sheetView>
  </sheetViews>
  <sheetFormatPr defaultRowHeight="16.5" x14ac:dyDescent="0.3"/>
  <cols>
    <col min="1" max="1" width="3.5" customWidth="1"/>
    <col min="2" max="2" width="3.5" bestFit="1" customWidth="1"/>
    <col min="3" max="3" width="22" bestFit="1" customWidth="1"/>
    <col min="4" max="4" width="13.5" bestFit="1" customWidth="1"/>
    <col min="5" max="5" width="32.125" bestFit="1" customWidth="1"/>
    <col min="6" max="6" width="20.625" bestFit="1" customWidth="1"/>
    <col min="7" max="15" width="2.5" bestFit="1" customWidth="1"/>
    <col min="16" max="18" width="3.5" bestFit="1" customWidth="1"/>
    <col min="19" max="19" width="18.375" style="3" customWidth="1"/>
    <col min="20" max="20" width="18.375" style="3" bestFit="1" customWidth="1"/>
    <col min="21" max="24" width="18.375" style="3" customWidth="1"/>
    <col min="25" max="25" width="21.375" style="3" bestFit="1" customWidth="1"/>
  </cols>
  <sheetData>
    <row r="2" spans="2:25" ht="38.25" x14ac:dyDescent="0.3">
      <c r="B2" s="27" t="s">
        <v>45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4" spans="2:25" x14ac:dyDescent="0.3">
      <c r="B4" s="28" t="s">
        <v>0</v>
      </c>
      <c r="C4" s="28" t="s">
        <v>2</v>
      </c>
      <c r="D4" s="28" t="s">
        <v>21</v>
      </c>
      <c r="E4" s="33" t="s">
        <v>5</v>
      </c>
      <c r="F4" s="28" t="s">
        <v>1</v>
      </c>
      <c r="G4" s="30" t="s">
        <v>3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2"/>
      <c r="S4" s="33" t="s">
        <v>17</v>
      </c>
      <c r="T4" s="33" t="s">
        <v>41</v>
      </c>
      <c r="U4" s="33" t="s">
        <v>39</v>
      </c>
      <c r="V4" s="33" t="s">
        <v>40</v>
      </c>
      <c r="W4" s="33" t="s">
        <v>19</v>
      </c>
      <c r="X4" s="33" t="s">
        <v>20</v>
      </c>
      <c r="Y4" s="28" t="s">
        <v>4</v>
      </c>
    </row>
    <row r="5" spans="2:25" x14ac:dyDescent="0.3">
      <c r="B5" s="29"/>
      <c r="C5" s="29"/>
      <c r="D5" s="29"/>
      <c r="E5" s="34"/>
      <c r="F5" s="29"/>
      <c r="G5" s="1">
        <v>1</v>
      </c>
      <c r="H5" s="1">
        <v>2</v>
      </c>
      <c r="I5" s="1">
        <v>3</v>
      </c>
      <c r="J5" s="1">
        <v>4</v>
      </c>
      <c r="K5" s="1">
        <v>5</v>
      </c>
      <c r="L5" s="1">
        <v>6</v>
      </c>
      <c r="M5" s="1">
        <v>7</v>
      </c>
      <c r="N5" s="1">
        <v>8</v>
      </c>
      <c r="O5" s="1">
        <v>9</v>
      </c>
      <c r="P5" s="1">
        <v>10</v>
      </c>
      <c r="Q5" s="1">
        <v>11</v>
      </c>
      <c r="R5" s="1">
        <v>12</v>
      </c>
      <c r="S5" s="29"/>
      <c r="T5" s="29"/>
      <c r="U5" s="29"/>
      <c r="V5" s="29"/>
      <c r="W5" s="29"/>
      <c r="X5" s="29"/>
      <c r="Y5" s="29"/>
    </row>
    <row r="6" spans="2:25" x14ac:dyDescent="0.3">
      <c r="B6" s="11">
        <v>1</v>
      </c>
      <c r="C6" s="10" t="s">
        <v>8</v>
      </c>
      <c r="D6" s="11" t="s">
        <v>11</v>
      </c>
      <c r="E6" s="18" t="s">
        <v>36</v>
      </c>
      <c r="F6" s="11" t="s">
        <v>10</v>
      </c>
      <c r="G6" s="6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4">
        <f>T6</f>
        <v>245497525</v>
      </c>
      <c r="T6" s="9">
        <v>245497525</v>
      </c>
      <c r="U6" s="14">
        <f>T6</f>
        <v>245497525</v>
      </c>
      <c r="V6" s="14"/>
      <c r="W6" s="11"/>
      <c r="X6" s="11"/>
      <c r="Y6" s="8" t="s">
        <v>9</v>
      </c>
    </row>
    <row r="7" spans="2:25" x14ac:dyDescent="0.3">
      <c r="B7" s="11"/>
      <c r="C7" s="10"/>
      <c r="D7" s="11" t="s">
        <v>12</v>
      </c>
      <c r="E7" s="18" t="s">
        <v>37</v>
      </c>
      <c r="F7" s="11" t="s">
        <v>10</v>
      </c>
      <c r="G7" s="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4">
        <f>T7</f>
        <v>105304551</v>
      </c>
      <c r="T7" s="9">
        <v>105304551</v>
      </c>
      <c r="U7" s="14">
        <f t="shared" ref="U7:U8" si="0">T7</f>
        <v>105304551</v>
      </c>
      <c r="V7" s="14"/>
      <c r="W7" s="11"/>
      <c r="X7" s="11"/>
      <c r="Y7" s="8" t="s">
        <v>9</v>
      </c>
    </row>
    <row r="8" spans="2:25" x14ac:dyDescent="0.3">
      <c r="B8" s="11"/>
      <c r="C8" s="10"/>
      <c r="D8" s="11" t="s">
        <v>13</v>
      </c>
      <c r="E8" s="18" t="s">
        <v>38</v>
      </c>
      <c r="F8" s="11" t="s">
        <v>10</v>
      </c>
      <c r="G8" s="6"/>
      <c r="H8" s="6"/>
      <c r="I8" s="6"/>
      <c r="J8" s="6"/>
      <c r="K8" s="10"/>
      <c r="L8" s="10"/>
      <c r="M8" s="10"/>
      <c r="N8" s="10"/>
      <c r="O8" s="10"/>
      <c r="P8" s="10"/>
      <c r="Q8" s="10"/>
      <c r="R8" s="10"/>
      <c r="S8" s="14">
        <f>T8</f>
        <v>86231200</v>
      </c>
      <c r="T8" s="9">
        <v>86231200</v>
      </c>
      <c r="U8" s="14">
        <f t="shared" si="0"/>
        <v>86231200</v>
      </c>
      <c r="V8" s="14"/>
      <c r="W8" s="11"/>
      <c r="X8" s="11"/>
      <c r="Y8" s="8" t="s">
        <v>9</v>
      </c>
    </row>
    <row r="9" spans="2:25" x14ac:dyDescent="0.3">
      <c r="B9" s="1"/>
      <c r="C9" s="1"/>
      <c r="D9" s="1"/>
      <c r="E9" s="19" t="s">
        <v>31</v>
      </c>
      <c r="F9" s="1" t="s">
        <v>10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"/>
      <c r="T9" s="5">
        <f>1000000*U23</f>
        <v>140000000</v>
      </c>
      <c r="U9" s="15"/>
      <c r="V9" s="1"/>
      <c r="W9" s="1"/>
      <c r="X9" s="1"/>
      <c r="Y9" s="1" t="s">
        <v>44</v>
      </c>
    </row>
    <row r="10" spans="2:25" x14ac:dyDescent="0.3">
      <c r="B10" s="13"/>
      <c r="C10" s="1"/>
      <c r="D10" s="13"/>
      <c r="E10" s="23" t="s">
        <v>32</v>
      </c>
      <c r="F10" s="1" t="s">
        <v>10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5">
        <f>1200000*U23</f>
        <v>168000000</v>
      </c>
      <c r="U10" s="15"/>
      <c r="V10" s="13"/>
      <c r="W10" s="13"/>
      <c r="X10" s="13"/>
      <c r="Y10" s="1" t="s">
        <v>44</v>
      </c>
    </row>
    <row r="11" spans="2:25" x14ac:dyDescent="0.3">
      <c r="B11" s="13"/>
      <c r="C11" s="1"/>
      <c r="D11" s="13"/>
      <c r="E11" s="23" t="s">
        <v>33</v>
      </c>
      <c r="F11" s="1" t="s">
        <v>10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4"/>
      <c r="T11" s="5">
        <f>1000000*U23</f>
        <v>140000000</v>
      </c>
      <c r="U11" s="15"/>
      <c r="V11" s="13"/>
      <c r="W11" s="13"/>
      <c r="X11" s="13"/>
      <c r="Y11" s="1"/>
    </row>
    <row r="12" spans="2:25" x14ac:dyDescent="0.3">
      <c r="B12" s="13"/>
      <c r="C12" s="1"/>
      <c r="D12" s="13"/>
      <c r="E12" s="23" t="s">
        <v>34</v>
      </c>
      <c r="F12" s="1" t="s">
        <v>10</v>
      </c>
      <c r="G12" s="2"/>
      <c r="H12" s="6"/>
      <c r="I12" s="6"/>
      <c r="J12" s="6"/>
      <c r="K12" s="6"/>
      <c r="L12" s="6"/>
      <c r="M12" s="6"/>
      <c r="N12" s="6"/>
      <c r="O12" s="2"/>
      <c r="P12" s="2"/>
      <c r="Q12" s="2"/>
      <c r="R12" s="2"/>
      <c r="S12" s="24"/>
      <c r="T12" s="5">
        <f>4654000*U23</f>
        <v>651560000</v>
      </c>
      <c r="U12" s="15"/>
      <c r="V12" s="5"/>
      <c r="W12" s="13"/>
      <c r="X12" s="13"/>
      <c r="Y12" s="1" t="s">
        <v>43</v>
      </c>
    </row>
    <row r="13" spans="2:25" x14ac:dyDescent="0.3">
      <c r="B13" s="17">
        <v>2</v>
      </c>
      <c r="C13" s="1" t="s">
        <v>35</v>
      </c>
      <c r="D13" s="17"/>
      <c r="E13" s="23" t="s">
        <v>42</v>
      </c>
      <c r="F13" s="1" t="s">
        <v>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4"/>
      <c r="T13" s="5">
        <v>9983340</v>
      </c>
      <c r="U13" s="5">
        <v>9983340</v>
      </c>
      <c r="V13" s="5"/>
      <c r="W13" s="17"/>
      <c r="X13" s="17"/>
      <c r="Y13" s="1"/>
    </row>
    <row r="14" spans="2:25" x14ac:dyDescent="0.3">
      <c r="B14" s="25"/>
      <c r="C14" s="1"/>
      <c r="D14" s="25"/>
      <c r="E14" s="26" t="s">
        <v>47</v>
      </c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5"/>
      <c r="T14" s="5"/>
      <c r="U14" s="5"/>
      <c r="V14" s="5"/>
      <c r="W14" s="25"/>
      <c r="X14" s="25"/>
      <c r="Y14" s="1"/>
    </row>
    <row r="15" spans="2:25" x14ac:dyDescent="0.3">
      <c r="B15" s="1">
        <v>3</v>
      </c>
      <c r="C15" s="1" t="s">
        <v>7</v>
      </c>
      <c r="D15" s="1"/>
      <c r="E15" s="19" t="s">
        <v>14</v>
      </c>
      <c r="F15" s="1" t="s">
        <v>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5"/>
      <c r="T15" s="5">
        <v>210341615</v>
      </c>
      <c r="U15" s="5"/>
      <c r="V15" s="5"/>
      <c r="W15" s="4"/>
      <c r="X15" s="4"/>
      <c r="Y15" s="4" t="s">
        <v>46</v>
      </c>
    </row>
    <row r="16" spans="2:25" x14ac:dyDescent="0.3">
      <c r="B16" s="1"/>
      <c r="C16" s="1"/>
      <c r="D16" s="1"/>
      <c r="E16" s="19" t="s">
        <v>15</v>
      </c>
      <c r="F16" s="1" t="s">
        <v>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5"/>
      <c r="T16" s="5">
        <v>400235945</v>
      </c>
      <c r="U16" s="5"/>
      <c r="V16" s="5"/>
      <c r="W16" s="4"/>
      <c r="X16" s="4"/>
      <c r="Y16" s="4" t="s">
        <v>46</v>
      </c>
    </row>
    <row r="17" spans="2:25" x14ac:dyDescent="0.3">
      <c r="B17" s="1"/>
      <c r="C17" s="1"/>
      <c r="D17" s="1"/>
      <c r="E17" s="19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1"/>
      <c r="T17" s="1"/>
      <c r="U17" s="1"/>
      <c r="V17" s="1"/>
      <c r="W17" s="1"/>
      <c r="X17" s="1"/>
      <c r="Y17" s="1"/>
    </row>
    <row r="18" spans="2:25" x14ac:dyDescent="0.3">
      <c r="B18" s="1"/>
      <c r="C18" s="7" t="s">
        <v>16</v>
      </c>
      <c r="D18" s="7"/>
      <c r="E18" s="1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2">
        <f>SUM(S6:S17)</f>
        <v>437033276</v>
      </c>
      <c r="T18" s="12">
        <f>SUM(T6:T17)</f>
        <v>2157154176</v>
      </c>
      <c r="U18" s="12">
        <f>SUM(U6:U17)</f>
        <v>447016616</v>
      </c>
      <c r="V18" s="12">
        <f>SUM(V6:V17)</f>
        <v>0</v>
      </c>
      <c r="W18" s="1"/>
      <c r="X18" s="1"/>
      <c r="Y18" s="1"/>
    </row>
    <row r="19" spans="2:25" x14ac:dyDescent="0.3">
      <c r="P19" s="3" t="s">
        <v>18</v>
      </c>
      <c r="S19" s="16">
        <f>S18/T18</f>
        <v>0.20259714435914292</v>
      </c>
    </row>
    <row r="21" spans="2:25" x14ac:dyDescent="0.3">
      <c r="T21" s="20" t="s">
        <v>22</v>
      </c>
      <c r="U21" s="20">
        <v>1200</v>
      </c>
    </row>
    <row r="22" spans="2:25" x14ac:dyDescent="0.3">
      <c r="T22" s="20" t="s">
        <v>23</v>
      </c>
      <c r="U22" s="20">
        <v>1400</v>
      </c>
    </row>
    <row r="23" spans="2:25" x14ac:dyDescent="0.3">
      <c r="T23" s="20" t="s">
        <v>24</v>
      </c>
      <c r="U23" s="20">
        <v>140</v>
      </c>
    </row>
    <row r="24" spans="2:25" x14ac:dyDescent="0.3">
      <c r="T24" s="20" t="s">
        <v>25</v>
      </c>
      <c r="U24" s="20">
        <v>800</v>
      </c>
    </row>
    <row r="25" spans="2:25" x14ac:dyDescent="0.3">
      <c r="T25" s="20" t="s">
        <v>26</v>
      </c>
      <c r="U25" s="20">
        <v>830</v>
      </c>
    </row>
    <row r="26" spans="2:25" x14ac:dyDescent="0.3">
      <c r="T26" s="20" t="s">
        <v>27</v>
      </c>
      <c r="U26" s="20">
        <v>850</v>
      </c>
    </row>
    <row r="27" spans="2:25" x14ac:dyDescent="0.3">
      <c r="T27" s="20" t="s">
        <v>28</v>
      </c>
      <c r="U27" s="20">
        <v>160</v>
      </c>
    </row>
    <row r="28" spans="2:25" x14ac:dyDescent="0.3">
      <c r="T28" s="20" t="s">
        <v>29</v>
      </c>
      <c r="U28" s="21">
        <v>1700</v>
      </c>
    </row>
    <row r="29" spans="2:25" x14ac:dyDescent="0.3">
      <c r="T29" s="20" t="s">
        <v>30</v>
      </c>
      <c r="U29" s="22">
        <f>920/100</f>
        <v>9.1999999999999993</v>
      </c>
    </row>
  </sheetData>
  <mergeCells count="14">
    <mergeCell ref="B2:Y2"/>
    <mergeCell ref="Y4:Y5"/>
    <mergeCell ref="G4:R4"/>
    <mergeCell ref="B4:B5"/>
    <mergeCell ref="C4:C5"/>
    <mergeCell ref="E4:E5"/>
    <mergeCell ref="T4:T5"/>
    <mergeCell ref="F4:F5"/>
    <mergeCell ref="W4:W5"/>
    <mergeCell ref="D4:D5"/>
    <mergeCell ref="U4:U5"/>
    <mergeCell ref="V4:V5"/>
    <mergeCell ref="X4:X5"/>
    <mergeCell ref="S4:S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S.S. Choi</cp:lastModifiedBy>
  <dcterms:created xsi:type="dcterms:W3CDTF">2024-12-11T23:49:46Z</dcterms:created>
  <dcterms:modified xsi:type="dcterms:W3CDTF">2025-01-10T22:34:40Z</dcterms:modified>
</cp:coreProperties>
</file>
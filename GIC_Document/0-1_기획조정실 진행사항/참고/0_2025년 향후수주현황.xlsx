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0_영업전략\2025년 향후수주현황\"/>
    </mc:Choice>
  </mc:AlternateContent>
  <xr:revisionPtr revIDLastSave="0" documentId="13_ncr:1_{1A762708-5910-48FA-9600-6D582D0D7B65}" xr6:coauthVersionLast="47" xr6:coauthVersionMax="47" xr10:uidLastSave="{00000000-0000-0000-0000-000000000000}"/>
  <bookViews>
    <workbookView xWindow="-93" yWindow="-93" windowWidth="25786" windowHeight="13986" activeTab="2" xr2:uid="{1589083E-8638-43ED-94E9-5FD63EBCF32C}"/>
  </bookViews>
  <sheets>
    <sheet name="2024년 현황 (2)" sheetId="3" r:id="rId1"/>
    <sheet name="2024년 현황" sheetId="2" r:id="rId2"/>
    <sheet name="2025년 전략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9" i="1" l="1"/>
  <c r="S18" i="1"/>
  <c r="S8" i="1"/>
  <c r="S7" i="1"/>
  <c r="S6" i="1"/>
  <c r="S26" i="1" l="1"/>
  <c r="U22" i="3"/>
  <c r="T23" i="3" l="1"/>
  <c r="T24" i="3"/>
  <c r="T20" i="3"/>
  <c r="T19" i="3"/>
  <c r="U21" i="3"/>
  <c r="U16" i="3"/>
  <c r="T14" i="3"/>
  <c r="V14" i="3" s="1"/>
  <c r="T12" i="3"/>
  <c r="T15" i="3" l="1"/>
  <c r="V15" i="3" s="1"/>
  <c r="T9" i="3"/>
  <c r="V9" i="3" s="1"/>
  <c r="T7" i="3"/>
  <c r="V7" i="3" s="1"/>
  <c r="T8" i="3"/>
  <c r="V8" i="3" s="1"/>
  <c r="T36" i="3"/>
  <c r="T18" i="3"/>
  <c r="T17" i="3"/>
  <c r="T13" i="3"/>
  <c r="T11" i="3"/>
  <c r="V11" i="3" s="1"/>
  <c r="T10" i="3"/>
  <c r="V10" i="3" s="1"/>
  <c r="T6" i="3"/>
  <c r="T12" i="1"/>
  <c r="T11" i="1"/>
  <c r="T10" i="1"/>
  <c r="T9" i="1"/>
  <c r="U37" i="1"/>
  <c r="U25" i="3" l="1"/>
  <c r="T25" i="3"/>
  <c r="S25" i="3"/>
  <c r="V6" i="3"/>
  <c r="V25" i="3" s="1"/>
  <c r="T26" i="1"/>
  <c r="S27" i="1" s="1"/>
  <c r="G9" i="2"/>
  <c r="U15" i="1"/>
  <c r="U19" i="1"/>
  <c r="U18" i="1"/>
  <c r="U8" i="1"/>
  <c r="U7" i="1"/>
  <c r="U6" i="1"/>
  <c r="V26" i="3" l="1"/>
  <c r="U26" i="1"/>
  <c r="V26" i="1"/>
  <c r="F9" i="2"/>
  <c r="E9" i="2"/>
  <c r="D9" i="2"/>
</calcChain>
</file>

<file path=xl/sharedStrings.xml><?xml version="1.0" encoding="utf-8"?>
<sst xmlns="http://schemas.openxmlformats.org/spreadsheetml/2006/main" count="177" uniqueCount="99">
  <si>
    <t>순</t>
    <phoneticPr fontId="1" type="noConversion"/>
  </si>
  <si>
    <t>국가</t>
    <phoneticPr fontId="1" type="noConversion"/>
  </si>
  <si>
    <t>고객</t>
    <phoneticPr fontId="1" type="noConversion"/>
  </si>
  <si>
    <t>일정</t>
    <phoneticPr fontId="1" type="noConversion"/>
  </si>
  <si>
    <t>수주가</t>
    <phoneticPr fontId="1" type="noConversion"/>
  </si>
  <si>
    <t>비고</t>
    <phoneticPr fontId="1" type="noConversion"/>
  </si>
  <si>
    <t>프로젝트명</t>
    <phoneticPr fontId="1" type="noConversion"/>
  </si>
  <si>
    <t>서울교통공사</t>
    <phoneticPr fontId="1" type="noConversion"/>
  </si>
  <si>
    <t>대한민국</t>
    <phoneticPr fontId="1" type="noConversion"/>
  </si>
  <si>
    <t>인도네시아(자카르타)</t>
    <phoneticPr fontId="1" type="noConversion"/>
  </si>
  <si>
    <t>인터모빌리티</t>
    <phoneticPr fontId="1" type="noConversion"/>
  </si>
  <si>
    <t>2025년 주식회사 비업시스 영업추진 전략 및 목표</t>
    <phoneticPr fontId="1" type="noConversion"/>
  </si>
  <si>
    <t>첨부2 참조</t>
    <phoneticPr fontId="1" type="noConversion"/>
  </si>
  <si>
    <t>전체</t>
    <phoneticPr fontId="1" type="noConversion"/>
  </si>
  <si>
    <t>2024년</t>
    <phoneticPr fontId="1" type="noConversion"/>
  </si>
  <si>
    <t>입금총액</t>
    <phoneticPr fontId="1" type="noConversion"/>
  </si>
  <si>
    <t>미수금</t>
    <phoneticPr fontId="1" type="noConversion"/>
  </si>
  <si>
    <t>지아이씨</t>
  </si>
  <si>
    <t>교통공사</t>
  </si>
  <si>
    <t>실리콘큐브</t>
  </si>
  <si>
    <t>무한테크</t>
  </si>
  <si>
    <t>다원시스</t>
  </si>
  <si>
    <t>첨부4 참조</t>
    <phoneticPr fontId="1" type="noConversion"/>
  </si>
  <si>
    <t>네이버시스템 주식회사</t>
    <phoneticPr fontId="1" type="noConversion"/>
  </si>
  <si>
    <t>소계</t>
    <phoneticPr fontId="1" type="noConversion"/>
  </si>
  <si>
    <t>2024년 수주 이월</t>
    <phoneticPr fontId="1" type="noConversion"/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</si>
  <si>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</si>
  <si>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</si>
  <si>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</si>
  <si>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</si>
  <si>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</si>
  <si>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</si>
  <si>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7호선 3차분 PIS-CSC 장치 개조</t>
    <phoneticPr fontId="1" type="noConversion"/>
  </si>
  <si>
    <t>7호선 2차분 PIS-LCD 개조</t>
    <phoneticPr fontId="1" type="noConversion"/>
  </si>
  <si>
    <t>7호선 TCMS 개조</t>
    <phoneticPr fontId="1" type="noConversion"/>
  </si>
  <si>
    <t>LRV TCMS 개조</t>
    <phoneticPr fontId="1" type="noConversion"/>
  </si>
  <si>
    <t>LRV PIS 개조</t>
    <phoneticPr fontId="1" type="noConversion"/>
  </si>
  <si>
    <t>총계</t>
    <phoneticPr fontId="1" type="noConversion"/>
  </si>
  <si>
    <t>수주가
(AB)</t>
    <phoneticPr fontId="1" type="noConversion"/>
  </si>
  <si>
    <t>수주가
(CD)</t>
    <phoneticPr fontId="1" type="noConversion"/>
  </si>
  <si>
    <t>수주금액</t>
    <phoneticPr fontId="1" type="noConversion"/>
  </si>
  <si>
    <t>수주율(%)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</si>
  <si>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</si>
  <si>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</si>
  <si>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</si>
  <si>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</si>
  <si>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</si>
  <si>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</si>
  <si>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</si>
  <si>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</si>
  <si>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</si>
  <si>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</si>
  <si>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</si>
  <si>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</si>
  <si>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MTRC_Full Test Equipment</t>
    <phoneticPr fontId="1" type="noConversion"/>
  </si>
  <si>
    <t>Individual Test Equipment</t>
    <phoneticPr fontId="1" type="noConversion"/>
  </si>
  <si>
    <t>Additional Order</t>
    <phoneticPr fontId="1" type="noConversion"/>
  </si>
  <si>
    <t>New Station for KTU</t>
    <phoneticPr fontId="1" type="noConversion"/>
  </si>
  <si>
    <t>현대로템</t>
    <phoneticPr fontId="1" type="noConversion"/>
  </si>
  <si>
    <t>MOP, MSR, CTM 생산</t>
  </si>
  <si>
    <t>MSR NVR</t>
  </si>
  <si>
    <t>MSR PWR BOARD. FOR MSR.</t>
  </si>
  <si>
    <t>CSP24-0409-1</t>
  </si>
  <si>
    <t>CSP24-0409-2</t>
  </si>
  <si>
    <t>PAB, EID, PSR, ETND, EDD 생산</t>
  </si>
  <si>
    <t>MOP 수리(17031, R1C001388)</t>
  </si>
  <si>
    <t>2024년 주식회사 비업시스 영업 현황</t>
    <phoneticPr fontId="1" type="noConversion"/>
  </si>
  <si>
    <t>CSP24-0524-2</t>
    <phoneticPr fontId="1" type="noConversion"/>
  </si>
  <si>
    <t>PSR-Hub외 9종 생산</t>
    <phoneticPr fontId="1" type="noConversion"/>
  </si>
  <si>
    <t>7호선 3차분 PIS-CSC 장치 수리</t>
    <phoneticPr fontId="1" type="noConversion"/>
  </si>
  <si>
    <t>실리콘큐브</t>
    <phoneticPr fontId="1" type="noConversion"/>
  </si>
  <si>
    <t>무한테크</t>
    <phoneticPr fontId="1" type="noConversion"/>
  </si>
  <si>
    <t>DWE-2024-JUN-11-001</t>
  </si>
  <si>
    <t>DWE-2024-AUG-29-001</t>
  </si>
  <si>
    <t>인도네시아</t>
    <phoneticPr fontId="1" type="noConversion"/>
  </si>
  <si>
    <t>MSR/PSR/MOP/CTM 수리</t>
    <phoneticPr fontId="1" type="noConversion"/>
  </si>
  <si>
    <t>MTX/MRX</t>
    <phoneticPr fontId="1" type="noConversion"/>
  </si>
  <si>
    <t>MT-241007-A</t>
    <phoneticPr fontId="1" type="noConversion"/>
  </si>
  <si>
    <t>김포골드라인</t>
    <phoneticPr fontId="1" type="noConversion"/>
  </si>
  <si>
    <t>김포골드라인 10량분</t>
  </si>
  <si>
    <t>7호선 3차분 PIS-CSC 장치 교체</t>
    <phoneticPr fontId="1" type="noConversion"/>
  </si>
  <si>
    <t>뉴펄스진행</t>
    <phoneticPr fontId="1" type="noConversion"/>
  </si>
  <si>
    <t>7호선3차분TCMS개조관련외주용역</t>
  </si>
  <si>
    <t>고장분석기기고정용RACK시험기</t>
  </si>
  <si>
    <t>4호선210량 소프트웨어 개선비</t>
  </si>
  <si>
    <t>신진금고</t>
    <phoneticPr fontId="1" type="noConversion"/>
  </si>
  <si>
    <t>티렉디바이스(신진금고)_LCDDISPLAY</t>
  </si>
  <si>
    <t>마루소프트</t>
    <phoneticPr fontId="1" type="noConversion"/>
  </si>
  <si>
    <t>인도네시아LRT_CTM</t>
    <phoneticPr fontId="1" type="noConversion"/>
  </si>
  <si>
    <t>티랩</t>
    <phoneticPr fontId="1" type="noConversion"/>
  </si>
  <si>
    <t>인도네시아 TCMS 개량</t>
  </si>
  <si>
    <t>견적가</t>
    <phoneticPr fontId="1" type="noConversion"/>
  </si>
  <si>
    <t>견적가
(AB)</t>
    <phoneticPr fontId="1" type="noConversion"/>
  </si>
  <si>
    <t>견적가
(CD)</t>
    <phoneticPr fontId="1" type="noConversion"/>
  </si>
  <si>
    <t>목표가</t>
    <phoneticPr fontId="1" type="noConversion"/>
  </si>
  <si>
    <t>EIDS 수리비 및 보수품</t>
    <phoneticPr fontId="1" type="noConversion"/>
  </si>
  <si>
    <t>4호선 방송 소프트웨어</t>
    <phoneticPr fontId="1" type="noConversion"/>
  </si>
  <si>
    <t>7호선 2차분 PIS-LCD 수리/교체1</t>
    <phoneticPr fontId="1" type="noConversion"/>
  </si>
  <si>
    <t>7호선 2차분 PIS-LCD 수리/교체2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</si>
</sst>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&quot;₩&quot;#,##0"/>
    <numFmt numFmtId="177" formatCode="#,##0_ "/>
    <numFmt numFmtId="178" formatCode="#,##0.00_ 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0" fillId="0" borderId="0" xfId="0" applyNumberFormat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42" fontId="0" fillId="3" borderId="1" xfId="0" applyNumberForma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6" fillId="3" borderId="1" xfId="0" applyNumberFormat="1" applyFont="1" applyFill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2228-985A-4431-AF9C-616ECB99F4EE}">
  <dimension ref="B2:Y36"/>
  <sheetViews>
    <sheetView zoomScaleNormal="100" workbookViewId="0">
      <selection activeCell="S6" sqref="S6"/>
    </sheetView>
  </sheetViews>
  <sheetFormatPr defaultRowHeight="16.7" x14ac:dyDescent="0.65"/>
  <cols>
    <col min="1" max="1" width="3.5" customWidth="1"/>
    <col min="2" max="2" width="3.5" bestFit="1" customWidth="1"/>
    <col min="3" max="3" width="22" bestFit="1" customWidth="1"/>
    <col min="4" max="4" width="22.88671875" bestFit="1" customWidth="1"/>
    <col min="5" max="5" width="32.109375" bestFit="1" customWidth="1"/>
    <col min="6" max="6" width="20.609375" bestFit="1" customWidth="1"/>
    <col min="7" max="15" width="2.5" style="35" bestFit="1" customWidth="1"/>
    <col min="16" max="18" width="3.5" style="35" bestFit="1" customWidth="1"/>
    <col min="19" max="19" width="18.38671875" style="3" bestFit="1" customWidth="1"/>
    <col min="20" max="24" width="18.38671875" style="3" customWidth="1"/>
    <col min="25" max="25" width="21.38671875" style="3" bestFit="1" customWidth="1"/>
  </cols>
  <sheetData>
    <row r="2" spans="2:25" ht="34.35" x14ac:dyDescent="0.65">
      <c r="B2" s="50" t="s">
        <v>66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4" spans="2:25" x14ac:dyDescent="0.65">
      <c r="B4" s="49" t="s">
        <v>0</v>
      </c>
      <c r="C4" s="49" t="s">
        <v>2</v>
      </c>
      <c r="D4" s="49" t="s">
        <v>44</v>
      </c>
      <c r="E4" s="47" t="s">
        <v>6</v>
      </c>
      <c r="F4" s="49" t="s">
        <v>1</v>
      </c>
      <c r="G4" s="52" t="s">
        <v>3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4"/>
      <c r="S4" s="47" t="s">
        <v>91</v>
      </c>
      <c r="T4" s="47" t="s">
        <v>38</v>
      </c>
      <c r="U4" s="47" t="s">
        <v>39</v>
      </c>
      <c r="V4" s="47" t="s">
        <v>40</v>
      </c>
      <c r="W4" s="47" t="s">
        <v>42</v>
      </c>
      <c r="X4" s="47" t="s">
        <v>43</v>
      </c>
      <c r="Y4" s="49" t="s">
        <v>5</v>
      </c>
    </row>
    <row r="5" spans="2:25" x14ac:dyDescent="0.65">
      <c r="B5" s="48"/>
      <c r="C5" s="48"/>
      <c r="D5" s="48"/>
      <c r="E5" s="51"/>
      <c r="F5" s="48"/>
      <c r="G5" s="32">
        <v>1</v>
      </c>
      <c r="H5" s="32">
        <v>2</v>
      </c>
      <c r="I5" s="32">
        <v>3</v>
      </c>
      <c r="J5" s="32">
        <v>4</v>
      </c>
      <c r="K5" s="32">
        <v>5</v>
      </c>
      <c r="L5" s="32">
        <v>6</v>
      </c>
      <c r="M5" s="32">
        <v>7</v>
      </c>
      <c r="N5" s="32">
        <v>8</v>
      </c>
      <c r="O5" s="32">
        <v>9</v>
      </c>
      <c r="P5" s="32">
        <v>10</v>
      </c>
      <c r="Q5" s="32">
        <v>11</v>
      </c>
      <c r="R5" s="32">
        <v>12</v>
      </c>
      <c r="S5" s="48"/>
      <c r="T5" s="48"/>
      <c r="U5" s="48"/>
      <c r="V5" s="48"/>
      <c r="W5" s="48"/>
      <c r="X5" s="48"/>
      <c r="Y5" s="48"/>
    </row>
    <row r="6" spans="2:25" x14ac:dyDescent="0.65">
      <c r="B6" s="36">
        <v>1</v>
      </c>
      <c r="C6" s="17" t="s">
        <v>17</v>
      </c>
      <c r="D6" s="18" t="s">
        <v>62</v>
      </c>
      <c r="E6" s="25" t="s">
        <v>64</v>
      </c>
      <c r="F6" s="18" t="s">
        <v>26</v>
      </c>
      <c r="G6" s="33"/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16">
        <v>423083700</v>
      </c>
      <c r="T6" s="21">
        <f>S6</f>
        <v>423083700</v>
      </c>
      <c r="U6" s="21"/>
      <c r="V6" s="21">
        <f>T6</f>
        <v>423083700</v>
      </c>
      <c r="W6" s="18"/>
      <c r="X6" s="18"/>
      <c r="Y6" s="13"/>
    </row>
    <row r="7" spans="2:25" x14ac:dyDescent="0.65">
      <c r="B7" s="18"/>
      <c r="C7" s="17"/>
      <c r="D7" s="18" t="s">
        <v>63</v>
      </c>
      <c r="E7" s="25" t="s">
        <v>65</v>
      </c>
      <c r="F7" s="18" t="s">
        <v>26</v>
      </c>
      <c r="G7" s="33"/>
      <c r="H7" s="33"/>
      <c r="I7" s="34"/>
      <c r="J7" s="34"/>
      <c r="K7" s="34"/>
      <c r="L7" s="34"/>
      <c r="M7" s="34"/>
      <c r="N7" s="34"/>
      <c r="O7" s="34"/>
      <c r="P7" s="34"/>
      <c r="Q7" s="34"/>
      <c r="R7" s="34"/>
      <c r="S7" s="16">
        <v>3942000</v>
      </c>
      <c r="T7" s="21">
        <f>S7</f>
        <v>3942000</v>
      </c>
      <c r="U7" s="21"/>
      <c r="V7" s="21">
        <f>T7</f>
        <v>3942000</v>
      </c>
      <c r="W7" s="18"/>
      <c r="X7" s="18"/>
      <c r="Y7" s="13"/>
    </row>
    <row r="8" spans="2:25" x14ac:dyDescent="0.65">
      <c r="B8" s="18"/>
      <c r="C8" s="17"/>
      <c r="D8" s="18" t="s">
        <v>29</v>
      </c>
      <c r="E8" s="25" t="s">
        <v>59</v>
      </c>
      <c r="F8" s="18" t="s">
        <v>26</v>
      </c>
      <c r="G8" s="33"/>
      <c r="H8" s="33"/>
      <c r="I8" s="34"/>
      <c r="J8" s="34"/>
      <c r="K8" s="34"/>
      <c r="L8" s="34"/>
      <c r="M8" s="34"/>
      <c r="N8" s="34"/>
      <c r="O8" s="34"/>
      <c r="P8" s="34"/>
      <c r="Q8" s="34"/>
      <c r="R8" s="34"/>
      <c r="S8" s="16">
        <v>350710750</v>
      </c>
      <c r="T8" s="21">
        <f>S8</f>
        <v>350710750</v>
      </c>
      <c r="U8" s="21"/>
      <c r="V8" s="21">
        <f>T8</f>
        <v>350710750</v>
      </c>
      <c r="W8" s="18"/>
      <c r="X8" s="18"/>
      <c r="Y8" s="13"/>
    </row>
    <row r="9" spans="2:25" x14ac:dyDescent="0.65">
      <c r="B9" s="18"/>
      <c r="C9" s="17"/>
      <c r="D9" s="18" t="s">
        <v>67</v>
      </c>
      <c r="E9" s="25" t="s">
        <v>68</v>
      </c>
      <c r="F9" s="18" t="s">
        <v>26</v>
      </c>
      <c r="G9" s="33"/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16">
        <v>197810000</v>
      </c>
      <c r="T9" s="21">
        <f>S9</f>
        <v>197810000</v>
      </c>
      <c r="U9" s="21"/>
      <c r="V9" s="21">
        <f>T9</f>
        <v>197810000</v>
      </c>
      <c r="W9" s="18"/>
      <c r="X9" s="18"/>
      <c r="Y9" s="13"/>
    </row>
    <row r="10" spans="2:25" x14ac:dyDescent="0.65">
      <c r="B10" s="18"/>
      <c r="C10" s="17"/>
      <c r="D10" s="18" t="s">
        <v>30</v>
      </c>
      <c r="E10" s="25" t="s">
        <v>60</v>
      </c>
      <c r="F10" s="18" t="s">
        <v>26</v>
      </c>
      <c r="G10" s="33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16">
        <v>351015169</v>
      </c>
      <c r="T10" s="21">
        <f t="shared" ref="T10:T15" si="0">S10</f>
        <v>351015169</v>
      </c>
      <c r="U10" s="21"/>
      <c r="V10" s="21">
        <f t="shared" ref="V10:V15" si="1">T10</f>
        <v>351015169</v>
      </c>
      <c r="W10" s="18"/>
      <c r="X10" s="18"/>
      <c r="Y10" s="13"/>
    </row>
    <row r="11" spans="2:25" x14ac:dyDescent="0.65">
      <c r="B11" s="18"/>
      <c r="C11" s="17"/>
      <c r="D11" s="18" t="s">
        <v>31</v>
      </c>
      <c r="E11" s="25" t="s">
        <v>61</v>
      </c>
      <c r="F11" s="18" t="s">
        <v>26</v>
      </c>
      <c r="G11" s="33"/>
      <c r="H11" s="33"/>
      <c r="I11" s="33"/>
      <c r="J11" s="33"/>
      <c r="K11" s="34"/>
      <c r="L11" s="34"/>
      <c r="M11" s="34"/>
      <c r="N11" s="34"/>
      <c r="O11" s="34"/>
      <c r="P11" s="34"/>
      <c r="Q11" s="34"/>
      <c r="R11" s="34"/>
      <c r="S11" s="16">
        <v>161717800</v>
      </c>
      <c r="T11" s="21">
        <f t="shared" si="0"/>
        <v>161717800</v>
      </c>
      <c r="U11" s="21"/>
      <c r="V11" s="21">
        <f t="shared" si="1"/>
        <v>161717800</v>
      </c>
      <c r="W11" s="18"/>
      <c r="X11" s="18"/>
      <c r="Y11" s="13"/>
    </row>
    <row r="12" spans="2:25" x14ac:dyDescent="0.65">
      <c r="B12" s="36">
        <v>2</v>
      </c>
      <c r="C12" s="37" t="s">
        <v>78</v>
      </c>
      <c r="D12" s="36">
        <v>202410041</v>
      </c>
      <c r="E12" s="38" t="s">
        <v>79</v>
      </c>
      <c r="F12" s="1" t="s">
        <v>8</v>
      </c>
      <c r="G12" s="39"/>
      <c r="H12" s="39"/>
      <c r="I12" s="39"/>
      <c r="J12" s="39"/>
      <c r="K12" s="40"/>
      <c r="L12" s="40"/>
      <c r="M12" s="40"/>
      <c r="N12" s="40"/>
      <c r="O12" s="40"/>
      <c r="P12" s="40"/>
      <c r="Q12" s="40"/>
      <c r="R12" s="40"/>
      <c r="S12" s="41">
        <v>957811200</v>
      </c>
      <c r="T12" s="42">
        <f t="shared" si="0"/>
        <v>957811200</v>
      </c>
      <c r="U12" s="42"/>
      <c r="V12" s="42"/>
      <c r="W12" s="36"/>
      <c r="X12" s="36"/>
      <c r="Y12" s="43"/>
    </row>
    <row r="13" spans="2:25" x14ac:dyDescent="0.65">
      <c r="B13" s="1">
        <v>3</v>
      </c>
      <c r="C13" s="46" t="s">
        <v>7</v>
      </c>
      <c r="D13" s="1"/>
      <c r="E13" s="26" t="s">
        <v>80</v>
      </c>
      <c r="F13" s="1" t="s">
        <v>8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41">
        <v>207254910</v>
      </c>
      <c r="T13" s="42">
        <f t="shared" si="0"/>
        <v>207254910</v>
      </c>
      <c r="U13" s="41"/>
      <c r="V13" s="42"/>
      <c r="W13" s="43"/>
      <c r="X13" s="43"/>
      <c r="Y13" s="43"/>
    </row>
    <row r="14" spans="2:25" x14ac:dyDescent="0.65">
      <c r="B14" s="37"/>
      <c r="C14" s="1"/>
      <c r="D14" s="1"/>
      <c r="E14" s="44" t="s">
        <v>69</v>
      </c>
      <c r="F14" s="17" t="s">
        <v>8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16">
        <v>1900000</v>
      </c>
      <c r="T14" s="21">
        <f t="shared" ref="T14" si="2">S14</f>
        <v>1900000</v>
      </c>
      <c r="U14" s="16"/>
      <c r="V14" s="21">
        <f t="shared" ref="V14" si="3">T14</f>
        <v>1900000</v>
      </c>
      <c r="W14" s="13"/>
      <c r="X14" s="13"/>
      <c r="Y14" s="13"/>
    </row>
    <row r="15" spans="2:25" x14ac:dyDescent="0.65">
      <c r="B15" s="37">
        <v>4</v>
      </c>
      <c r="C15" s="17" t="s">
        <v>70</v>
      </c>
      <c r="D15" s="44" t="s">
        <v>81</v>
      </c>
      <c r="E15" s="44" t="s">
        <v>75</v>
      </c>
      <c r="F15" s="18" t="s">
        <v>26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16">
        <v>46840000</v>
      </c>
      <c r="T15" s="21">
        <f t="shared" si="0"/>
        <v>46840000</v>
      </c>
      <c r="U15" s="16"/>
      <c r="V15" s="21">
        <f t="shared" si="1"/>
        <v>46840000</v>
      </c>
      <c r="W15" s="13"/>
      <c r="X15" s="13"/>
      <c r="Y15" s="13"/>
    </row>
    <row r="16" spans="2:25" x14ac:dyDescent="0.65">
      <c r="B16" s="37">
        <v>5</v>
      </c>
      <c r="C16" s="17" t="s">
        <v>71</v>
      </c>
      <c r="D16" s="17" t="s">
        <v>77</v>
      </c>
      <c r="E16" s="44" t="s">
        <v>76</v>
      </c>
      <c r="F16" s="18" t="s">
        <v>74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16">
        <v>20350000</v>
      </c>
      <c r="T16" s="16"/>
      <c r="U16" s="16">
        <f>S16</f>
        <v>20350000</v>
      </c>
      <c r="V16" s="21">
        <v>11400000</v>
      </c>
      <c r="W16" s="17"/>
      <c r="X16" s="17"/>
      <c r="Y16" s="13"/>
    </row>
    <row r="17" spans="2:25" x14ac:dyDescent="0.65">
      <c r="B17" s="36">
        <v>6</v>
      </c>
      <c r="C17" s="17" t="s">
        <v>21</v>
      </c>
      <c r="D17" s="18" t="s">
        <v>72</v>
      </c>
      <c r="E17" s="25" t="s">
        <v>27</v>
      </c>
      <c r="F17" s="17" t="s">
        <v>8</v>
      </c>
      <c r="G17" s="33"/>
      <c r="H17" s="33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16">
        <v>270843306</v>
      </c>
      <c r="T17" s="21">
        <f>S17</f>
        <v>270843306</v>
      </c>
      <c r="U17" s="21"/>
      <c r="V17" s="21">
        <v>270000000</v>
      </c>
      <c r="W17" s="18"/>
      <c r="X17" s="18"/>
      <c r="Y17" s="13"/>
    </row>
    <row r="18" spans="2:25" x14ac:dyDescent="0.65">
      <c r="B18" s="36"/>
      <c r="C18" s="17"/>
      <c r="D18" s="18" t="s">
        <v>73</v>
      </c>
      <c r="E18" s="25" t="s">
        <v>28</v>
      </c>
      <c r="F18" s="17" t="s">
        <v>8</v>
      </c>
      <c r="G18" s="33"/>
      <c r="H18" s="33"/>
      <c r="I18" s="33"/>
      <c r="J18" s="33"/>
      <c r="K18" s="33"/>
      <c r="L18" s="33"/>
      <c r="M18" s="34"/>
      <c r="N18" s="34"/>
      <c r="O18" s="34"/>
      <c r="P18" s="34"/>
      <c r="Q18" s="34"/>
      <c r="R18" s="34"/>
      <c r="S18" s="16">
        <v>156423296</v>
      </c>
      <c r="T18" s="21">
        <f>S18</f>
        <v>156423296</v>
      </c>
      <c r="U18" s="21"/>
      <c r="V18" s="21">
        <v>140000000</v>
      </c>
      <c r="W18" s="18"/>
      <c r="X18" s="18"/>
      <c r="Y18" s="13"/>
    </row>
    <row r="19" spans="2:25" x14ac:dyDescent="0.65">
      <c r="B19" s="36"/>
      <c r="C19" s="17"/>
      <c r="D19" s="18"/>
      <c r="E19" s="38" t="s">
        <v>82</v>
      </c>
      <c r="F19" s="1" t="s">
        <v>8</v>
      </c>
      <c r="G19" s="33"/>
      <c r="H19" s="33"/>
      <c r="I19" s="33"/>
      <c r="J19" s="33"/>
      <c r="K19" s="33"/>
      <c r="L19" s="33"/>
      <c r="M19" s="34"/>
      <c r="N19" s="34"/>
      <c r="O19" s="34"/>
      <c r="P19" s="34"/>
      <c r="Q19" s="34"/>
      <c r="R19" s="34"/>
      <c r="S19" s="41">
        <v>349389820</v>
      </c>
      <c r="T19" s="42">
        <f t="shared" ref="T19:T20" si="4">S19</f>
        <v>349389820</v>
      </c>
      <c r="U19" s="21"/>
      <c r="V19" s="21"/>
      <c r="W19" s="18"/>
      <c r="X19" s="18"/>
      <c r="Y19" s="13"/>
    </row>
    <row r="20" spans="2:25" x14ac:dyDescent="0.65">
      <c r="B20" s="36"/>
      <c r="C20" s="17"/>
      <c r="D20" s="18"/>
      <c r="E20" s="38" t="s">
        <v>83</v>
      </c>
      <c r="F20" s="1" t="s">
        <v>8</v>
      </c>
      <c r="G20" s="33"/>
      <c r="H20" s="33"/>
      <c r="I20" s="33"/>
      <c r="J20" s="33"/>
      <c r="K20" s="33"/>
      <c r="L20" s="33"/>
      <c r="M20" s="34"/>
      <c r="N20" s="34"/>
      <c r="O20" s="34"/>
      <c r="P20" s="34"/>
      <c r="Q20" s="34"/>
      <c r="R20" s="34"/>
      <c r="S20" s="41">
        <v>118513140</v>
      </c>
      <c r="T20" s="42">
        <f t="shared" si="4"/>
        <v>118513140</v>
      </c>
      <c r="U20" s="21"/>
      <c r="V20" s="21"/>
      <c r="W20" s="18"/>
      <c r="X20" s="18"/>
      <c r="Y20" s="13"/>
    </row>
    <row r="21" spans="2:25" x14ac:dyDescent="0.65">
      <c r="B21" s="36"/>
      <c r="C21" s="17"/>
      <c r="D21" s="18"/>
      <c r="E21" s="38" t="s">
        <v>84</v>
      </c>
      <c r="F21" s="1" t="s">
        <v>8</v>
      </c>
      <c r="G21" s="33"/>
      <c r="H21" s="33"/>
      <c r="I21" s="33"/>
      <c r="J21" s="33"/>
      <c r="K21" s="33"/>
      <c r="L21" s="33"/>
      <c r="M21" s="34"/>
      <c r="N21" s="34"/>
      <c r="O21" s="34"/>
      <c r="P21" s="34"/>
      <c r="Q21" s="34"/>
      <c r="R21" s="34"/>
      <c r="S21" s="41">
        <v>27967374</v>
      </c>
      <c r="T21" s="21"/>
      <c r="U21" s="41">
        <f>S21</f>
        <v>27967374</v>
      </c>
      <c r="V21" s="21"/>
      <c r="W21" s="18"/>
      <c r="X21" s="18"/>
      <c r="Y21" s="13"/>
    </row>
    <row r="22" spans="2:25" x14ac:dyDescent="0.65">
      <c r="B22" s="1">
        <v>7</v>
      </c>
      <c r="C22" s="1" t="s">
        <v>89</v>
      </c>
      <c r="D22" s="1">
        <v>202407031</v>
      </c>
      <c r="E22" s="26" t="s">
        <v>90</v>
      </c>
      <c r="F22" s="1" t="s">
        <v>74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41">
        <v>482560000</v>
      </c>
      <c r="T22" s="7"/>
      <c r="U22" s="41">
        <f>S22</f>
        <v>482560000</v>
      </c>
      <c r="V22" s="7"/>
      <c r="W22" s="4"/>
      <c r="X22" s="4"/>
      <c r="Y22" s="4"/>
    </row>
    <row r="23" spans="2:25" x14ac:dyDescent="0.65">
      <c r="B23" s="1">
        <v>8</v>
      </c>
      <c r="C23" s="1" t="s">
        <v>87</v>
      </c>
      <c r="D23" s="1">
        <v>202409061</v>
      </c>
      <c r="E23" s="26" t="s">
        <v>88</v>
      </c>
      <c r="F23" s="1" t="s">
        <v>74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41">
        <v>203350000</v>
      </c>
      <c r="T23" s="42">
        <f t="shared" ref="T23:T24" si="5">S23</f>
        <v>203350000</v>
      </c>
      <c r="U23" s="7"/>
      <c r="V23" s="7"/>
      <c r="W23" s="4"/>
      <c r="X23" s="4"/>
      <c r="Y23" s="4"/>
    </row>
    <row r="24" spans="2:25" x14ac:dyDescent="0.65">
      <c r="B24" s="1">
        <v>9</v>
      </c>
      <c r="C24" s="1" t="s">
        <v>85</v>
      </c>
      <c r="D24" s="1">
        <v>2024110701</v>
      </c>
      <c r="E24" s="26" t="s">
        <v>86</v>
      </c>
      <c r="F24" s="1" t="s">
        <v>8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41">
        <v>169299200</v>
      </c>
      <c r="T24" s="42">
        <f t="shared" si="5"/>
        <v>169299200</v>
      </c>
      <c r="U24" s="1"/>
      <c r="V24" s="1"/>
      <c r="W24" s="1"/>
      <c r="X24" s="1"/>
      <c r="Y24" s="1"/>
    </row>
    <row r="25" spans="2:25" x14ac:dyDescent="0.65">
      <c r="B25" s="1"/>
      <c r="C25" s="10" t="s">
        <v>37</v>
      </c>
      <c r="D25" s="10"/>
      <c r="E25" s="26"/>
      <c r="F25" s="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19">
        <f>SUM(S6:S24)</f>
        <v>4500781665</v>
      </c>
      <c r="T25" s="19">
        <f>SUM(T6:T24)</f>
        <v>3969904291</v>
      </c>
      <c r="U25" s="19">
        <f>SUM(U6:U24)</f>
        <v>530877374</v>
      </c>
      <c r="V25" s="19">
        <f>SUM(V6:V24)</f>
        <v>1958419419</v>
      </c>
      <c r="W25" s="1"/>
      <c r="X25" s="1"/>
      <c r="Y25" s="1"/>
    </row>
    <row r="26" spans="2:25" x14ac:dyDescent="0.65">
      <c r="U26" s="3" t="s">
        <v>41</v>
      </c>
      <c r="V26" s="23">
        <f>V25/S25</f>
        <v>0.43512873202215196</v>
      </c>
    </row>
    <row r="28" spans="2:25" x14ac:dyDescent="0.65">
      <c r="S28" s="27" t="s">
        <v>45</v>
      </c>
      <c r="T28" s="27">
        <v>1200</v>
      </c>
    </row>
    <row r="29" spans="2:25" x14ac:dyDescent="0.65">
      <c r="S29" s="27" t="s">
        <v>46</v>
      </c>
      <c r="T29" s="27">
        <v>1400</v>
      </c>
    </row>
    <row r="30" spans="2:25" x14ac:dyDescent="0.65">
      <c r="S30" s="27" t="s">
        <v>47</v>
      </c>
      <c r="T30" s="27">
        <v>140</v>
      </c>
    </row>
    <row r="31" spans="2:25" x14ac:dyDescent="0.65">
      <c r="S31" s="27" t="s">
        <v>48</v>
      </c>
      <c r="T31" s="27">
        <v>800</v>
      </c>
    </row>
    <row r="32" spans="2:25" x14ac:dyDescent="0.65">
      <c r="S32" s="27" t="s">
        <v>49</v>
      </c>
      <c r="T32" s="27">
        <v>830</v>
      </c>
    </row>
    <row r="33" spans="2:20" s="3" customFormat="1" x14ac:dyDescent="0.65">
      <c r="B33"/>
      <c r="C33"/>
      <c r="D33"/>
      <c r="E33"/>
      <c r="F33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27" t="s">
        <v>50</v>
      </c>
      <c r="T33" s="27">
        <v>850</v>
      </c>
    </row>
    <row r="34" spans="2:20" s="3" customFormat="1" x14ac:dyDescent="0.65">
      <c r="B34"/>
      <c r="C34"/>
      <c r="D34"/>
      <c r="E34"/>
      <c r="F34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27" t="s">
        <v>51</v>
      </c>
      <c r="T34" s="27">
        <v>160</v>
      </c>
    </row>
    <row r="35" spans="2:20" s="3" customFormat="1" x14ac:dyDescent="0.65">
      <c r="B35"/>
      <c r="C35"/>
      <c r="D35"/>
      <c r="E35"/>
      <c r="F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27" t="s">
        <v>52</v>
      </c>
      <c r="T35" s="28">
        <v>1700</v>
      </c>
    </row>
    <row r="36" spans="2:20" s="3" customFormat="1" x14ac:dyDescent="0.65">
      <c r="B36"/>
      <c r="C36"/>
      <c r="D36"/>
      <c r="E36"/>
      <c r="F36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27" t="s">
        <v>53</v>
      </c>
      <c r="T36" s="29">
        <f>920/100</f>
        <v>9.1999999999999993</v>
      </c>
    </row>
  </sheetData>
  <mergeCells count="14">
    <mergeCell ref="V4:V5"/>
    <mergeCell ref="W4:W5"/>
    <mergeCell ref="X4:X5"/>
    <mergeCell ref="Y4:Y5"/>
    <mergeCell ref="B2:Y2"/>
    <mergeCell ref="B4:B5"/>
    <mergeCell ref="C4:C5"/>
    <mergeCell ref="D4:D5"/>
    <mergeCell ref="E4:E5"/>
    <mergeCell ref="F4:F5"/>
    <mergeCell ref="G4:R4"/>
    <mergeCell ref="S4:S5"/>
    <mergeCell ref="T4:T5"/>
    <mergeCell ref="U4:U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A1FB-51AE-48A0-B519-B43DFD66CABE}">
  <dimension ref="B2:H9"/>
  <sheetViews>
    <sheetView workbookViewId="0"/>
  </sheetViews>
  <sheetFormatPr defaultRowHeight="16.7" x14ac:dyDescent="0.65"/>
  <cols>
    <col min="2" max="2" width="3.5" bestFit="1" customWidth="1"/>
    <col min="3" max="3" width="13" bestFit="1" customWidth="1"/>
    <col min="4" max="5" width="16.109375" bestFit="1" customWidth="1"/>
    <col min="6" max="6" width="17.71875" style="6" customWidth="1"/>
    <col min="7" max="7" width="14.609375" style="6" bestFit="1" customWidth="1"/>
  </cols>
  <sheetData>
    <row r="2" spans="2:8" x14ac:dyDescent="0.65">
      <c r="B2" s="57" t="s">
        <v>0</v>
      </c>
      <c r="C2" s="57" t="s">
        <v>2</v>
      </c>
      <c r="D2" s="59" t="s">
        <v>4</v>
      </c>
      <c r="E2" s="60"/>
      <c r="F2" s="55" t="s">
        <v>15</v>
      </c>
      <c r="G2" s="55" t="s">
        <v>16</v>
      </c>
      <c r="H2" s="55" t="s">
        <v>5</v>
      </c>
    </row>
    <row r="3" spans="2:8" x14ac:dyDescent="0.65">
      <c r="B3" s="58"/>
      <c r="C3" s="58"/>
      <c r="D3" s="12" t="s">
        <v>13</v>
      </c>
      <c r="E3" s="13" t="s">
        <v>14</v>
      </c>
      <c r="F3" s="56"/>
      <c r="G3" s="56"/>
      <c r="H3" s="56"/>
    </row>
    <row r="4" spans="2:8" x14ac:dyDescent="0.65">
      <c r="B4" s="1">
        <v>1</v>
      </c>
      <c r="C4" s="1" t="s">
        <v>17</v>
      </c>
      <c r="D4" s="5">
        <v>1488279419</v>
      </c>
      <c r="E4" s="14">
        <v>1051246143.3000001</v>
      </c>
      <c r="F4" s="5">
        <v>992135259.30000007</v>
      </c>
      <c r="G4" s="5">
        <v>496144159.69999999</v>
      </c>
      <c r="H4" s="5"/>
    </row>
    <row r="5" spans="2:8" x14ac:dyDescent="0.65">
      <c r="B5" s="1">
        <v>2</v>
      </c>
      <c r="C5" s="1" t="s">
        <v>18</v>
      </c>
      <c r="D5" s="5">
        <v>1900000</v>
      </c>
      <c r="E5" s="14">
        <v>1900000</v>
      </c>
      <c r="F5" s="5">
        <v>1900000</v>
      </c>
      <c r="G5" s="5">
        <v>0</v>
      </c>
      <c r="H5" s="5"/>
    </row>
    <row r="6" spans="2:8" x14ac:dyDescent="0.65">
      <c r="B6" s="1">
        <v>3</v>
      </c>
      <c r="C6" s="1" t="s">
        <v>19</v>
      </c>
      <c r="D6" s="5">
        <v>46840000</v>
      </c>
      <c r="E6" s="14">
        <v>46840000</v>
      </c>
      <c r="F6" s="5">
        <v>46840000</v>
      </c>
      <c r="G6" s="5">
        <v>0</v>
      </c>
      <c r="H6" s="5"/>
    </row>
    <row r="7" spans="2:8" x14ac:dyDescent="0.65">
      <c r="B7" s="1">
        <v>4</v>
      </c>
      <c r="C7" s="1" t="s">
        <v>20</v>
      </c>
      <c r="D7" s="5">
        <v>11400000</v>
      </c>
      <c r="E7" s="14">
        <v>11400000</v>
      </c>
      <c r="F7" s="5">
        <v>11400000</v>
      </c>
      <c r="G7" s="5">
        <v>0</v>
      </c>
      <c r="H7" s="5"/>
    </row>
    <row r="8" spans="2:8" x14ac:dyDescent="0.65">
      <c r="B8" s="1">
        <v>5</v>
      </c>
      <c r="C8" s="1" t="s">
        <v>21</v>
      </c>
      <c r="D8" s="5">
        <v>410000000</v>
      </c>
      <c r="E8" s="14">
        <v>123000000</v>
      </c>
      <c r="F8" s="5">
        <v>123000000</v>
      </c>
      <c r="G8" s="5">
        <v>0</v>
      </c>
      <c r="H8" s="5"/>
    </row>
    <row r="9" spans="2:8" x14ac:dyDescent="0.65">
      <c r="B9" s="9"/>
      <c r="C9" s="10" t="s">
        <v>24</v>
      </c>
      <c r="D9" s="11">
        <f>SUM(D4:D8)</f>
        <v>1958419419</v>
      </c>
      <c r="E9" s="15">
        <f>SUM(E4:E8)</f>
        <v>1234386143.3000002</v>
      </c>
      <c r="F9" s="11">
        <f>SUM(F4:F8)</f>
        <v>1175275259.3000002</v>
      </c>
      <c r="G9" s="11">
        <f>SUM(G4:G8)</f>
        <v>496144159.69999999</v>
      </c>
      <c r="H9" s="11"/>
    </row>
  </sheetData>
  <mergeCells count="6">
    <mergeCell ref="G2:G3"/>
    <mergeCell ref="H2:H3"/>
    <mergeCell ref="B2:B3"/>
    <mergeCell ref="C2:C3"/>
    <mergeCell ref="D2:E2"/>
    <mergeCell ref="F2:F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590A-26BB-490D-80EF-77F2D46F07ED}">
  <dimension ref="B2:Y37"/>
  <sheetViews>
    <sheetView tabSelected="1" zoomScale="85" zoomScaleNormal="85" workbookViewId="0">
      <selection activeCell="B24" sqref="B24"/>
    </sheetView>
  </sheetViews>
  <sheetFormatPr defaultRowHeight="16.7" x14ac:dyDescent="0.65"/>
  <cols>
    <col min="1" max="1" width="3.5" customWidth="1"/>
    <col min="2" max="2" width="3.5" bestFit="1" customWidth="1"/>
    <col min="3" max="3" width="22" bestFit="1" customWidth="1"/>
    <col min="4" max="4" width="13.5" bestFit="1" customWidth="1"/>
    <col min="5" max="5" width="32.109375" bestFit="1" customWidth="1"/>
    <col min="6" max="6" width="20.609375" bestFit="1" customWidth="1"/>
    <col min="7" max="15" width="2.5" bestFit="1" customWidth="1"/>
    <col min="16" max="18" width="3.5" bestFit="1" customWidth="1"/>
    <col min="19" max="19" width="18.38671875" style="3" customWidth="1"/>
    <col min="20" max="20" width="18.38671875" style="3" bestFit="1" customWidth="1"/>
    <col min="21" max="24" width="18.38671875" style="3" customWidth="1"/>
    <col min="25" max="25" width="21.38671875" style="3" bestFit="1" customWidth="1"/>
  </cols>
  <sheetData>
    <row r="2" spans="2:25" ht="34.35" x14ac:dyDescent="0.65">
      <c r="B2" s="50" t="s">
        <v>11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4" spans="2:25" x14ac:dyDescent="0.65">
      <c r="B4" s="49" t="s">
        <v>0</v>
      </c>
      <c r="C4" s="49" t="s">
        <v>2</v>
      </c>
      <c r="D4" s="49" t="s">
        <v>44</v>
      </c>
      <c r="E4" s="47" t="s">
        <v>6</v>
      </c>
      <c r="F4" s="49" t="s">
        <v>1</v>
      </c>
      <c r="G4" s="61" t="s">
        <v>3</v>
      </c>
      <c r="H4" s="62"/>
      <c r="I4" s="62"/>
      <c r="J4" s="62"/>
      <c r="K4" s="62"/>
      <c r="L4" s="62"/>
      <c r="M4" s="62"/>
      <c r="N4" s="62"/>
      <c r="O4" s="62"/>
      <c r="P4" s="62"/>
      <c r="Q4" s="62"/>
      <c r="R4" s="63"/>
      <c r="S4" s="47" t="s">
        <v>40</v>
      </c>
      <c r="T4" s="47" t="s">
        <v>94</v>
      </c>
      <c r="U4" s="47" t="s">
        <v>92</v>
      </c>
      <c r="V4" s="47" t="s">
        <v>93</v>
      </c>
      <c r="W4" s="47" t="s">
        <v>42</v>
      </c>
      <c r="X4" s="47" t="s">
        <v>43</v>
      </c>
      <c r="Y4" s="49" t="s">
        <v>5</v>
      </c>
    </row>
    <row r="5" spans="2:25" x14ac:dyDescent="0.65">
      <c r="B5" s="48"/>
      <c r="C5" s="48"/>
      <c r="D5" s="48"/>
      <c r="E5" s="51"/>
      <c r="F5" s="48"/>
      <c r="G5" s="1">
        <v>1</v>
      </c>
      <c r="H5" s="1">
        <v>2</v>
      </c>
      <c r="I5" s="1">
        <v>3</v>
      </c>
      <c r="J5" s="1">
        <v>4</v>
      </c>
      <c r="K5" s="1">
        <v>5</v>
      </c>
      <c r="L5" s="1">
        <v>6</v>
      </c>
      <c r="M5" s="1">
        <v>7</v>
      </c>
      <c r="N5" s="1">
        <v>8</v>
      </c>
      <c r="O5" s="1">
        <v>9</v>
      </c>
      <c r="P5" s="1">
        <v>10</v>
      </c>
      <c r="Q5" s="1">
        <v>11</v>
      </c>
      <c r="R5" s="1">
        <v>12</v>
      </c>
      <c r="S5" s="48"/>
      <c r="T5" s="48"/>
      <c r="U5" s="48"/>
      <c r="V5" s="48"/>
      <c r="W5" s="48"/>
      <c r="X5" s="48"/>
      <c r="Y5" s="48"/>
    </row>
    <row r="6" spans="2:25" x14ac:dyDescent="0.65">
      <c r="B6" s="18">
        <v>1</v>
      </c>
      <c r="C6" s="17" t="s">
        <v>17</v>
      </c>
      <c r="D6" s="18" t="s">
        <v>29</v>
      </c>
      <c r="E6" s="25" t="s">
        <v>59</v>
      </c>
      <c r="F6" s="18" t="s">
        <v>26</v>
      </c>
      <c r="G6" s="8"/>
      <c r="H6" s="8"/>
      <c r="I6" s="17"/>
      <c r="J6" s="17"/>
      <c r="K6" s="17"/>
      <c r="L6" s="17"/>
      <c r="M6" s="17"/>
      <c r="N6" s="17"/>
      <c r="O6" s="17"/>
      <c r="P6" s="17"/>
      <c r="Q6" s="17"/>
      <c r="R6" s="17"/>
      <c r="S6" s="21">
        <f>T6</f>
        <v>245497525</v>
      </c>
      <c r="T6" s="16">
        <v>245497525</v>
      </c>
      <c r="U6" s="21">
        <f>T6</f>
        <v>245497525</v>
      </c>
      <c r="V6" s="21"/>
      <c r="W6" s="18"/>
      <c r="X6" s="18"/>
      <c r="Y6" s="13" t="s">
        <v>25</v>
      </c>
    </row>
    <row r="7" spans="2:25" x14ac:dyDescent="0.65">
      <c r="B7" s="18"/>
      <c r="C7" s="17"/>
      <c r="D7" s="18" t="s">
        <v>30</v>
      </c>
      <c r="E7" s="25" t="s">
        <v>60</v>
      </c>
      <c r="F7" s="18" t="s">
        <v>26</v>
      </c>
      <c r="G7" s="8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21">
        <f>T7</f>
        <v>105304551</v>
      </c>
      <c r="T7" s="16">
        <v>105304551</v>
      </c>
      <c r="U7" s="21">
        <f t="shared" ref="U7:U15" si="0">T7</f>
        <v>105304551</v>
      </c>
      <c r="V7" s="21"/>
      <c r="W7" s="18"/>
      <c r="X7" s="18"/>
      <c r="Y7" s="13" t="s">
        <v>25</v>
      </c>
    </row>
    <row r="8" spans="2:25" x14ac:dyDescent="0.65">
      <c r="B8" s="18"/>
      <c r="C8" s="17"/>
      <c r="D8" s="18" t="s">
        <v>31</v>
      </c>
      <c r="E8" s="25" t="s">
        <v>61</v>
      </c>
      <c r="F8" s="18" t="s">
        <v>26</v>
      </c>
      <c r="G8" s="8"/>
      <c r="H8" s="8"/>
      <c r="I8" s="8"/>
      <c r="J8" s="8"/>
      <c r="K8" s="17"/>
      <c r="L8" s="17"/>
      <c r="M8" s="17"/>
      <c r="N8" s="17"/>
      <c r="O8" s="17"/>
      <c r="P8" s="17"/>
      <c r="Q8" s="17"/>
      <c r="R8" s="17"/>
      <c r="S8" s="21">
        <f>T8</f>
        <v>86231200</v>
      </c>
      <c r="T8" s="16">
        <v>86231200</v>
      </c>
      <c r="U8" s="21">
        <f t="shared" si="0"/>
        <v>86231200</v>
      </c>
      <c r="V8" s="21"/>
      <c r="W8" s="18"/>
      <c r="X8" s="18"/>
      <c r="Y8" s="13" t="s">
        <v>25</v>
      </c>
    </row>
    <row r="9" spans="2:25" x14ac:dyDescent="0.65">
      <c r="B9" s="1"/>
      <c r="C9" s="1"/>
      <c r="D9" s="1"/>
      <c r="E9" s="26" t="s">
        <v>54</v>
      </c>
      <c r="F9" s="1" t="s">
        <v>26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/>
      <c r="T9" s="7">
        <f>1000000*U31</f>
        <v>140000000</v>
      </c>
      <c r="U9" s="22"/>
      <c r="V9" s="1"/>
      <c r="W9" s="1"/>
      <c r="X9" s="1"/>
      <c r="Y9" s="1"/>
    </row>
    <row r="10" spans="2:25" x14ac:dyDescent="0.65">
      <c r="B10" s="20"/>
      <c r="C10" s="1"/>
      <c r="D10" s="20"/>
      <c r="E10" s="30" t="s">
        <v>55</v>
      </c>
      <c r="F10" s="1" t="s">
        <v>26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1"/>
      <c r="T10" s="7">
        <f>1200000*U31</f>
        <v>168000000</v>
      </c>
      <c r="U10" s="22"/>
      <c r="V10" s="20"/>
      <c r="W10" s="20"/>
      <c r="X10" s="20"/>
      <c r="Y10" s="1"/>
    </row>
    <row r="11" spans="2:25" x14ac:dyDescent="0.65">
      <c r="B11" s="20"/>
      <c r="C11" s="1"/>
      <c r="D11" s="20"/>
      <c r="E11" s="30" t="s">
        <v>56</v>
      </c>
      <c r="F11" s="1" t="s">
        <v>26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1"/>
      <c r="T11" s="7">
        <f>1000000*U31</f>
        <v>140000000</v>
      </c>
      <c r="U11" s="22"/>
      <c r="V11" s="20"/>
      <c r="W11" s="20"/>
      <c r="X11" s="20"/>
      <c r="Y11" s="1"/>
    </row>
    <row r="12" spans="2:25" x14ac:dyDescent="0.65">
      <c r="B12" s="20"/>
      <c r="C12" s="1"/>
      <c r="D12" s="20"/>
      <c r="E12" s="30" t="s">
        <v>57</v>
      </c>
      <c r="F12" s="1" t="s">
        <v>26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1"/>
      <c r="T12" s="7">
        <f>4654000*U31</f>
        <v>651560000</v>
      </c>
      <c r="U12" s="22"/>
      <c r="V12" s="7"/>
      <c r="W12" s="20"/>
      <c r="X12" s="20"/>
      <c r="Y12" s="1"/>
    </row>
    <row r="13" spans="2:25" x14ac:dyDescent="0.65">
      <c r="B13" s="24">
        <v>2</v>
      </c>
      <c r="C13" s="1" t="s">
        <v>58</v>
      </c>
      <c r="D13" s="24"/>
      <c r="E13" s="30" t="s">
        <v>95</v>
      </c>
      <c r="F13" s="1" t="s">
        <v>26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1"/>
      <c r="T13" s="7">
        <v>11092600</v>
      </c>
      <c r="U13" s="7">
        <v>11092600</v>
      </c>
      <c r="V13" s="7"/>
      <c r="W13" s="24"/>
      <c r="X13" s="24"/>
      <c r="Y13" s="1"/>
    </row>
    <row r="14" spans="2:25" x14ac:dyDescent="0.65">
      <c r="B14" s="24"/>
      <c r="C14" s="1"/>
      <c r="D14" s="24"/>
      <c r="E14" s="30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1"/>
      <c r="T14" s="7"/>
      <c r="U14" s="22"/>
      <c r="V14" s="7"/>
      <c r="W14" s="24"/>
      <c r="X14" s="24"/>
      <c r="Y14" s="1"/>
    </row>
    <row r="15" spans="2:25" x14ac:dyDescent="0.65">
      <c r="B15" s="1">
        <v>3</v>
      </c>
      <c r="C15" s="1" t="s">
        <v>7</v>
      </c>
      <c r="D15" s="1"/>
      <c r="E15" s="26" t="s">
        <v>32</v>
      </c>
      <c r="F15" s="1" t="s">
        <v>8</v>
      </c>
      <c r="G15" s="8"/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7"/>
      <c r="T15" s="7">
        <v>182000000</v>
      </c>
      <c r="U15" s="22">
        <f t="shared" si="0"/>
        <v>182000000</v>
      </c>
      <c r="V15" s="7"/>
      <c r="W15" s="4"/>
      <c r="X15" s="4"/>
      <c r="Y15" s="4" t="s">
        <v>12</v>
      </c>
    </row>
    <row r="16" spans="2:25" x14ac:dyDescent="0.65">
      <c r="B16" s="1"/>
      <c r="C16" s="1"/>
      <c r="D16" s="1"/>
      <c r="E16" s="26" t="s">
        <v>33</v>
      </c>
      <c r="F16" s="1" t="s">
        <v>8</v>
      </c>
      <c r="G16" s="2"/>
      <c r="H16" s="2"/>
      <c r="I16" s="2"/>
      <c r="J16" s="2"/>
      <c r="K16" s="2"/>
      <c r="L16" s="8"/>
      <c r="M16" s="8"/>
      <c r="N16" s="8"/>
      <c r="O16" s="8"/>
      <c r="P16" s="2"/>
      <c r="Q16" s="2"/>
      <c r="R16" s="2"/>
      <c r="S16" s="7"/>
      <c r="T16" s="7">
        <v>956800000</v>
      </c>
      <c r="U16" s="22"/>
      <c r="V16" s="7"/>
      <c r="W16" s="4"/>
      <c r="X16" s="4"/>
      <c r="Y16" s="4" t="s">
        <v>12</v>
      </c>
    </row>
    <row r="17" spans="2:25" x14ac:dyDescent="0.65">
      <c r="B17" s="1"/>
      <c r="C17" s="1"/>
      <c r="D17" s="1"/>
      <c r="E17" s="26" t="s">
        <v>34</v>
      </c>
      <c r="F17" s="1" t="s">
        <v>8</v>
      </c>
      <c r="G17" s="2"/>
      <c r="H17" s="2"/>
      <c r="I17" s="2"/>
      <c r="J17" s="2"/>
      <c r="K17" s="2"/>
      <c r="L17" s="8"/>
      <c r="M17" s="8"/>
      <c r="N17" s="8"/>
      <c r="O17" s="8"/>
      <c r="P17" s="2"/>
      <c r="Q17" s="2"/>
      <c r="R17" s="2"/>
      <c r="S17" s="7"/>
      <c r="T17" s="7">
        <v>863000000</v>
      </c>
      <c r="U17" s="22"/>
      <c r="V17" s="7"/>
      <c r="W17" s="1"/>
      <c r="X17" s="1"/>
      <c r="Y17" s="4" t="s">
        <v>12</v>
      </c>
    </row>
    <row r="18" spans="2:25" x14ac:dyDescent="0.65">
      <c r="B18" s="18">
        <v>4</v>
      </c>
      <c r="C18" s="17" t="s">
        <v>21</v>
      </c>
      <c r="D18" s="18"/>
      <c r="E18" s="25" t="s">
        <v>27</v>
      </c>
      <c r="F18" s="17" t="s">
        <v>8</v>
      </c>
      <c r="G18" s="8"/>
      <c r="H18" s="8"/>
      <c r="I18" s="8"/>
      <c r="J18" s="17"/>
      <c r="K18" s="17"/>
      <c r="L18" s="17"/>
      <c r="M18" s="17"/>
      <c r="N18" s="17"/>
      <c r="O18" s="17"/>
      <c r="P18" s="17"/>
      <c r="Q18" s="17"/>
      <c r="R18" s="17"/>
      <c r="S18" s="21">
        <f>T18</f>
        <v>189000000</v>
      </c>
      <c r="T18" s="16">
        <v>189000000</v>
      </c>
      <c r="U18" s="21">
        <f>T18</f>
        <v>189000000</v>
      </c>
      <c r="V18" s="21"/>
      <c r="W18" s="18"/>
      <c r="X18" s="18"/>
      <c r="Y18" s="13" t="s">
        <v>25</v>
      </c>
    </row>
    <row r="19" spans="2:25" x14ac:dyDescent="0.65">
      <c r="B19" s="18"/>
      <c r="C19" s="17"/>
      <c r="D19" s="18"/>
      <c r="E19" s="25" t="s">
        <v>28</v>
      </c>
      <c r="F19" s="17" t="s">
        <v>8</v>
      </c>
      <c r="G19" s="8"/>
      <c r="H19" s="8"/>
      <c r="I19" s="8"/>
      <c r="J19" s="8"/>
      <c r="K19" s="8"/>
      <c r="L19" s="8"/>
      <c r="M19" s="17"/>
      <c r="N19" s="17"/>
      <c r="O19" s="17"/>
      <c r="P19" s="17"/>
      <c r="Q19" s="17"/>
      <c r="R19" s="17"/>
      <c r="S19" s="21">
        <f>T19</f>
        <v>98000000</v>
      </c>
      <c r="T19" s="16">
        <v>98000000</v>
      </c>
      <c r="U19" s="21">
        <f>T19</f>
        <v>98000000</v>
      </c>
      <c r="V19" s="21"/>
      <c r="W19" s="18"/>
      <c r="X19" s="18"/>
      <c r="Y19" s="13" t="s">
        <v>25</v>
      </c>
    </row>
    <row r="20" spans="2:25" x14ac:dyDescent="0.65">
      <c r="B20" s="18"/>
      <c r="C20" s="17"/>
      <c r="D20" s="18"/>
      <c r="E20" s="38" t="s">
        <v>96</v>
      </c>
      <c r="F20" s="1" t="s">
        <v>8</v>
      </c>
      <c r="G20" s="8"/>
      <c r="H20" s="8"/>
      <c r="I20" s="2"/>
      <c r="J20" s="2"/>
      <c r="K20" s="2"/>
      <c r="L20" s="2"/>
      <c r="M20" s="17"/>
      <c r="N20" s="17"/>
      <c r="O20" s="17"/>
      <c r="P20" s="17"/>
      <c r="Q20" s="17"/>
      <c r="R20" s="17"/>
      <c r="S20" s="21"/>
      <c r="T20" s="7">
        <v>70000000</v>
      </c>
      <c r="U20" s="7">
        <v>70000000</v>
      </c>
      <c r="V20" s="21"/>
      <c r="W20" s="18"/>
      <c r="X20" s="18"/>
      <c r="Y20" s="13"/>
    </row>
    <row r="21" spans="2:25" x14ac:dyDescent="0.65">
      <c r="B21" s="1">
        <v>5</v>
      </c>
      <c r="C21" s="1" t="s">
        <v>23</v>
      </c>
      <c r="D21" s="1"/>
      <c r="E21" s="26" t="s">
        <v>97</v>
      </c>
      <c r="F21" s="1" t="s">
        <v>8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7"/>
      <c r="T21" s="7">
        <v>1300000</v>
      </c>
      <c r="U21" s="7">
        <v>1300000</v>
      </c>
      <c r="V21" s="7"/>
      <c r="W21" s="4"/>
      <c r="X21" s="4"/>
      <c r="Y21" s="4" t="s">
        <v>12</v>
      </c>
    </row>
    <row r="22" spans="2:25" x14ac:dyDescent="0.65">
      <c r="B22" s="1"/>
      <c r="C22" s="1"/>
      <c r="D22" s="1"/>
      <c r="E22" s="26" t="s">
        <v>98</v>
      </c>
      <c r="F22" s="1" t="s">
        <v>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7"/>
      <c r="T22" s="7">
        <v>294400000</v>
      </c>
      <c r="U22" s="7"/>
      <c r="V22" s="7"/>
      <c r="W22" s="4"/>
      <c r="X22" s="4"/>
      <c r="Y22" s="4"/>
    </row>
    <row r="23" spans="2:25" x14ac:dyDescent="0.65">
      <c r="B23" s="1">
        <v>6</v>
      </c>
      <c r="C23" s="1" t="s">
        <v>10</v>
      </c>
      <c r="D23" s="1"/>
      <c r="E23" s="26" t="s">
        <v>35</v>
      </c>
      <c r="F23" s="1" t="s">
        <v>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7"/>
      <c r="T23" s="7">
        <v>210341615</v>
      </c>
      <c r="U23" s="7"/>
      <c r="V23" s="7"/>
      <c r="W23" s="4"/>
      <c r="X23" s="4"/>
      <c r="Y23" s="4" t="s">
        <v>22</v>
      </c>
    </row>
    <row r="24" spans="2:25" x14ac:dyDescent="0.65">
      <c r="B24" s="1"/>
      <c r="C24" s="1"/>
      <c r="D24" s="1"/>
      <c r="E24" s="26" t="s">
        <v>36</v>
      </c>
      <c r="F24" s="1" t="s">
        <v>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7"/>
      <c r="T24" s="7">
        <v>400235945</v>
      </c>
      <c r="U24" s="7"/>
      <c r="V24" s="7"/>
      <c r="W24" s="4"/>
      <c r="X24" s="4"/>
      <c r="Y24" s="4" t="s">
        <v>22</v>
      </c>
    </row>
    <row r="25" spans="2:25" x14ac:dyDescent="0.65">
      <c r="B25" s="1"/>
      <c r="C25" s="1"/>
      <c r="D25" s="1"/>
      <c r="E25" s="26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"/>
      <c r="T25" s="1"/>
      <c r="U25" s="1"/>
      <c r="V25" s="1"/>
      <c r="W25" s="1"/>
      <c r="X25" s="1"/>
      <c r="Y25" s="1"/>
    </row>
    <row r="26" spans="2:25" x14ac:dyDescent="0.65">
      <c r="B26" s="1"/>
      <c r="C26" s="10" t="s">
        <v>37</v>
      </c>
      <c r="D26" s="10"/>
      <c r="E26" s="2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9">
        <f>SUM(S6:S25)</f>
        <v>724033276</v>
      </c>
      <c r="T26" s="19">
        <f>SUM(T6:T25)</f>
        <v>4812763436</v>
      </c>
      <c r="U26" s="19">
        <f>SUM(U6:U25)</f>
        <v>988425876</v>
      </c>
      <c r="V26" s="19">
        <f>SUM(V6:V25)</f>
        <v>0</v>
      </c>
      <c r="W26" s="1"/>
      <c r="X26" s="1"/>
      <c r="Y26" s="1"/>
    </row>
    <row r="27" spans="2:25" x14ac:dyDescent="0.65">
      <c r="P27" s="3" t="s">
        <v>41</v>
      </c>
      <c r="S27" s="23">
        <f>S26/T26</f>
        <v>0.15044023784426042</v>
      </c>
    </row>
    <row r="29" spans="2:25" x14ac:dyDescent="0.65">
      <c r="T29" s="27" t="s">
        <v>45</v>
      </c>
      <c r="U29" s="27">
        <v>1200</v>
      </c>
    </row>
    <row r="30" spans="2:25" x14ac:dyDescent="0.65">
      <c r="T30" s="27" t="s">
        <v>46</v>
      </c>
      <c r="U30" s="27">
        <v>1400</v>
      </c>
    </row>
    <row r="31" spans="2:25" x14ac:dyDescent="0.65">
      <c r="T31" s="27" t="s">
        <v>47</v>
      </c>
      <c r="U31" s="27">
        <v>140</v>
      </c>
    </row>
    <row r="32" spans="2:25" x14ac:dyDescent="0.65">
      <c r="T32" s="27" t="s">
        <v>48</v>
      </c>
      <c r="U32" s="27">
        <v>800</v>
      </c>
    </row>
    <row r="33" spans="20:21" x14ac:dyDescent="0.65">
      <c r="T33" s="27" t="s">
        <v>49</v>
      </c>
      <c r="U33" s="27">
        <v>830</v>
      </c>
    </row>
    <row r="34" spans="20:21" x14ac:dyDescent="0.65">
      <c r="T34" s="27" t="s">
        <v>50</v>
      </c>
      <c r="U34" s="27">
        <v>850</v>
      </c>
    </row>
    <row r="35" spans="20:21" x14ac:dyDescent="0.65">
      <c r="T35" s="27" t="s">
        <v>51</v>
      </c>
      <c r="U35" s="27">
        <v>160</v>
      </c>
    </row>
    <row r="36" spans="20:21" x14ac:dyDescent="0.65">
      <c r="T36" s="27" t="s">
        <v>52</v>
      </c>
      <c r="U36" s="28">
        <v>1700</v>
      </c>
    </row>
    <row r="37" spans="20:21" x14ac:dyDescent="0.65">
      <c r="T37" s="27" t="s">
        <v>53</v>
      </c>
      <c r="U37" s="29">
        <f>920/100</f>
        <v>9.1999999999999993</v>
      </c>
    </row>
  </sheetData>
  <mergeCells count="14">
    <mergeCell ref="B2:Y2"/>
    <mergeCell ref="Y4:Y5"/>
    <mergeCell ref="G4:R4"/>
    <mergeCell ref="B4:B5"/>
    <mergeCell ref="C4:C5"/>
    <mergeCell ref="E4:E5"/>
    <mergeCell ref="T4:T5"/>
    <mergeCell ref="F4:F5"/>
    <mergeCell ref="W4:W5"/>
    <mergeCell ref="D4:D5"/>
    <mergeCell ref="U4:U5"/>
    <mergeCell ref="V4:V5"/>
    <mergeCell ref="X4:X5"/>
    <mergeCell ref="S4:S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2024년 현황 (2)</vt:lpstr>
      <vt:lpstr>2024년 현황</vt:lpstr>
      <vt:lpstr>2025년 전략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연수 김</cp:lastModifiedBy>
  <dcterms:created xsi:type="dcterms:W3CDTF">2024-12-11T23:49:46Z</dcterms:created>
  <dcterms:modified xsi:type="dcterms:W3CDTF">2024-12-31T05:53:03Z</dcterms:modified>
</cp:coreProperties>
</file>
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2_수금현황\2025년\"/>
    </mc:Choice>
  </mc:AlternateContent>
  <xr:revisionPtr revIDLastSave="0" documentId="13_ncr:1_{F4D22F5D-D7CE-4B69-A5C9-C1AD9703313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J8" i="4"/>
  <c r="H8" i="4"/>
  <c r="G8" i="4"/>
  <c r="F8" i="4"/>
  <c r="E8" i="4"/>
  <c r="Q34" i="35"/>
  <c r="P34" i="35"/>
  <c r="O34" i="35"/>
  <c r="N34" i="35"/>
  <c r="M34" i="35"/>
  <c r="L34" i="35"/>
  <c r="Q4" i="35"/>
  <c r="N4" i="35"/>
  <c r="J7" i="4"/>
  <c r="H7" i="4"/>
  <c r="G7" i="4"/>
  <c r="F7" i="4"/>
  <c r="I7" i="4" s="1"/>
  <c r="E7" i="4"/>
  <c r="P34" i="5"/>
  <c r="O34" i="5"/>
  <c r="N34" i="5"/>
  <c r="M34" i="5"/>
  <c r="L34" i="5"/>
  <c r="I8" i="4" l="1"/>
  <c r="O34" i="33"/>
  <c r="Q4" i="33"/>
  <c r="O34" i="28"/>
  <c r="Q5" i="28"/>
  <c r="Q4" i="28"/>
  <c r="O34" i="32"/>
  <c r="Q4" i="32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P34" i="33"/>
  <c r="M34" i="33"/>
  <c r="L34" i="33"/>
  <c r="Q34" i="33"/>
  <c r="N4" i="33"/>
  <c r="N34" i="33" s="1"/>
  <c r="Q34" i="32"/>
  <c r="J5" i="4" s="1"/>
  <c r="N4" i="32"/>
  <c r="N34" i="32" s="1"/>
  <c r="G5" i="4" s="1"/>
  <c r="N4" i="24"/>
  <c r="N4" i="25"/>
  <c r="P34" i="32"/>
  <c r="H5" i="4" s="1"/>
  <c r="M34" i="32"/>
  <c r="F5" i="4" s="1"/>
  <c r="I5" i="4" s="1"/>
  <c r="L34" i="32"/>
  <c r="E5" i="4" s="1"/>
  <c r="P34" i="28" l="1"/>
  <c r="H6" i="4" s="1"/>
  <c r="M34" i="28"/>
  <c r="F6" i="4" s="1"/>
  <c r="I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I4" i="4" s="1"/>
  <c r="L34" i="25"/>
  <c r="E4" i="4" s="1"/>
  <c r="N34" i="24"/>
  <c r="M34" i="24"/>
  <c r="L34" i="24"/>
  <c r="P34" i="24"/>
  <c r="G3" i="4"/>
  <c r="F3" i="4"/>
  <c r="F21" i="4" l="1"/>
  <c r="N34" i="28"/>
  <c r="G6" i="4" s="1"/>
  <c r="G21" i="4" s="1"/>
  <c r="Q34" i="24"/>
  <c r="Q34" i="5" l="1"/>
  <c r="J3" i="4" s="1"/>
  <c r="J21" i="4" s="1"/>
  <c r="H3" i="4"/>
  <c r="H21" i="4" l="1"/>
  <c r="I3" i="4"/>
  <c r="E3" i="4"/>
  <c r="E21" i="4" s="1"/>
</calcChain>
</file>

<file path=xl/sharedStrings.xml><?xml version="1.0" encoding="utf-8"?>
<sst xmlns="http://schemas.openxmlformats.org/spreadsheetml/2006/main" count="251" uniqueCount="99">
  <si>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</si>
  <si>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</si>
  <si>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</si>
  <si>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</si>
  <si>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</si>
  <si>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</si>
  <si>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</si>
  <si>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</si>
  <si>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</si>
  <si>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</si>
  <si>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</si>
  <si>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</si>
  <si>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</si>
  <si>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</si>
  <si>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</si>
  <si>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</si>
  <si>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</si>
  <si>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</si>
  <si>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</si>
  <si>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</si>
  <si>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</si>
  <si>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</si>
  <si>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</si>
  <si>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</si>
  <si>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</si>
  <si>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</si>
  <si>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</si>
  <si>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</si>
  <si>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</si>
  <si>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</si>
  <si>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</si>
  <si>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</si>
  <si>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</si>
  <si>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</si>
  <si>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</si>
  <si>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</si>
  <si>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</si>
  <si>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</si>
  <si>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</si>
  <si>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</si>
  <si>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</si>
  <si>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</si>
  <si>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</si>
  <si>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</si>
  <si>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</si>
  <si>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</si>
  <si>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</si>
  <si>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</si>
  <si>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</si>
  <si>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</si>
  <si>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</si>
  <si>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</si>
  <si>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</si>
  <si>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</si>
  <si>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</si>
  <si>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</si>
  <si>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</si>
  <si>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</si>
  <si>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</si>
  <si>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</si>
  <si>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</si>
  <si>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</si>
  <si>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</si>
  <si>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</si>
  <si>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</si>
  <si>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</si>
  <si>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</si>
  <si>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</si>
  <si>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</si>
  <si>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</si>
  <si>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</si>
  <si>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</si>
  <si>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</si>
  <si>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</si>
  <si>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</si>
  <si>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</si>
  <si>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</si>
  <si>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250108 KRW 4,813,677 전자세금계산서 발행
MOP 1EA, MSR 1EA, CTM 1EA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</si>
  <si>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</si>
  <si>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</si>
  <si>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</si>
  <si>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</si>
  <si>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</si>
  <si>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</si>
  <si>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</si>
  <si>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</si>
  <si>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네이버시스템 법정관리로 서울교통공사 변제 구두 약속</t>
    <phoneticPr fontId="1" type="noConversion"/>
  </si>
  <si>
    <t>250310 \42,000,000 입금 완료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</si>
  <si>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(250306 전자세금계산서 발행)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</si>
  <si>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2. 초도편성 검사완료 시(~240715)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3월 중순 철도연구원 레포트 승인 예상)
3. 초도 시운점검사 완료 시(~240915) 30%
4. 양산편성 완료 시(~250315) 10%</t>
    </r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</si>
  <si>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</si>
  <si>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</si>
  <si>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</si>
  <si>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</si>
  <si>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</si>
  <si>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</si>
  <si>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</si>
  <si>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</si>
  <si>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2025년 수주 잔액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</si>
</sst>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57.625" style="44" bestFit="1" customWidth="1"/>
  </cols>
  <sheetData>
    <row r="2" spans="2:11" s="1" customFormat="1">
      <c r="B2" s="11" t="s">
        <v>5</v>
      </c>
      <c r="C2" s="86" t="s">
        <v>16</v>
      </c>
      <c r="D2" s="87"/>
      <c r="E2" s="54" t="s">
        <v>7</v>
      </c>
      <c r="F2" s="54" t="s">
        <v>10</v>
      </c>
      <c r="G2" s="54" t="s">
        <v>75</v>
      </c>
      <c r="H2" s="57" t="s">
        <v>60</v>
      </c>
      <c r="I2" s="57" t="s">
        <v>98</v>
      </c>
      <c r="J2" s="57" t="s">
        <v>64</v>
      </c>
      <c r="K2" s="58" t="s">
        <v>2</v>
      </c>
    </row>
    <row r="3" spans="2:11">
      <c r="B3" s="2">
        <v>1</v>
      </c>
      <c r="C3" s="90" t="s">
        <v>15</v>
      </c>
      <c r="D3" s="87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4813677</v>
      </c>
      <c r="I3" s="61">
        <f>F3-H3</f>
        <v>390421998.69999993</v>
      </c>
      <c r="J3" s="55">
        <f>'1.지아이씨'!Q34</f>
        <v>0</v>
      </c>
      <c r="K3" s="30"/>
    </row>
    <row r="4" spans="2:11">
      <c r="B4" s="2">
        <v>2</v>
      </c>
      <c r="C4" s="90" t="s">
        <v>81</v>
      </c>
      <c r="D4" s="87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2" t="s">
        <v>86</v>
      </c>
    </row>
    <row r="5" spans="2:11">
      <c r="B5" s="2">
        <v>3</v>
      </c>
      <c r="C5" s="90" t="s">
        <v>69</v>
      </c>
      <c r="D5" s="87"/>
      <c r="E5" s="61">
        <f>'3.현대로템'!L34</f>
        <v>9983340</v>
      </c>
      <c r="F5" s="61">
        <f>'3.현대로템'!M34</f>
        <v>9983340</v>
      </c>
      <c r="G5" s="59">
        <f>'3.현대로템'!N34</f>
        <v>0</v>
      </c>
      <c r="H5" s="61">
        <f>'3.현대로템'!P34</f>
        <v>0</v>
      </c>
      <c r="I5" s="61">
        <f t="shared" si="0"/>
        <v>9983340</v>
      </c>
      <c r="J5" s="69">
        <f>'3.현대로템'!Q34</f>
        <v>0</v>
      </c>
      <c r="K5" s="14"/>
    </row>
    <row r="6" spans="2:11">
      <c r="B6" s="2">
        <v>4</v>
      </c>
      <c r="C6" s="90" t="s">
        <v>19</v>
      </c>
      <c r="D6" s="87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2" t="s">
        <v>87</v>
      </c>
    </row>
    <row r="7" spans="2:11">
      <c r="B7" s="2">
        <v>5</v>
      </c>
      <c r="C7" s="90" t="s">
        <v>74</v>
      </c>
      <c r="D7" s="87"/>
      <c r="E7" s="61">
        <f>'5.인터모빌리티'!L34</f>
        <v>0</v>
      </c>
      <c r="F7" s="61">
        <f>'5.인터모빌리티'!M34</f>
        <v>0</v>
      </c>
      <c r="G7" s="59">
        <f>'5.인터모빌리티'!N34</f>
        <v>0</v>
      </c>
      <c r="H7" s="63">
        <f>'5.인터모빌리티'!P34</f>
        <v>0</v>
      </c>
      <c r="I7" s="61">
        <f t="shared" si="0"/>
        <v>0</v>
      </c>
      <c r="J7" s="42">
        <f>'5.인터모빌리티'!Q34</f>
        <v>0</v>
      </c>
      <c r="K7" s="14"/>
    </row>
    <row r="8" spans="2:11">
      <c r="B8" s="2">
        <v>6</v>
      </c>
      <c r="C8" s="90" t="s">
        <v>80</v>
      </c>
      <c r="D8" s="87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82" t="s">
        <v>90</v>
      </c>
      <c r="C9" s="88" t="s">
        <v>97</v>
      </c>
      <c r="D9" s="5" t="s">
        <v>40</v>
      </c>
      <c r="E9" s="61">
        <f>SUMIF('7.기타'!$D$4:$D$33, Total!D9, '7.기타'!$L$3:$L$32)</f>
        <v>0</v>
      </c>
      <c r="F9" s="61">
        <f>SUMIF('7.기타'!$D$4:$D$33, Total!E9, '7.기타'!$M$3:$M$32)</f>
        <v>0</v>
      </c>
      <c r="G9" s="59">
        <f>SUMIF('7.기타'!$D$4:$D$33, Total!F9, '7.기타'!$N$3:$N$32)</f>
        <v>0</v>
      </c>
      <c r="H9" s="61">
        <f>SUMIF('7.기타'!$D$4:$D$33, Total!F9, '7.기타'!$P$3:$P$32)</f>
        <v>0</v>
      </c>
      <c r="I9" s="61">
        <f t="shared" si="0"/>
        <v>0</v>
      </c>
      <c r="J9" s="42">
        <f>SUMIF('7.기타'!$D$4:$D$33, Total!G9, '7.기타'!$Q$3:$Q$32)</f>
        <v>0</v>
      </c>
      <c r="K9" s="14"/>
    </row>
    <row r="10" spans="2:11">
      <c r="B10" s="82" t="s">
        <v>91</v>
      </c>
      <c r="C10" s="89"/>
      <c r="D10" s="5" t="s">
        <v>84</v>
      </c>
      <c r="E10" s="61">
        <f>SUMIF('7.기타'!$D$4:$D$33, Total!D10, '7.기타'!$L$3:$L$32)</f>
        <v>0</v>
      </c>
      <c r="F10" s="61">
        <f>SUMIF('7.기타'!$D$4:$D$33, Total!E10, '7.기타'!$M$3:$M$32)</f>
        <v>0</v>
      </c>
      <c r="G10" s="59">
        <f>SUMIF('7.기타'!$D$4:$D$33, Total!F10, '7.기타'!$N$3:$N$32)</f>
        <v>0</v>
      </c>
      <c r="H10" s="61">
        <f>SUMIF('7.기타'!$D$4:$D$33, Total!F10, '7.기타'!$P$3:$P$32)</f>
        <v>0</v>
      </c>
      <c r="I10" s="61">
        <f t="shared" si="0"/>
        <v>0</v>
      </c>
      <c r="J10" s="42">
        <f>SUMIF('7.기타'!$D$4:$D$33, Total!G10, '7.기타'!$Q$3:$Q$32)</f>
        <v>0</v>
      </c>
      <c r="K10" s="30"/>
    </row>
    <row r="11" spans="2:11">
      <c r="B11" s="82" t="s">
        <v>92</v>
      </c>
      <c r="C11" s="89"/>
      <c r="D11" s="5" t="s">
        <v>18</v>
      </c>
      <c r="E11" s="61">
        <f>SUMIF('7.기타'!$D$4:$D$33, Total!D11, '7.기타'!$L$3:$L$32)</f>
        <v>0</v>
      </c>
      <c r="F11" s="61">
        <f>SUMIF('7.기타'!$D$4:$D$33, Total!E11, '7.기타'!$M$3:$M$32)</f>
        <v>0</v>
      </c>
      <c r="G11" s="59">
        <f>SUMIF('7.기타'!$D$4:$D$33, Total!F11, '7.기타'!$N$3:$N$32)</f>
        <v>0</v>
      </c>
      <c r="H11" s="61">
        <f>SUMIF('7.기타'!$D$4:$D$33, Total!F11, '7.기타'!$P$3:$P$32)</f>
        <v>0</v>
      </c>
      <c r="I11" s="61">
        <f t="shared" ref="I11:I15" si="1">F11-H11</f>
        <v>0</v>
      </c>
      <c r="J11" s="42">
        <f>SUMIF('7.기타'!$D$4:$D$33, Total!G11, '7.기타'!$Q$3:$Q$32)</f>
        <v>0</v>
      </c>
      <c r="K11" s="14"/>
    </row>
    <row r="12" spans="2:11">
      <c r="B12" s="82" t="s">
        <v>93</v>
      </c>
      <c r="C12" s="89"/>
      <c r="D12" s="5" t="s">
        <v>41</v>
      </c>
      <c r="E12" s="61">
        <f>SUMIF('7.기타'!$D$4:$D$33, Total!D12, '7.기타'!$L$3:$L$32)</f>
        <v>0</v>
      </c>
      <c r="F12" s="61">
        <f>SUMIF('7.기타'!$D$4:$D$33, Total!E12, '7.기타'!$M$3:$M$32)</f>
        <v>0</v>
      </c>
      <c r="G12" s="59">
        <f>SUMIF('7.기타'!$D$4:$D$33, Total!F12, '7.기타'!$N$3:$N$32)</f>
        <v>0</v>
      </c>
      <c r="H12" s="61">
        <f>SUMIF('7.기타'!$D$4:$D$33, Total!F12, '7.기타'!$P$3:$P$32)</f>
        <v>0</v>
      </c>
      <c r="I12" s="61">
        <f t="shared" si="1"/>
        <v>0</v>
      </c>
      <c r="J12" s="42">
        <f>SUMIF('7.기타'!$D$4:$D$33, Total!G12, '7.기타'!$Q$3:$Q$32)</f>
        <v>0</v>
      </c>
      <c r="K12" s="65"/>
    </row>
    <row r="13" spans="2:11" s="13" customFormat="1">
      <c r="B13" s="82" t="s">
        <v>94</v>
      </c>
      <c r="C13" s="89"/>
      <c r="D13" s="85" t="s">
        <v>20</v>
      </c>
      <c r="E13" s="61">
        <f>SUMIF('7.기타'!$D$4:$D$33, Total!D13, '7.기타'!$L$3:$L$32)</f>
        <v>0</v>
      </c>
      <c r="F13" s="61">
        <f>SUMIF('7.기타'!$D$4:$D$33, Total!E13, '7.기타'!$M$3:$M$32)</f>
        <v>0</v>
      </c>
      <c r="G13" s="59">
        <f>SUMIF('7.기타'!$D$4:$D$33, Total!F13, '7.기타'!$N$3:$N$32)</f>
        <v>0</v>
      </c>
      <c r="H13" s="61">
        <f>SUMIF('7.기타'!$D$4:$D$33, Total!F13, '7.기타'!$P$3:$P$32)</f>
        <v>0</v>
      </c>
      <c r="I13" s="61">
        <f t="shared" si="1"/>
        <v>0</v>
      </c>
      <c r="J13" s="42">
        <f>SUMIF('7.기타'!$D$4:$D$33, Total!G13, '7.기타'!$Q$3:$Q$32)</f>
        <v>0</v>
      </c>
      <c r="K13" s="14"/>
    </row>
    <row r="14" spans="2:11" s="13" customFormat="1">
      <c r="B14" s="82" t="s">
        <v>95</v>
      </c>
      <c r="C14" s="89"/>
      <c r="D14" s="85" t="s">
        <v>42</v>
      </c>
      <c r="E14" s="61">
        <f>SUMIF('7.기타'!$D$4:$D$33, Total!D14, '7.기타'!$L$3:$L$32)</f>
        <v>0</v>
      </c>
      <c r="F14" s="61">
        <f>SUMIF('7.기타'!$D$4:$D$33, Total!E14, '7.기타'!$M$3:$M$32)</f>
        <v>0</v>
      </c>
      <c r="G14" s="59">
        <f>SUMIF('7.기타'!$D$4:$D$33, Total!F14, '7.기타'!$N$3:$N$32)</f>
        <v>0</v>
      </c>
      <c r="H14" s="61">
        <f>SUMIF('7.기타'!$D$4:$D$33, Total!F14, '7.기타'!$P$3:$P$32)</f>
        <v>0</v>
      </c>
      <c r="I14" s="61">
        <f t="shared" si="1"/>
        <v>0</v>
      </c>
      <c r="J14" s="42">
        <f>SUMIF('7.기타'!$D$4:$D$33, Total!G14, '7.기타'!$Q$3:$Q$32)</f>
        <v>0</v>
      </c>
      <c r="K14" s="14"/>
    </row>
    <row r="15" spans="2:11">
      <c r="B15" s="82" t="s">
        <v>96</v>
      </c>
      <c r="C15" s="89"/>
      <c r="D15" s="5" t="s">
        <v>43</v>
      </c>
      <c r="E15" s="61">
        <f>SUMIF('7.기타'!$D$4:$D$33, Total!D15, '7.기타'!$L$3:$L$32)</f>
        <v>0</v>
      </c>
      <c r="F15" s="61">
        <f>SUMIF('7.기타'!$D$4:$D$33, Total!E15, '7.기타'!$M$3:$M$32)</f>
        <v>0</v>
      </c>
      <c r="G15" s="59">
        <f>SUMIF('7.기타'!$D$4:$D$33, Total!F15, '7.기타'!$N$3:$N$32)</f>
        <v>0</v>
      </c>
      <c r="H15" s="61">
        <f>SUMIF('7.기타'!$D$4:$D$33, Total!F15, '7.기타'!$P$3:$P$32)</f>
        <v>0</v>
      </c>
      <c r="I15" s="61">
        <f t="shared" si="1"/>
        <v>0</v>
      </c>
      <c r="J15" s="42">
        <f>SUMIF('7.기타'!$D$4:$D$33, Total!G15, '7.기타'!$Q$3:$Q$32)</f>
        <v>0</v>
      </c>
      <c r="K15" s="14"/>
    </row>
    <row r="16" spans="2:11">
      <c r="B16" s="2"/>
      <c r="C16" s="21"/>
      <c r="D16" s="83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3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3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3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3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9</v>
      </c>
      <c r="D21" s="84"/>
      <c r="E21" s="62">
        <f>SUM(E3:E20)</f>
        <v>693419015.69999993</v>
      </c>
      <c r="F21" s="62">
        <f>SUM(F3:F20)</f>
        <v>693419015.69999993</v>
      </c>
      <c r="G21" s="60">
        <f>SUM(G3:G20)</f>
        <v>0</v>
      </c>
      <c r="H21" s="64">
        <f>SUM(H3:H20)</f>
        <v>46813677</v>
      </c>
      <c r="I21" s="64"/>
      <c r="J21" s="68">
        <f>SUM(J3:J20)</f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>
      <c r="T1" s="41"/>
    </row>
    <row r="2" spans="2:20">
      <c r="B2" s="6"/>
      <c r="C2" s="6"/>
    </row>
    <row r="3" spans="2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6" t="s">
        <v>6</v>
      </c>
      <c r="M3" s="36" t="s">
        <v>70</v>
      </c>
      <c r="N3" s="36" t="s">
        <v>71</v>
      </c>
      <c r="O3" s="36" t="s">
        <v>76</v>
      </c>
      <c r="P3" s="36" t="s">
        <v>60</v>
      </c>
      <c r="Q3" s="36" t="s">
        <v>64</v>
      </c>
      <c r="R3" s="8" t="s">
        <v>2</v>
      </c>
      <c r="S3" s="8" t="s">
        <v>65</v>
      </c>
    </row>
    <row r="4" spans="2:20" s="18" customFormat="1" ht="66">
      <c r="B4" s="15">
        <v>1</v>
      </c>
      <c r="C4" s="15" t="s">
        <v>14</v>
      </c>
      <c r="D4" s="16" t="s">
        <v>15</v>
      </c>
      <c r="E4" s="16" t="s">
        <v>17</v>
      </c>
      <c r="F4" s="16"/>
      <c r="G4" s="73">
        <v>45436</v>
      </c>
      <c r="H4" s="73">
        <v>45804</v>
      </c>
      <c r="I4" s="26"/>
      <c r="J4" s="16" t="s">
        <v>44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v>4813677</v>
      </c>
      <c r="P4" s="37">
        <v>4813677</v>
      </c>
      <c r="Q4" s="39">
        <f>O4-P4</f>
        <v>0</v>
      </c>
      <c r="R4" s="31" t="s">
        <v>73</v>
      </c>
      <c r="S4" s="71" t="s">
        <v>66</v>
      </c>
      <c r="T4" s="70" t="s">
        <v>77</v>
      </c>
    </row>
    <row r="5" spans="2:20" s="18" customFormat="1" ht="33">
      <c r="B5" s="15">
        <v>2</v>
      </c>
      <c r="C5" s="15" t="s">
        <v>14</v>
      </c>
      <c r="D5" s="16" t="s">
        <v>15</v>
      </c>
      <c r="E5" s="16" t="s">
        <v>24</v>
      </c>
      <c r="F5" s="16"/>
      <c r="G5" s="73">
        <v>45548</v>
      </c>
      <c r="H5" s="73">
        <v>45688</v>
      </c>
      <c r="I5" s="26" t="s">
        <v>29</v>
      </c>
      <c r="J5" s="16" t="s">
        <v>45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0</v>
      </c>
      <c r="P5" s="37">
        <v>0</v>
      </c>
      <c r="Q5" s="39">
        <f t="shared" ref="Q5:Q19" si="1">O5-P5</f>
        <v>0</v>
      </c>
      <c r="R5" s="20" t="s">
        <v>72</v>
      </c>
      <c r="S5" s="30"/>
    </row>
    <row r="6" spans="2:20" s="18" customFormat="1">
      <c r="B6" s="15"/>
      <c r="C6" s="15"/>
      <c r="D6" s="16"/>
      <c r="E6" s="16"/>
      <c r="F6" s="16"/>
      <c r="G6" s="15"/>
      <c r="H6" s="26"/>
      <c r="I6" s="26" t="s">
        <v>30</v>
      </c>
      <c r="J6" s="16" t="s">
        <v>46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0</v>
      </c>
      <c r="P6" s="37">
        <v>0</v>
      </c>
      <c r="Q6" s="39">
        <f t="shared" si="1"/>
        <v>0</v>
      </c>
      <c r="R6" s="16" t="s">
        <v>58</v>
      </c>
      <c r="S6" s="30"/>
    </row>
    <row r="7" spans="2:20" s="18" customFormat="1">
      <c r="B7" s="15"/>
      <c r="C7" s="15"/>
      <c r="D7" s="16"/>
      <c r="E7" s="16"/>
      <c r="F7" s="16"/>
      <c r="G7" s="15"/>
      <c r="H7" s="26"/>
      <c r="I7" s="26" t="s">
        <v>31</v>
      </c>
      <c r="J7" s="16" t="s">
        <v>47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0</v>
      </c>
      <c r="P7" s="37">
        <v>0</v>
      </c>
      <c r="Q7" s="39">
        <f t="shared" si="1"/>
        <v>0</v>
      </c>
      <c r="R7" s="16"/>
      <c r="S7" s="16"/>
    </row>
    <row r="8" spans="2:20" s="18" customFormat="1">
      <c r="B8" s="15"/>
      <c r="C8" s="15"/>
      <c r="D8" s="16"/>
      <c r="E8" s="16"/>
      <c r="F8" s="16"/>
      <c r="G8" s="15"/>
      <c r="H8" s="26"/>
      <c r="I8" s="26" t="s">
        <v>32</v>
      </c>
      <c r="J8" s="16" t="s">
        <v>48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0</v>
      </c>
      <c r="P8" s="37">
        <v>0</v>
      </c>
      <c r="Q8" s="39">
        <f t="shared" si="1"/>
        <v>0</v>
      </c>
      <c r="R8" s="16"/>
      <c r="S8" s="16"/>
    </row>
    <row r="9" spans="2:20" s="18" customFormat="1">
      <c r="B9" s="15"/>
      <c r="C9" s="15"/>
      <c r="D9" s="16"/>
      <c r="E9" s="16"/>
      <c r="F9" s="16"/>
      <c r="G9" s="15"/>
      <c r="H9" s="26"/>
      <c r="I9" s="26" t="s">
        <v>33</v>
      </c>
      <c r="J9" s="16" t="s">
        <v>49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0</v>
      </c>
      <c r="P9" s="37">
        <v>0</v>
      </c>
      <c r="Q9" s="39">
        <f t="shared" si="1"/>
        <v>0</v>
      </c>
      <c r="R9" s="16"/>
      <c r="S9" s="16"/>
    </row>
    <row r="10" spans="2:20" s="18" customFormat="1">
      <c r="B10" s="15"/>
      <c r="C10" s="15"/>
      <c r="D10" s="16"/>
      <c r="E10" s="16"/>
      <c r="F10" s="16"/>
      <c r="G10" s="15"/>
      <c r="H10" s="26"/>
      <c r="I10" s="26" t="s">
        <v>34</v>
      </c>
      <c r="J10" s="16" t="s">
        <v>50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0</v>
      </c>
      <c r="P10" s="37">
        <v>0</v>
      </c>
      <c r="Q10" s="39">
        <f t="shared" si="1"/>
        <v>0</v>
      </c>
      <c r="R10" s="16"/>
      <c r="S10" s="16"/>
    </row>
    <row r="11" spans="2:20" s="18" customFormat="1">
      <c r="B11" s="15"/>
      <c r="C11" s="15"/>
      <c r="D11" s="16"/>
      <c r="E11" s="16"/>
      <c r="F11" s="16"/>
      <c r="G11" s="15"/>
      <c r="H11" s="26"/>
      <c r="I11" s="26" t="s">
        <v>35</v>
      </c>
      <c r="J11" s="16" t="s">
        <v>51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0</v>
      </c>
      <c r="P11" s="37">
        <v>0</v>
      </c>
      <c r="Q11" s="39">
        <f t="shared" si="1"/>
        <v>0</v>
      </c>
      <c r="R11" s="16"/>
      <c r="S11" s="16"/>
    </row>
    <row r="12" spans="2:20" s="18" customFormat="1">
      <c r="B12" s="15"/>
      <c r="C12" s="15"/>
      <c r="D12" s="16"/>
      <c r="E12" s="16"/>
      <c r="F12" s="16"/>
      <c r="G12" s="15"/>
      <c r="H12" s="26"/>
      <c r="I12" s="26" t="s">
        <v>36</v>
      </c>
      <c r="J12" s="16" t="s">
        <v>52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0</v>
      </c>
      <c r="P12" s="37">
        <v>0</v>
      </c>
      <c r="Q12" s="39">
        <f t="shared" si="1"/>
        <v>0</v>
      </c>
      <c r="R12" s="16"/>
      <c r="S12" s="16"/>
    </row>
    <row r="13" spans="2:20" s="18" customFormat="1">
      <c r="B13" s="15"/>
      <c r="C13" s="15"/>
      <c r="D13" s="16"/>
      <c r="E13" s="16"/>
      <c r="F13" s="16"/>
      <c r="G13" s="15"/>
      <c r="H13" s="26"/>
      <c r="I13" s="26" t="s">
        <v>37</v>
      </c>
      <c r="J13" s="16" t="s">
        <v>53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0</v>
      </c>
      <c r="P13" s="37">
        <v>0</v>
      </c>
      <c r="Q13" s="39">
        <f t="shared" si="1"/>
        <v>0</v>
      </c>
      <c r="R13" s="16"/>
      <c r="S13" s="16"/>
    </row>
    <row r="14" spans="2:20" s="18" customFormat="1">
      <c r="B14" s="15"/>
      <c r="C14" s="15"/>
      <c r="D14" s="16"/>
      <c r="E14" s="16"/>
      <c r="F14" s="16"/>
      <c r="G14" s="15"/>
      <c r="H14" s="26"/>
      <c r="I14" s="26" t="s">
        <v>38</v>
      </c>
      <c r="J14" s="16" t="s">
        <v>54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0</v>
      </c>
      <c r="P14" s="37">
        <v>0</v>
      </c>
      <c r="Q14" s="39">
        <f t="shared" si="1"/>
        <v>0</v>
      </c>
      <c r="R14" s="16"/>
      <c r="S14" s="16"/>
    </row>
    <row r="15" spans="2:20" s="18" customFormat="1">
      <c r="B15" s="15"/>
      <c r="C15" s="15"/>
      <c r="D15" s="16"/>
      <c r="E15" s="16"/>
      <c r="F15" s="16"/>
      <c r="G15" s="15"/>
      <c r="H15" s="26"/>
      <c r="I15" s="26" t="s">
        <v>39</v>
      </c>
      <c r="J15" s="16" t="s">
        <v>55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0</v>
      </c>
      <c r="P15" s="37">
        <v>0</v>
      </c>
      <c r="Q15" s="39">
        <f t="shared" si="1"/>
        <v>0</v>
      </c>
      <c r="R15" s="16"/>
      <c r="S15" s="16"/>
    </row>
    <row r="16" spans="2:20" s="18" customFormat="1">
      <c r="B16" s="15"/>
      <c r="C16" s="15"/>
      <c r="D16" s="16"/>
      <c r="E16" s="16"/>
      <c r="F16" s="16"/>
      <c r="G16" s="15"/>
      <c r="H16" s="26"/>
      <c r="I16" s="26" t="s">
        <v>57</v>
      </c>
      <c r="J16" s="16" t="s">
        <v>56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0</v>
      </c>
      <c r="P16" s="37">
        <v>0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5" t="s">
        <v>14</v>
      </c>
      <c r="D17" s="16" t="s">
        <v>15</v>
      </c>
      <c r="E17" s="16" t="s">
        <v>25</v>
      </c>
      <c r="F17" s="16"/>
      <c r="G17" s="73">
        <v>45558</v>
      </c>
      <c r="H17" s="73">
        <v>45657</v>
      </c>
      <c r="I17" s="26" t="s">
        <v>30</v>
      </c>
      <c r="J17" s="16" t="s">
        <v>26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0</v>
      </c>
      <c r="P17" s="37">
        <v>0</v>
      </c>
      <c r="Q17" s="39">
        <f t="shared" si="1"/>
        <v>0</v>
      </c>
      <c r="R17" s="16"/>
      <c r="S17" s="30"/>
    </row>
    <row r="18" spans="2:25" s="18" customFormat="1">
      <c r="B18" s="15"/>
      <c r="C18" s="15"/>
      <c r="D18" s="16"/>
      <c r="E18" s="16"/>
      <c r="F18" s="16"/>
      <c r="G18" s="15"/>
      <c r="H18" s="73">
        <v>45777</v>
      </c>
      <c r="I18" s="26" t="s">
        <v>36</v>
      </c>
      <c r="J18" s="16" t="s">
        <v>27</v>
      </c>
      <c r="K18" s="16">
        <v>10</v>
      </c>
      <c r="L18" s="38">
        <v>12435200</v>
      </c>
      <c r="M18" s="38">
        <v>12435200</v>
      </c>
      <c r="N18" s="49">
        <v>0</v>
      </c>
      <c r="O18" s="37">
        <v>0</v>
      </c>
      <c r="P18" s="37">
        <v>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5"/>
      <c r="D19" s="16"/>
      <c r="E19" s="16"/>
      <c r="F19" s="16"/>
      <c r="G19" s="15"/>
      <c r="H19" s="73">
        <v>45657</v>
      </c>
      <c r="I19" s="26" t="s">
        <v>39</v>
      </c>
      <c r="J19" s="16" t="s">
        <v>28</v>
      </c>
      <c r="K19" s="16">
        <v>20</v>
      </c>
      <c r="L19" s="38">
        <v>23809600</v>
      </c>
      <c r="M19" s="38">
        <v>23809600</v>
      </c>
      <c r="N19" s="49">
        <v>0</v>
      </c>
      <c r="O19" s="37">
        <v>0</v>
      </c>
      <c r="P19" s="37">
        <v>0</v>
      </c>
      <c r="Q19" s="39">
        <f t="shared" si="1"/>
        <v>0</v>
      </c>
      <c r="R19" s="30"/>
      <c r="S19" s="30"/>
    </row>
    <row r="20" spans="2:25" s="18" customFormat="1">
      <c r="B20" s="19"/>
      <c r="C20" s="19"/>
      <c r="D20" s="20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19"/>
      <c r="D21" s="20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19"/>
      <c r="D22" s="20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19"/>
      <c r="D23" s="20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19"/>
      <c r="D24" s="20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19"/>
      <c r="D25" s="20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19"/>
      <c r="D26" s="20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19"/>
      <c r="D27" s="20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19"/>
      <c r="D28" s="20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19"/>
      <c r="D29" s="20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19"/>
      <c r="D30" s="20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19"/>
      <c r="D31" s="20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19"/>
      <c r="D32" s="20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19"/>
      <c r="D33" s="20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1" t="s">
        <v>4</v>
      </c>
      <c r="D34" s="92"/>
      <c r="E34" s="92"/>
      <c r="F34" s="92"/>
      <c r="G34" s="92"/>
      <c r="H34" s="92"/>
      <c r="I34" s="92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4813677</v>
      </c>
      <c r="P34" s="38">
        <f t="shared" si="2"/>
        <v>4813677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6" t="s">
        <v>6</v>
      </c>
      <c r="M3" s="36" t="s">
        <v>70</v>
      </c>
      <c r="N3" s="36" t="s">
        <v>71</v>
      </c>
      <c r="O3" s="36" t="s">
        <v>76</v>
      </c>
      <c r="P3" s="36" t="s">
        <v>60</v>
      </c>
      <c r="Q3" s="36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81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6">
        <v>1</v>
      </c>
      <c r="C5" s="76" t="s">
        <v>14</v>
      </c>
      <c r="D5" s="30" t="s">
        <v>78</v>
      </c>
      <c r="E5" s="30"/>
      <c r="F5" s="30"/>
      <c r="G5" s="77">
        <v>45664</v>
      </c>
      <c r="H5" s="77">
        <v>45664</v>
      </c>
      <c r="I5" s="78"/>
      <c r="J5" s="78" t="s">
        <v>79</v>
      </c>
      <c r="K5" s="30">
        <v>2</v>
      </c>
      <c r="L5" s="79">
        <v>1200000</v>
      </c>
      <c r="M5" s="79">
        <v>1200000</v>
      </c>
      <c r="N5" s="79">
        <f>L5-M5</f>
        <v>0</v>
      </c>
      <c r="O5" s="80">
        <v>1200000</v>
      </c>
      <c r="P5" s="80">
        <v>0</v>
      </c>
      <c r="Q5" s="79">
        <f>O5-P5</f>
        <v>1200000</v>
      </c>
      <c r="R5" s="72" t="s">
        <v>85</v>
      </c>
      <c r="S5" s="46"/>
    </row>
    <row r="6" spans="1:19" s="18" customFormat="1">
      <c r="B6" s="15"/>
      <c r="C6" s="15"/>
      <c r="D6" s="16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53"/>
      <c r="D9" s="24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5"/>
      <c r="D10" s="16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5"/>
      <c r="D11" s="16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5"/>
      <c r="D12" s="16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5"/>
      <c r="D13" s="16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5"/>
      <c r="D21" s="16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5"/>
      <c r="D22" s="16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5"/>
      <c r="D33" s="16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 t="s">
        <v>4</v>
      </c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6" t="s">
        <v>6</v>
      </c>
      <c r="M3" s="36" t="s">
        <v>70</v>
      </c>
      <c r="N3" s="36" t="s">
        <v>71</v>
      </c>
      <c r="O3" s="36" t="s">
        <v>76</v>
      </c>
      <c r="P3" s="36" t="s">
        <v>60</v>
      </c>
      <c r="Q3" s="36" t="s">
        <v>64</v>
      </c>
      <c r="R3" s="8" t="s">
        <v>2</v>
      </c>
      <c r="S3" s="8" t="s">
        <v>65</v>
      </c>
    </row>
    <row r="4" spans="1:19" s="1" customFormat="1" ht="33">
      <c r="B4" s="15">
        <v>1</v>
      </c>
      <c r="C4" s="15" t="s">
        <v>14</v>
      </c>
      <c r="D4" s="16" t="s">
        <v>69</v>
      </c>
      <c r="E4" s="16" t="s">
        <v>82</v>
      </c>
      <c r="F4" s="16"/>
      <c r="G4" s="73">
        <v>45714</v>
      </c>
      <c r="H4" s="81">
        <v>45741</v>
      </c>
      <c r="I4" s="26"/>
      <c r="J4" s="26" t="s">
        <v>83</v>
      </c>
      <c r="K4" s="16"/>
      <c r="L4" s="38">
        <v>9983340</v>
      </c>
      <c r="M4" s="38">
        <v>9983340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75">
        <v>7573.5</v>
      </c>
      <c r="S4" s="46"/>
    </row>
    <row r="5" spans="1:19" s="18" customFormat="1">
      <c r="A5" s="1"/>
      <c r="B5" s="15"/>
      <c r="C5" s="15"/>
      <c r="D5" s="16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53"/>
      <c r="D9" s="24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5"/>
      <c r="D10" s="16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5"/>
      <c r="D11" s="16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5"/>
      <c r="D12" s="16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5"/>
      <c r="D13" s="16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5"/>
      <c r="D21" s="16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5"/>
      <c r="D22" s="16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5"/>
      <c r="D33" s="16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 t="s">
        <v>4</v>
      </c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9983340</v>
      </c>
      <c r="M34" s="50">
        <f t="shared" si="0"/>
        <v>9983340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6" t="s">
        <v>6</v>
      </c>
      <c r="M3" s="36" t="s">
        <v>70</v>
      </c>
      <c r="N3" s="36" t="s">
        <v>71</v>
      </c>
      <c r="O3" s="36" t="s">
        <v>76</v>
      </c>
      <c r="P3" s="36" t="s">
        <v>60</v>
      </c>
      <c r="Q3" s="36" t="s">
        <v>64</v>
      </c>
      <c r="R3" s="8" t="s">
        <v>2</v>
      </c>
      <c r="S3" s="8" t="s">
        <v>65</v>
      </c>
    </row>
    <row r="4" spans="1:20" s="1" customFormat="1" ht="81.75" customHeight="1">
      <c r="B4" s="15">
        <v>1</v>
      </c>
      <c r="C4" s="15" t="s">
        <v>14</v>
      </c>
      <c r="D4" s="16" t="s">
        <v>19</v>
      </c>
      <c r="E4" s="16" t="s">
        <v>22</v>
      </c>
      <c r="F4" s="16"/>
      <c r="G4" s="73">
        <v>45454</v>
      </c>
      <c r="H4" s="73">
        <v>45747</v>
      </c>
      <c r="I4" s="26" t="s">
        <v>29</v>
      </c>
      <c r="J4" s="17" t="s">
        <v>59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89</v>
      </c>
      <c r="S4" s="46"/>
    </row>
    <row r="5" spans="1:20" s="18" customFormat="1" ht="68.25" customHeight="1">
      <c r="A5" s="1"/>
      <c r="B5" s="15">
        <v>2</v>
      </c>
      <c r="C5" s="15" t="s">
        <v>14</v>
      </c>
      <c r="D5" s="16" t="s">
        <v>19</v>
      </c>
      <c r="E5" s="16" t="s">
        <v>23</v>
      </c>
      <c r="F5" s="16"/>
      <c r="G5" s="73">
        <v>45533</v>
      </c>
      <c r="H5" s="73">
        <v>45838</v>
      </c>
      <c r="I5" s="26" t="s">
        <v>29</v>
      </c>
      <c r="J5" s="16" t="s">
        <v>21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88</v>
      </c>
      <c r="S5" s="16"/>
      <c r="T5" s="1"/>
    </row>
    <row r="6" spans="1:20" s="18" customFormat="1">
      <c r="B6" s="15"/>
      <c r="C6" s="15"/>
      <c r="D6" s="16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5"/>
      <c r="D7" s="16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5"/>
      <c r="D8" s="16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53"/>
      <c r="D9" s="24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5"/>
      <c r="D10" s="16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5"/>
      <c r="D11" s="16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5"/>
      <c r="D12" s="16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5"/>
      <c r="D13" s="16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5"/>
      <c r="D14" s="16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5"/>
      <c r="D15" s="16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5"/>
      <c r="D16" s="16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5"/>
      <c r="D21" s="16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5"/>
      <c r="D22" s="16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5"/>
      <c r="D33" s="16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 t="s">
        <v>4</v>
      </c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6" t="s">
        <v>6</v>
      </c>
      <c r="M3" s="36" t="s">
        <v>70</v>
      </c>
      <c r="N3" s="36" t="s">
        <v>71</v>
      </c>
      <c r="O3" s="36" t="s">
        <v>76</v>
      </c>
      <c r="P3" s="36" t="s">
        <v>60</v>
      </c>
      <c r="Q3" s="36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74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5"/>
      <c r="D5" s="16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53"/>
      <c r="D9" s="24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5"/>
      <c r="D10" s="16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5"/>
      <c r="D11" s="16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5"/>
      <c r="D12" s="16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5"/>
      <c r="D13" s="16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5"/>
      <c r="D21" s="16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5"/>
      <c r="D22" s="16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5"/>
      <c r="D33" s="16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 t="s">
        <v>4</v>
      </c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6" t="s">
        <v>6</v>
      </c>
      <c r="M3" s="36" t="s">
        <v>70</v>
      </c>
      <c r="N3" s="36" t="s">
        <v>71</v>
      </c>
      <c r="O3" s="36" t="s">
        <v>76</v>
      </c>
      <c r="P3" s="36" t="s">
        <v>60</v>
      </c>
      <c r="Q3" s="36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80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5"/>
      <c r="D5" s="16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5"/>
      <c r="D6" s="16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5"/>
      <c r="D7" s="16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5"/>
      <c r="D8" s="16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53"/>
      <c r="D9" s="24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5"/>
      <c r="D10" s="16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5"/>
      <c r="D11" s="16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5"/>
      <c r="D12" s="16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5"/>
      <c r="D13" s="16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5"/>
      <c r="D21" s="16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5"/>
      <c r="D22" s="16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5"/>
      <c r="D33" s="16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 t="s">
        <v>4</v>
      </c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61</v>
      </c>
      <c r="F3" s="3" t="s">
        <v>12</v>
      </c>
      <c r="G3" s="3" t="s">
        <v>62</v>
      </c>
      <c r="H3" s="4" t="s">
        <v>63</v>
      </c>
      <c r="I3" s="4" t="s">
        <v>11</v>
      </c>
      <c r="J3" s="5" t="s">
        <v>8</v>
      </c>
      <c r="K3" s="5" t="s">
        <v>13</v>
      </c>
      <c r="L3" s="36" t="s">
        <v>6</v>
      </c>
      <c r="M3" s="36" t="s">
        <v>70</v>
      </c>
      <c r="N3" s="36" t="s">
        <v>71</v>
      </c>
      <c r="O3" s="36" t="s">
        <v>76</v>
      </c>
      <c r="P3" s="36" t="s">
        <v>60</v>
      </c>
      <c r="Q3" s="36" t="s">
        <v>64</v>
      </c>
      <c r="R3" s="8" t="s">
        <v>2</v>
      </c>
      <c r="S3" s="8" t="s">
        <v>65</v>
      </c>
    </row>
    <row r="4" spans="1:19" s="1" customFormat="1">
      <c r="B4" s="15">
        <v>1</v>
      </c>
      <c r="C4" s="15" t="s">
        <v>14</v>
      </c>
      <c r="D4" s="16" t="s">
        <v>40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5" t="s">
        <v>14</v>
      </c>
      <c r="D5" s="16" t="s">
        <v>84</v>
      </c>
      <c r="E5" s="16"/>
      <c r="F5" s="16"/>
      <c r="G5" s="74"/>
      <c r="H5" s="74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5" t="s">
        <v>14</v>
      </c>
      <c r="D6" s="16" t="s">
        <v>67</v>
      </c>
      <c r="E6" s="16"/>
      <c r="F6" s="16"/>
      <c r="G6" s="74"/>
      <c r="H6" s="74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5" t="s">
        <v>14</v>
      </c>
      <c r="D7" s="16" t="s">
        <v>68</v>
      </c>
      <c r="E7" s="16"/>
      <c r="F7" s="16"/>
      <c r="G7" s="74"/>
      <c r="H7" s="74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5" t="s">
        <v>14</v>
      </c>
      <c r="D8" s="16" t="s">
        <v>20</v>
      </c>
      <c r="E8" s="16"/>
      <c r="F8" s="16"/>
      <c r="G8" s="74"/>
      <c r="H8" s="74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5" t="s">
        <v>14</v>
      </c>
      <c r="D9" s="16" t="s">
        <v>42</v>
      </c>
      <c r="E9" s="16"/>
      <c r="F9" s="16"/>
      <c r="G9" s="74"/>
      <c r="H9" s="74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5" t="s">
        <v>14</v>
      </c>
      <c r="D10" s="16" t="s">
        <v>43</v>
      </c>
      <c r="E10" s="16"/>
      <c r="F10" s="16"/>
      <c r="G10" s="74"/>
      <c r="H10" s="74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5"/>
      <c r="D11" s="16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5"/>
      <c r="D12" s="16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5"/>
      <c r="D13" s="16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5"/>
      <c r="D14" s="16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5"/>
      <c r="D15" s="16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5"/>
      <c r="D16" s="16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5"/>
      <c r="D17" s="16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5"/>
      <c r="D18" s="16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5"/>
      <c r="D19" s="16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5"/>
      <c r="D20" s="16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5"/>
      <c r="D21" s="16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5"/>
      <c r="D22" s="16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5"/>
      <c r="D23" s="16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5"/>
      <c r="D24" s="16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5"/>
      <c r="D25" s="16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5"/>
      <c r="D26" s="16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5"/>
      <c r="D27" s="16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5"/>
      <c r="D28" s="16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5"/>
      <c r="D29" s="16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5"/>
      <c r="D30" s="16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5"/>
      <c r="D31" s="16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5"/>
      <c r="D32" s="16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5"/>
      <c r="D33" s="16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1" t="s">
        <v>4</v>
      </c>
      <c r="D34" s="92"/>
      <c r="E34" s="92"/>
      <c r="F34" s="92"/>
      <c r="G34" s="92"/>
      <c r="H34" s="92"/>
      <c r="I34" s="92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user602</cp:lastModifiedBy>
  <dcterms:created xsi:type="dcterms:W3CDTF">2010-03-24T06:08:57Z</dcterms:created>
  <dcterms:modified xsi:type="dcterms:W3CDTF">2025-03-20T14:56:22Z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
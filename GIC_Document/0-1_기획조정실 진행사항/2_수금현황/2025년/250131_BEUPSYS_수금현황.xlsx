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자금흐름회의\2025년\"/>
    </mc:Choice>
  </mc:AlternateContent>
  <xr:revisionPtr revIDLastSave="0" documentId="13_ncr:1_{81817D7F-BFC3-4A53-9F24-1121A0F78E3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인천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5" l="1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N34" i="28" l="1"/>
  <c r="F9" i="4" s="1"/>
  <c r="Q34" i="24"/>
  <c r="H4" i="4" s="1"/>
  <c r="Q34" i="5" l="1"/>
  <c r="H3" i="4" s="1"/>
  <c r="H20" i="4" s="1"/>
  <c r="G3" i="4"/>
  <c r="G20" i="4" s="1"/>
  <c r="F20" i="4"/>
  <c r="D3" i="4" l="1"/>
  <c r="E20" i="4" l="1"/>
  <c r="D20" i="4" l="1"/>
</calcChain>
</file>

<file path=xl/sharedStrings.xml><?xml version="1.0" encoding="utf-8"?>
<sst xmlns="http://schemas.openxmlformats.org/spreadsheetml/2006/main" count="314" uniqueCount="89">
  <si>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</si>
  <si>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</si>
  <si>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</si>
  <si>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</si>
  <si>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</si>
  <si>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</si>
  <si>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</si>
  <si>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</si>
  <si>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</si>
  <si>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</si>
  <si>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</si>
  <si>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</si>
  <si>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</si>
  <si>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</si>
  <si>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</si>
  <si>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</si>
  <si>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</si>
  <si>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</si>
  <si>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250227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</si>
  <si>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</si>
  <si>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</si>
  <si>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</si>
  <si>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</si>
  <si>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</si>
  <si>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</si>
  <si>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</si>
  <si>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</si>
  <si>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</si>
  <si>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</si>
  <si>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</si>
  <si>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</si>
  <si>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</si>
  <si>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</si>
  <si>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</si>
  <si>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</si>
  <si>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</si>
  <si>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</si>
  <si>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</si>
  <si>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</si>
  <si>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</si>
  <si>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</si>
  <si>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</si>
  <si>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</si>
  <si>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</si>
  <si>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</si>
  <si>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</si>
  <si>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</si>
  <si>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</si>
  <si>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</si>
  <si>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</si>
  <si>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</si>
  <si>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</si>
  <si>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</si>
  <si>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</si>
  <si>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</si>
  <si>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</si>
  <si>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</si>
  <si>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</si>
  <si>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</si>
  <si>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</si>
  <si>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</si>
  <si>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</si>
  <si>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</si>
  <si>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</si>
  <si>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</si>
  <si>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</si>
  <si>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</si>
  <si>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</si>
  <si>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</si>
  <si>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</si>
  <si>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</si>
  <si>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</si>
  <si>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</si>
  <si>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</si>
  <si>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</si>
  <si>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</si>
  <si>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</si>
  <si>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</si>
  <si>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</si>
  <si>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</si>
  <si>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</si>
  <si>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</si>
  <si>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</si>
  <si>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</si>
  <si>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t>인천교통공사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</si>
  <si>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</si>
  <si>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</si>
  <si>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</si>
  <si>
    <t>2025년 1월 31일 수정계약 (사급 금액 제외)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</si>
</sst>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42" fontId="5" fillId="0" borderId="4" xfId="0" applyNumberFormat="1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>
      <c r="B2" s="11" t="s">
        <v>5</v>
      </c>
      <c r="C2" s="21" t="s">
        <v>16</v>
      </c>
      <c r="D2" s="71" t="s">
        <v>7</v>
      </c>
      <c r="E2" s="71" t="s">
        <v>10</v>
      </c>
      <c r="F2" s="71" t="s">
        <v>81</v>
      </c>
      <c r="G2" s="74" t="s">
        <v>66</v>
      </c>
      <c r="H2" s="74" t="s">
        <v>70</v>
      </c>
      <c r="I2" s="75" t="s">
        <v>2</v>
      </c>
    </row>
    <row r="3" spans="2:9">
      <c r="B3" s="2">
        <v>1</v>
      </c>
      <c r="C3" s="22" t="s">
        <v>15</v>
      </c>
      <c r="D3" s="94">
        <f>'1.지아이씨'!L34</f>
        <v>395235675.69999993</v>
      </c>
      <c r="E3" s="94">
        <f>'1.지아이씨'!M34</f>
        <v>395235675.69999993</v>
      </c>
      <c r="F3" s="76">
        <f>'1.지아이씨'!N34</f>
        <v>0</v>
      </c>
      <c r="G3" s="78">
        <f>'1.지아이씨'!P34</f>
        <v>4813677</v>
      </c>
      <c r="H3" s="72">
        <f>'1.지아이씨'!Q34</f>
        <v>0</v>
      </c>
      <c r="I3" s="32" t="s">
        <v>88</v>
      </c>
    </row>
    <row r="4" spans="2:9">
      <c r="B4" s="2">
        <v>2</v>
      </c>
      <c r="C4" s="22" t="s">
        <v>46</v>
      </c>
      <c r="D4" s="78">
        <f>'2.김포골드라인'!L34</f>
        <v>0</v>
      </c>
      <c r="E4" s="78">
        <f>'2.김포골드라인'!M34</f>
        <v>0</v>
      </c>
      <c r="F4" s="76">
        <f>'2.김포골드라인'!N34</f>
        <v>0</v>
      </c>
      <c r="G4" s="78">
        <f>'2.김포골드라인'!P34</f>
        <v>0</v>
      </c>
      <c r="H4" s="72">
        <f>'2.김포골드라인'!Q34</f>
        <v>0</v>
      </c>
      <c r="I4" s="14"/>
    </row>
    <row r="5" spans="2:9">
      <c r="B5" s="2">
        <v>3</v>
      </c>
      <c r="C5" s="22" t="s">
        <v>84</v>
      </c>
      <c r="D5" s="78">
        <f>'3.인천교통공사'!L34</f>
        <v>0</v>
      </c>
      <c r="E5" s="78">
        <f>'3.인천교통공사'!M34</f>
        <v>0</v>
      </c>
      <c r="F5" s="76">
        <f>'3.인천교통공사'!N34</f>
        <v>0</v>
      </c>
      <c r="G5" s="78">
        <f>'3.인천교통공사'!P34</f>
        <v>0</v>
      </c>
      <c r="H5" s="72">
        <f>'3.인천교통공사'!Q34</f>
        <v>0</v>
      </c>
      <c r="I5" s="14"/>
    </row>
    <row r="6" spans="2:9">
      <c r="B6" s="2">
        <v>4</v>
      </c>
      <c r="C6" s="22" t="s">
        <v>75</v>
      </c>
      <c r="D6" s="78">
        <f>'4.현대로템'!L34</f>
        <v>0</v>
      </c>
      <c r="E6" s="78">
        <f>'4.현대로템'!M34</f>
        <v>0</v>
      </c>
      <c r="F6" s="76">
        <f>'4.현대로템'!N34</f>
        <v>0</v>
      </c>
      <c r="G6" s="78">
        <f>'4.현대로템'!P34</f>
        <v>0</v>
      </c>
      <c r="H6" s="87">
        <f>'4.현대로템'!Q34</f>
        <v>0</v>
      </c>
      <c r="I6" s="14"/>
    </row>
    <row r="7" spans="2:9">
      <c r="B7" s="2">
        <v>5</v>
      </c>
      <c r="C7" s="22" t="s">
        <v>19</v>
      </c>
      <c r="D7" s="78">
        <f>'5.실리콘큐브'!L34</f>
        <v>0</v>
      </c>
      <c r="E7" s="78">
        <f>'5.실리콘큐브'!M34</f>
        <v>0</v>
      </c>
      <c r="F7" s="76">
        <f>'5.실리콘큐브'!N34</f>
        <v>0</v>
      </c>
      <c r="G7" s="78">
        <f>'5.실리콘큐브'!P34</f>
        <v>0</v>
      </c>
      <c r="H7" s="72">
        <f>'5.실리콘큐브'!Q34</f>
        <v>0</v>
      </c>
      <c r="I7" s="14"/>
    </row>
    <row r="8" spans="2:9">
      <c r="B8" s="2">
        <v>6</v>
      </c>
      <c r="C8" s="22" t="s">
        <v>47</v>
      </c>
      <c r="D8" s="78">
        <f>'6.무한테크(우진산전)'!L34</f>
        <v>0</v>
      </c>
      <c r="E8" s="78">
        <f>'6.무한테크(우진산전)'!M34</f>
        <v>0</v>
      </c>
      <c r="F8" s="76">
        <f>'6.무한테크(우진산전)'!N34</f>
        <v>0</v>
      </c>
      <c r="G8" s="78">
        <f>'6.무한테크(우진산전)'!P34</f>
        <v>0</v>
      </c>
      <c r="H8" s="72">
        <f>'6.무한테크(우진산전)'!Q34</f>
        <v>0</v>
      </c>
      <c r="I8" s="82"/>
    </row>
    <row r="9" spans="2:9">
      <c r="B9" s="2">
        <v>7</v>
      </c>
      <c r="C9" s="22" t="s">
        <v>20</v>
      </c>
      <c r="D9" s="78">
        <f>'7.다원시스'!L34</f>
        <v>287000000</v>
      </c>
      <c r="E9" s="78">
        <f>'7.다원시스'!M34</f>
        <v>287000000</v>
      </c>
      <c r="F9" s="76">
        <f>'7.다원시스'!N34</f>
        <v>0</v>
      </c>
      <c r="G9" s="78">
        <f>'7.다원시스'!P34</f>
        <v>0</v>
      </c>
      <c r="H9" s="72">
        <f>'7.다원시스'!Q34</f>
        <v>42000000</v>
      </c>
      <c r="I9" s="93" t="s">
        <v>87</v>
      </c>
    </row>
    <row r="10" spans="2:9" s="13" customFormat="1">
      <c r="B10" s="2">
        <v>8</v>
      </c>
      <c r="C10" s="23" t="s">
        <v>21</v>
      </c>
      <c r="D10" s="78">
        <f>'8.티랩'!L34</f>
        <v>0</v>
      </c>
      <c r="E10" s="78">
        <f>'8.티랩'!M34</f>
        <v>0</v>
      </c>
      <c r="F10" s="76">
        <f>'8.티랩'!N34</f>
        <v>0</v>
      </c>
      <c r="G10" s="78">
        <f>'8.티랩'!P34</f>
        <v>0</v>
      </c>
      <c r="H10" s="72">
        <f>'8.티랩'!Q34</f>
        <v>0</v>
      </c>
      <c r="I10" s="14"/>
    </row>
    <row r="11" spans="2:9" s="13" customFormat="1">
      <c r="B11" s="2">
        <v>9</v>
      </c>
      <c r="C11" s="23" t="s">
        <v>48</v>
      </c>
      <c r="D11" s="78">
        <f>'9.마루소프트'!L34</f>
        <v>0</v>
      </c>
      <c r="E11" s="78">
        <f>'9.마루소프트'!M34</f>
        <v>0</v>
      </c>
      <c r="F11" s="76">
        <f>'9.마루소프트'!N34</f>
        <v>0</v>
      </c>
      <c r="G11" s="78">
        <f>'9.마루소프트'!P34</f>
        <v>0</v>
      </c>
      <c r="H11" s="72">
        <f>'9.마루소프트'!Q34</f>
        <v>0</v>
      </c>
      <c r="I11" s="14"/>
    </row>
    <row r="12" spans="2:9">
      <c r="B12" s="2">
        <v>10</v>
      </c>
      <c r="C12" s="22" t="s">
        <v>49</v>
      </c>
      <c r="D12" s="78">
        <f>'10.신진금고'!L34</f>
        <v>0</v>
      </c>
      <c r="E12" s="78">
        <f>'10.신진금고'!M34</f>
        <v>0</v>
      </c>
      <c r="F12" s="76">
        <f>'10.신진금고'!N34</f>
        <v>0</v>
      </c>
      <c r="G12" s="78">
        <f>'10.신진금고'!P34</f>
        <v>0</v>
      </c>
      <c r="H12" s="72">
        <f>'10.신진금고'!Q34</f>
        <v>0</v>
      </c>
      <c r="I12" s="14"/>
    </row>
    <row r="13" spans="2:9">
      <c r="B13" s="2"/>
      <c r="C13" s="22"/>
      <c r="D13" s="78"/>
      <c r="E13" s="78"/>
      <c r="F13" s="76"/>
      <c r="G13" s="80"/>
      <c r="H13" s="44"/>
      <c r="I13" s="14"/>
    </row>
    <row r="14" spans="2:9">
      <c r="B14" s="2"/>
      <c r="C14" s="22"/>
      <c r="D14" s="78"/>
      <c r="E14" s="78"/>
      <c r="F14" s="76"/>
      <c r="G14" s="80"/>
      <c r="H14" s="44"/>
      <c r="I14" s="14"/>
    </row>
    <row r="15" spans="2:9">
      <c r="B15" s="2"/>
      <c r="C15" s="22"/>
      <c r="D15" s="78"/>
      <c r="E15" s="78"/>
      <c r="F15" s="76"/>
      <c r="G15" s="80"/>
      <c r="H15" s="44"/>
      <c r="I15" s="14"/>
    </row>
    <row r="16" spans="2:9">
      <c r="B16" s="2"/>
      <c r="C16" s="22"/>
      <c r="D16" s="78"/>
      <c r="E16" s="78"/>
      <c r="F16" s="76"/>
      <c r="G16" s="80"/>
      <c r="H16" s="44"/>
      <c r="I16" s="14"/>
    </row>
    <row r="17" spans="2:9">
      <c r="B17" s="2"/>
      <c r="C17" s="22"/>
      <c r="D17" s="78"/>
      <c r="E17" s="78"/>
      <c r="F17" s="76"/>
      <c r="G17" s="80"/>
      <c r="H17" s="44"/>
      <c r="I17" s="14"/>
    </row>
    <row r="18" spans="2:9">
      <c r="B18" s="2"/>
      <c r="C18" s="22"/>
      <c r="D18" s="78"/>
      <c r="E18" s="78"/>
      <c r="F18" s="76"/>
      <c r="G18" s="80"/>
      <c r="H18" s="44"/>
      <c r="I18" s="14"/>
    </row>
    <row r="19" spans="2:9">
      <c r="B19" s="2"/>
      <c r="C19" s="22"/>
      <c r="D19" s="78"/>
      <c r="E19" s="78"/>
      <c r="F19" s="76"/>
      <c r="G19" s="80"/>
      <c r="H19" s="44"/>
      <c r="I19" s="14"/>
    </row>
    <row r="20" spans="2:9" s="12" customFormat="1">
      <c r="B20" s="11"/>
      <c r="C20" s="24" t="s">
        <v>9</v>
      </c>
      <c r="D20" s="79">
        <f>SUM(D3:D12)</f>
        <v>682235675.69999993</v>
      </c>
      <c r="E20" s="79">
        <f>SUM(E3:E12)</f>
        <v>682235675.69999993</v>
      </c>
      <c r="F20" s="77">
        <f>SUM(F3:F11)</f>
        <v>0</v>
      </c>
      <c r="G20" s="81">
        <f>SUM(G3:G12)</f>
        <v>4813677</v>
      </c>
      <c r="H20" s="86">
        <f>SUM(H3:H12)</f>
        <v>42000000</v>
      </c>
      <c r="I20" s="14"/>
    </row>
    <row r="21" spans="2:9" s="12" customFormat="1">
      <c r="B21" s="30"/>
      <c r="C21" s="31"/>
      <c r="D21" s="73"/>
      <c r="E21" s="73"/>
      <c r="F21" s="73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51" bestFit="1" customWidth="1"/>
    <col min="13" max="13" width="18.875" style="51" bestFit="1" customWidth="1"/>
    <col min="14" max="14" width="18.75" style="51" bestFit="1" customWidth="1"/>
    <col min="15" max="15" width="16.75" style="51" bestFit="1" customWidth="1"/>
    <col min="16" max="16" width="16.5" style="37" bestFit="1" customWidth="1"/>
    <col min="17" max="17" width="16.5" style="51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3"/>
    </row>
    <row r="2" spans="2:21">
      <c r="B2" s="6"/>
      <c r="C2" s="6"/>
    </row>
    <row r="3" spans="2:21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  <c r="U3" s="85"/>
    </row>
    <row r="4" spans="2:21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15">
        <v>240524</v>
      </c>
      <c r="H4" s="28" t="s">
        <v>18</v>
      </c>
      <c r="I4" s="28"/>
      <c r="J4" s="16" t="s">
        <v>50</v>
      </c>
      <c r="K4" s="16"/>
      <c r="L4" s="40">
        <f>SUM(M4:N4)</f>
        <v>245497524.99999997</v>
      </c>
      <c r="M4" s="40">
        <v>245497524.99999997</v>
      </c>
      <c r="N4" s="53">
        <v>0</v>
      </c>
      <c r="O4" s="39">
        <v>4813677</v>
      </c>
      <c r="P4" s="39">
        <v>4813677</v>
      </c>
      <c r="Q4" s="41">
        <f>O4-P4</f>
        <v>0</v>
      </c>
      <c r="R4" s="33" t="s">
        <v>79</v>
      </c>
      <c r="S4" s="92" t="s">
        <v>72</v>
      </c>
      <c r="T4" s="88" t="s">
        <v>86</v>
      </c>
    </row>
    <row r="5" spans="2:21" s="18" customFormat="1" ht="33">
      <c r="B5" s="15">
        <v>2</v>
      </c>
      <c r="C5" s="15" t="s">
        <v>14</v>
      </c>
      <c r="D5" s="16" t="s">
        <v>15</v>
      </c>
      <c r="E5" s="16" t="s">
        <v>27</v>
      </c>
      <c r="F5" s="16"/>
      <c r="G5" s="15">
        <v>240913</v>
      </c>
      <c r="H5" s="28" t="s">
        <v>28</v>
      </c>
      <c r="I5" s="28" t="s">
        <v>33</v>
      </c>
      <c r="J5" s="16" t="s">
        <v>51</v>
      </c>
      <c r="K5" s="16">
        <v>51</v>
      </c>
      <c r="L5" s="40">
        <f t="shared" ref="L5:L19" si="0">SUM(M5:N5)</f>
        <v>13983023.1</v>
      </c>
      <c r="M5" s="40">
        <v>13983023.1</v>
      </c>
      <c r="N5" s="53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78</v>
      </c>
      <c r="S5" s="32"/>
    </row>
    <row r="6" spans="2:21" s="18" customFormat="1">
      <c r="B6" s="15"/>
      <c r="C6" s="15"/>
      <c r="D6" s="16"/>
      <c r="E6" s="16"/>
      <c r="F6" s="16"/>
      <c r="G6" s="15"/>
      <c r="H6" s="28"/>
      <c r="I6" s="28" t="s">
        <v>34</v>
      </c>
      <c r="J6" s="16" t="s">
        <v>52</v>
      </c>
      <c r="K6" s="16">
        <v>51</v>
      </c>
      <c r="L6" s="40">
        <f t="shared" si="0"/>
        <v>10164755.4</v>
      </c>
      <c r="M6" s="40">
        <v>10164755.4</v>
      </c>
      <c r="N6" s="53">
        <v>0</v>
      </c>
      <c r="O6" s="39">
        <v>0</v>
      </c>
      <c r="P6" s="39">
        <v>0</v>
      </c>
      <c r="Q6" s="41">
        <f t="shared" si="1"/>
        <v>0</v>
      </c>
      <c r="R6" s="16" t="s">
        <v>64</v>
      </c>
      <c r="S6" s="32"/>
    </row>
    <row r="7" spans="2:21" s="18" customFormat="1">
      <c r="B7" s="15"/>
      <c r="C7" s="15"/>
      <c r="D7" s="16"/>
      <c r="E7" s="16"/>
      <c r="F7" s="16"/>
      <c r="G7" s="15"/>
      <c r="H7" s="28"/>
      <c r="I7" s="28" t="s">
        <v>35</v>
      </c>
      <c r="J7" s="16" t="s">
        <v>53</v>
      </c>
      <c r="K7" s="16">
        <v>51</v>
      </c>
      <c r="L7" s="40">
        <f t="shared" si="0"/>
        <v>9341652.2999999989</v>
      </c>
      <c r="M7" s="40">
        <v>9341652.2999999989</v>
      </c>
      <c r="N7" s="53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1" s="18" customFormat="1">
      <c r="B8" s="15"/>
      <c r="C8" s="15"/>
      <c r="D8" s="16"/>
      <c r="E8" s="16"/>
      <c r="F8" s="16"/>
      <c r="G8" s="15"/>
      <c r="H8" s="28"/>
      <c r="I8" s="28" t="s">
        <v>36</v>
      </c>
      <c r="J8" s="16" t="s">
        <v>54</v>
      </c>
      <c r="K8" s="16">
        <v>51</v>
      </c>
      <c r="L8" s="40">
        <f t="shared" si="0"/>
        <v>7854455.3999999994</v>
      </c>
      <c r="M8" s="40">
        <v>7854455.3999999994</v>
      </c>
      <c r="N8" s="53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1" s="18" customFormat="1">
      <c r="B9" s="15"/>
      <c r="C9" s="15"/>
      <c r="D9" s="16"/>
      <c r="E9" s="16"/>
      <c r="F9" s="16"/>
      <c r="G9" s="15"/>
      <c r="H9" s="28"/>
      <c r="I9" s="28" t="s">
        <v>37</v>
      </c>
      <c r="J9" s="16" t="s">
        <v>55</v>
      </c>
      <c r="K9" s="16">
        <v>51</v>
      </c>
      <c r="L9" s="40">
        <f t="shared" si="0"/>
        <v>9422642.6999999993</v>
      </c>
      <c r="M9" s="40">
        <v>9422642.6999999993</v>
      </c>
      <c r="N9" s="53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1" s="18" customFormat="1">
      <c r="B10" s="15"/>
      <c r="C10" s="15"/>
      <c r="D10" s="16"/>
      <c r="E10" s="16"/>
      <c r="F10" s="16"/>
      <c r="G10" s="15"/>
      <c r="H10" s="28"/>
      <c r="I10" s="28" t="s">
        <v>38</v>
      </c>
      <c r="J10" s="16" t="s">
        <v>56</v>
      </c>
      <c r="K10" s="16">
        <v>51</v>
      </c>
      <c r="L10" s="40">
        <f t="shared" si="0"/>
        <v>4421700</v>
      </c>
      <c r="M10" s="40">
        <v>4421700</v>
      </c>
      <c r="N10" s="53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1" s="18" customFormat="1">
      <c r="B11" s="15"/>
      <c r="C11" s="15"/>
      <c r="D11" s="16"/>
      <c r="E11" s="16"/>
      <c r="F11" s="16"/>
      <c r="G11" s="15"/>
      <c r="H11" s="28"/>
      <c r="I11" s="28" t="s">
        <v>39</v>
      </c>
      <c r="J11" s="16" t="s">
        <v>57</v>
      </c>
      <c r="K11" s="16">
        <v>102</v>
      </c>
      <c r="L11" s="40">
        <f t="shared" si="0"/>
        <v>10373400</v>
      </c>
      <c r="M11" s="40">
        <v>10373400</v>
      </c>
      <c r="N11" s="53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1" s="18" customFormat="1">
      <c r="B12" s="15"/>
      <c r="C12" s="15"/>
      <c r="D12" s="16"/>
      <c r="E12" s="16"/>
      <c r="F12" s="16"/>
      <c r="G12" s="15"/>
      <c r="H12" s="28"/>
      <c r="I12" s="28" t="s">
        <v>40</v>
      </c>
      <c r="J12" s="16" t="s">
        <v>58</v>
      </c>
      <c r="K12" s="16">
        <v>51</v>
      </c>
      <c r="L12" s="40">
        <f t="shared" si="0"/>
        <v>7264302.2999999998</v>
      </c>
      <c r="M12" s="40">
        <v>7264302.2999999998</v>
      </c>
      <c r="N12" s="53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1" s="18" customFormat="1">
      <c r="B13" s="15"/>
      <c r="C13" s="15"/>
      <c r="D13" s="16"/>
      <c r="E13" s="16"/>
      <c r="F13" s="16"/>
      <c r="G13" s="15"/>
      <c r="H13" s="28"/>
      <c r="I13" s="28" t="s">
        <v>41</v>
      </c>
      <c r="J13" s="16" t="s">
        <v>59</v>
      </c>
      <c r="K13" s="16">
        <v>51</v>
      </c>
      <c r="L13" s="40">
        <f t="shared" si="0"/>
        <v>4590000</v>
      </c>
      <c r="M13" s="40">
        <v>4590000</v>
      </c>
      <c r="N13" s="53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1" s="18" customFormat="1">
      <c r="B14" s="15"/>
      <c r="C14" s="15"/>
      <c r="D14" s="16"/>
      <c r="E14" s="16"/>
      <c r="F14" s="16"/>
      <c r="G14" s="15"/>
      <c r="H14" s="28"/>
      <c r="I14" s="28" t="s">
        <v>42</v>
      </c>
      <c r="J14" s="16" t="s">
        <v>60</v>
      </c>
      <c r="K14" s="16">
        <v>51</v>
      </c>
      <c r="L14" s="40">
        <f t="shared" si="0"/>
        <v>7246837.5</v>
      </c>
      <c r="M14" s="40">
        <v>7246837.5</v>
      </c>
      <c r="N14" s="53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1" s="18" customFormat="1">
      <c r="B15" s="15"/>
      <c r="C15" s="15"/>
      <c r="D15" s="16"/>
      <c r="E15" s="16"/>
      <c r="F15" s="16"/>
      <c r="G15" s="15"/>
      <c r="H15" s="28"/>
      <c r="I15" s="28" t="s">
        <v>43</v>
      </c>
      <c r="J15" s="16" t="s">
        <v>61</v>
      </c>
      <c r="K15" s="16">
        <v>51</v>
      </c>
      <c r="L15" s="40">
        <f t="shared" si="0"/>
        <v>6505758.8999999994</v>
      </c>
      <c r="M15" s="40">
        <v>6505758.8999999994</v>
      </c>
      <c r="N15" s="53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1" s="18" customFormat="1">
      <c r="B16" s="15"/>
      <c r="C16" s="15"/>
      <c r="D16" s="16"/>
      <c r="E16" s="16"/>
      <c r="F16" s="16"/>
      <c r="G16" s="15"/>
      <c r="H16" s="28"/>
      <c r="I16" s="28" t="s">
        <v>63</v>
      </c>
      <c r="J16" s="16" t="s">
        <v>62</v>
      </c>
      <c r="K16" s="16">
        <v>51</v>
      </c>
      <c r="L16" s="40">
        <f t="shared" si="0"/>
        <v>14136023.1</v>
      </c>
      <c r="M16" s="40">
        <v>14136023.1</v>
      </c>
      <c r="N16" s="53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29</v>
      </c>
      <c r="F17" s="16"/>
      <c r="G17" s="15">
        <v>240923</v>
      </c>
      <c r="H17" s="28" t="s">
        <v>44</v>
      </c>
      <c r="I17" s="28" t="s">
        <v>34</v>
      </c>
      <c r="J17" s="16" t="s">
        <v>30</v>
      </c>
      <c r="K17" s="16">
        <v>10</v>
      </c>
      <c r="L17" s="40">
        <f t="shared" si="0"/>
        <v>8188800</v>
      </c>
      <c r="M17" s="40">
        <v>8188800</v>
      </c>
      <c r="N17" s="53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28" t="s">
        <v>45</v>
      </c>
      <c r="I18" s="28" t="s">
        <v>40</v>
      </c>
      <c r="J18" s="16" t="s">
        <v>31</v>
      </c>
      <c r="K18" s="16">
        <v>10</v>
      </c>
      <c r="L18" s="91">
        <v>12435200</v>
      </c>
      <c r="M18" s="91">
        <v>12435200</v>
      </c>
      <c r="N18" s="53">
        <v>0</v>
      </c>
      <c r="O18" s="39">
        <v>0</v>
      </c>
      <c r="P18" s="39">
        <v>0</v>
      </c>
      <c r="Q18" s="41">
        <f t="shared" si="1"/>
        <v>0</v>
      </c>
      <c r="R18" s="20"/>
      <c r="S18" s="32" t="s">
        <v>88</v>
      </c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28" t="s">
        <v>44</v>
      </c>
      <c r="I19" s="28" t="s">
        <v>43</v>
      </c>
      <c r="J19" s="16" t="s">
        <v>32</v>
      </c>
      <c r="K19" s="16">
        <v>20</v>
      </c>
      <c r="L19" s="91">
        <v>23809600</v>
      </c>
      <c r="M19" s="91">
        <v>23809600</v>
      </c>
      <c r="N19" s="53">
        <v>0</v>
      </c>
      <c r="O19" s="39">
        <v>0</v>
      </c>
      <c r="P19" s="39">
        <v>0</v>
      </c>
      <c r="Q19" s="41">
        <f t="shared" si="1"/>
        <v>0</v>
      </c>
      <c r="R19" s="20"/>
      <c r="S19" s="32" t="s">
        <v>88</v>
      </c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2"/>
      <c r="M20" s="52"/>
      <c r="N20" s="52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2"/>
      <c r="M21" s="52"/>
      <c r="N21" s="52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2"/>
      <c r="M22" s="52"/>
      <c r="N22" s="52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2"/>
      <c r="M23" s="52"/>
      <c r="N23" s="52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2"/>
      <c r="M24" s="52"/>
      <c r="N24" s="52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2"/>
      <c r="M25" s="52"/>
      <c r="N25" s="52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2"/>
      <c r="M26" s="52"/>
      <c r="N26" s="52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2"/>
      <c r="M27" s="52"/>
      <c r="N27" s="52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2"/>
      <c r="M28" s="52"/>
      <c r="N28" s="52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2"/>
      <c r="M29" s="52"/>
      <c r="N29" s="52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2"/>
      <c r="M30" s="52"/>
      <c r="N30" s="52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2"/>
      <c r="M31" s="52"/>
      <c r="N31" s="52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2"/>
      <c r="M32" s="52"/>
      <c r="N32" s="52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2"/>
      <c r="M33" s="52"/>
      <c r="N33" s="52"/>
      <c r="O33" s="39"/>
      <c r="P33" s="39"/>
      <c r="Q33" s="41"/>
      <c r="R33" s="20"/>
      <c r="S33" s="20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27"/>
      <c r="K34" s="27"/>
      <c r="L34" s="54">
        <f>SUM(L4:L33)</f>
        <v>395235675.69999993</v>
      </c>
      <c r="M34" s="54">
        <f>SUM(M4:M33)</f>
        <v>395235675.69999993</v>
      </c>
      <c r="N34" s="54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46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75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73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20" s="1" customFormat="1" ht="82.5">
      <c r="B4" s="15">
        <v>1</v>
      </c>
      <c r="C4" s="15" t="s">
        <v>14</v>
      </c>
      <c r="D4" s="16" t="s">
        <v>20</v>
      </c>
      <c r="E4" s="16" t="s">
        <v>23</v>
      </c>
      <c r="F4" s="16"/>
      <c r="G4" s="15">
        <v>240611</v>
      </c>
      <c r="H4" s="28" t="s">
        <v>24</v>
      </c>
      <c r="I4" s="28" t="s">
        <v>33</v>
      </c>
      <c r="J4" s="17" t="s">
        <v>65</v>
      </c>
      <c r="K4" s="16"/>
      <c r="L4" s="17">
        <v>189000000</v>
      </c>
      <c r="M4" s="17">
        <v>189000000</v>
      </c>
      <c r="N4" s="52">
        <v>0</v>
      </c>
      <c r="O4" s="39">
        <v>0</v>
      </c>
      <c r="P4" s="39">
        <v>0</v>
      </c>
      <c r="Q4" s="41">
        <f>O4-P4</f>
        <v>0</v>
      </c>
      <c r="R4" s="83" t="s">
        <v>85</v>
      </c>
      <c r="S4" s="49"/>
    </row>
    <row r="5" spans="1:20" s="62" customFormat="1" ht="66">
      <c r="A5" s="56"/>
      <c r="B5" s="48">
        <v>2</v>
      </c>
      <c r="C5" s="15" t="s">
        <v>14</v>
      </c>
      <c r="D5" s="16" t="s">
        <v>20</v>
      </c>
      <c r="E5" s="57" t="s">
        <v>25</v>
      </c>
      <c r="F5" s="57"/>
      <c r="G5" s="15">
        <v>240829</v>
      </c>
      <c r="H5" s="28" t="s">
        <v>26</v>
      </c>
      <c r="I5" s="58" t="s">
        <v>33</v>
      </c>
      <c r="J5" s="16" t="s">
        <v>22</v>
      </c>
      <c r="K5" s="57"/>
      <c r="L5" s="17">
        <v>98000000</v>
      </c>
      <c r="M5" s="17">
        <v>98000000</v>
      </c>
      <c r="N5" s="52">
        <v>0</v>
      </c>
      <c r="O5" s="39">
        <v>42000000</v>
      </c>
      <c r="P5" s="39">
        <v>0</v>
      </c>
      <c r="Q5" s="41">
        <f>O5-P5</f>
        <v>42000000</v>
      </c>
      <c r="R5" s="84" t="s">
        <v>83</v>
      </c>
      <c r="S5" s="57"/>
      <c r="T5" s="1"/>
    </row>
    <row r="6" spans="1:20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20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20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20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287000000</v>
      </c>
      <c r="M34" s="54">
        <f t="shared" si="0"/>
        <v>287000000</v>
      </c>
      <c r="N34" s="54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21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48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49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9" t="s">
        <v>4</v>
      </c>
      <c r="D34" s="90"/>
      <c r="E34" s="90"/>
      <c r="F34" s="90"/>
      <c r="G34" s="90"/>
      <c r="H34" s="90"/>
      <c r="I34" s="90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2025-02-03T05:34:20Z</dcterms:modified>
</cp:coreProperties>
</file>
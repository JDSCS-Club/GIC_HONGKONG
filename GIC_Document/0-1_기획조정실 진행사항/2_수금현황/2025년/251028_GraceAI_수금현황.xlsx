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기획조정실 진행사항\2_수금현황\2025년\"/>
    </mc:Choice>
  </mc:AlternateContent>
  <xr:revisionPtr revIDLastSave="0" documentId="13_ncr:1_{AFC39D72-D47D-444C-800C-D839930ACFE4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32" l="1"/>
  <c r="N6" i="32"/>
  <c r="Q5" i="33"/>
  <c r="Q6" i="33"/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7" i="4" l="1"/>
  <c r="I5" i="4"/>
  <c r="L34" i="5"/>
  <c r="P34" i="28"/>
  <c r="H6" i="4" s="1"/>
  <c r="M34" i="28"/>
  <c r="F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6" i="4" l="1"/>
  <c r="I4" i="4"/>
  <c r="F21" i="4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<sst xmlns="http://schemas.openxmlformats.org/spreadsheetml/2006/main" count="278" uniqueCount="124">
  <si>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</si>
  <si>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</si>
  <si>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</si>
  <si>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</si>
  <si>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</si>
  <si>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</si>
  <si>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</si>
  <si>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</si>
  <si>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</si>
  <si>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</si>
  <si>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</si>
  <si>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</si>
  <si>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</si>
  <si>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</si>
  <si>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</si>
  <si>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</si>
  <si>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</si>
  <si>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</si>
  <si>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</si>
  <si>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</si>
  <si>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</si>
  <si>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</si>
  <si>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</si>
  <si>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</si>
  <si>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</si>
  <si>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</si>
  <si>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</si>
  <si>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</si>
  <si>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</si>
  <si>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</si>
  <si>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</si>
  <si>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</si>
  <si>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</si>
  <si>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</si>
  <si>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</si>
  <si>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</si>
  <si>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</si>
  <si>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</si>
  <si>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</si>
  <si>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</si>
  <si>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</si>
  <si>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</si>
  <si>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</si>
  <si>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</si>
  <si>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</si>
  <si>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</si>
  <si>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</si>
  <si>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</si>
  <si>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</si>
  <si>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</si>
  <si>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</si>
  <si>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</si>
  <si>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</si>
  <si>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</si>
  <si>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</si>
  <si>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</si>
  <si>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</si>
  <si>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</si>
  <si>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</si>
  <si>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</si>
  <si>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</si>
  <si>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</si>
  <si>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</si>
  <si>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</si>
  <si>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</si>
  <si>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</si>
  <si>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</si>
  <si>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</si>
  <si>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</si>
  <si>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</si>
  <si>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</si>
  <si>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</si>
  <si>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</si>
  <si>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</si>
  <si>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</si>
  <si>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</si>
  <si>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</si>
  <si>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</si>
  <si>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</si>
  <si>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</si>
  <si>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</si>
  <si>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</si>
  <si>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</si>
  <si>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</si>
  <si>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</si>
  <si>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</si>
  <si>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</si>
  <si>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</si>
  <si>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</si>
  <si>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</si>
  <si>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</si>
  <si>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</si>
  <si>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</si>
  <si>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</si>
  <si>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</si>
  <si>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</si>
  <si>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</si>
  <si>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</si>
  <si>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</si>
  <si>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</si>
  <si>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</si>
  <si>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</si>
  <si>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7호선 3차분 PIS-CSC 장치 보수품</t>
  </si>
  <si>
    <t>동화에프에이</t>
    <phoneticPr fontId="1" type="noConversion"/>
  </si>
  <si>
    <t>통전 검사기 HW 개발</t>
  </si>
  <si>
    <t>통합통전검사기 개발</t>
  </si>
  <si>
    <t>POSCO TCMS 관련 통신보드 HW 개발</t>
  </si>
  <si>
    <t>한국(현대자동차)</t>
    <phoneticPr fontId="1" type="noConversion"/>
  </si>
  <si>
    <t>한국(POSCO)</t>
    <phoneticPr fontId="1" type="noConversion"/>
  </si>
  <si>
    <t>PO 20250711001의 재료비 보전 성격</t>
    <phoneticPr fontId="1" type="noConversion"/>
  </si>
  <si>
    <t>250801 선금(30%) 지급 완료</t>
    <phoneticPr fontId="1" type="noConversion"/>
  </si>
  <si>
    <t>250801 대금 지급 완료</t>
    <phoneticPr fontId="1" type="noConversion"/>
  </si>
  <si>
    <t>250808 KRW 105,304,551 전자세금계산서</t>
    <phoneticPr fontId="1" type="noConversion"/>
  </si>
  <si>
    <t>250731 KRW 36,585,000 전자세금계산서</t>
    <phoneticPr fontId="1" type="noConversion"/>
  </si>
  <si>
    <t>250808 KRW 9,090,909 전자세금계산서</t>
    <phoneticPr fontId="1" type="noConversion"/>
  </si>
  <si>
    <t>250728 KRW 7,848,300 전자세금계산서 선금 30%</t>
    <phoneticPr fontId="1" type="noConversion"/>
  </si>
  <si>
    <t>250305 KRW 42,000,000 전자세금계산서
중도금 30%</t>
    <phoneticPr fontId="1" type="noConversion"/>
  </si>
  <si>
    <r>
      <t xml:space="preserve">250807 KRW 81,000,000 전자세금계산서
중도금 30% </t>
    </r>
    <r>
      <rPr>
        <b/>
        <sz val="11"/>
        <color rgb="FFFF0000"/>
        <rFont val="맑은 고딕"/>
        <family val="3"/>
        <charset val="129"/>
        <scheme val="minor"/>
      </rPr>
      <t>발급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</si>
  <si>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 30%
    (25년 8월 중 철도연구원 레포트 승인 예상)
</t>
    </r>
    <r>
      <rPr>
        <b/>
        <sz val="11"/>
        <color rgb="FFFF0000"/>
        <rFont val="맑은 고딕"/>
        <family val="3"/>
        <charset val="129"/>
        <scheme val="minor"/>
      </rPr>
      <t>3. 초도 시운점검사 완료 시 30%
4. 양산편성 완료 시 10%</t>
    </r>
    <phoneticPr fontId="1" type="noConversion"/>
  </si>
  <si>
    <t>0S02</t>
    <phoneticPr fontId="1" type="noConversion"/>
  </si>
  <si>
    <t>인도네시아 경전철 차량유지보수 부품</t>
  </si>
  <si>
    <t>선금 20%, 대금 80%</t>
    <phoneticPr fontId="1" type="noConversion"/>
  </si>
  <si>
    <t>신역사 KTU 추가
방송소프트웨어 업데이트</t>
    <phoneticPr fontId="1" type="noConversion"/>
  </si>
  <si>
    <t>251015 선금 입금 완료 (선금 20%, 6,158,200)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</si>
</sst>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7" x14ac:dyDescent="0.4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66.5" style="44" bestFit="1" customWidth="1"/>
  </cols>
  <sheetData>
    <row r="2" spans="2:11" s="1" customFormat="1" x14ac:dyDescent="0.45">
      <c r="B2" s="11" t="s">
        <v>4</v>
      </c>
      <c r="C2" s="89" t="s">
        <v>15</v>
      </c>
      <c r="D2" s="90"/>
      <c r="E2" s="54" t="s">
        <v>6</v>
      </c>
      <c r="F2" s="54" t="s">
        <v>9</v>
      </c>
      <c r="G2" s="54" t="s">
        <v>71</v>
      </c>
      <c r="H2" s="57" t="s">
        <v>58</v>
      </c>
      <c r="I2" s="57" t="s">
        <v>96</v>
      </c>
      <c r="J2" s="57" t="s">
        <v>62</v>
      </c>
      <c r="K2" s="58" t="s">
        <v>2</v>
      </c>
    </row>
    <row r="3" spans="2:11" x14ac:dyDescent="0.45">
      <c r="B3" s="2">
        <v>1</v>
      </c>
      <c r="C3" s="93" t="s">
        <v>14</v>
      </c>
      <c r="D3" s="90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259765052.70000002</v>
      </c>
      <c r="I3" s="61">
        <f>F3-H3</f>
        <v>135470622.99999991</v>
      </c>
      <c r="J3" s="55">
        <f>'1.지아이씨'!Q34</f>
        <v>0</v>
      </c>
      <c r="K3" s="71"/>
    </row>
    <row r="4" spans="2:11" x14ac:dyDescent="0.45">
      <c r="B4" s="2">
        <v>2</v>
      </c>
      <c r="C4" s="93" t="s">
        <v>76</v>
      </c>
      <c r="D4" s="90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89</v>
      </c>
    </row>
    <row r="5" spans="2:11" x14ac:dyDescent="0.45">
      <c r="B5" s="2">
        <v>3</v>
      </c>
      <c r="C5" s="93" t="s">
        <v>67</v>
      </c>
      <c r="D5" s="90"/>
      <c r="E5" s="61">
        <f>'3.현대로템'!L34</f>
        <v>314674040</v>
      </c>
      <c r="F5" s="61">
        <f>'3.현대로템'!M34</f>
        <v>314674040</v>
      </c>
      <c r="G5" s="59">
        <f>'3.현대로템'!N34</f>
        <v>0</v>
      </c>
      <c r="H5" s="61">
        <f>'3.현대로템'!P34</f>
        <v>19883340</v>
      </c>
      <c r="I5" s="61">
        <f t="shared" si="0"/>
        <v>294790700</v>
      </c>
      <c r="J5" s="69">
        <f>'3.현대로템'!Q34</f>
        <v>0</v>
      </c>
      <c r="K5" s="71"/>
    </row>
    <row r="6" spans="2:11" x14ac:dyDescent="0.45">
      <c r="B6" s="2">
        <v>4</v>
      </c>
      <c r="C6" s="93" t="s">
        <v>18</v>
      </c>
      <c r="D6" s="90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123000000</v>
      </c>
      <c r="I6" s="61">
        <f t="shared" si="0"/>
        <v>164000000</v>
      </c>
      <c r="J6" s="55">
        <f>'4.다원시스'!Q34</f>
        <v>0</v>
      </c>
      <c r="K6" s="71"/>
    </row>
    <row r="7" spans="2:11" x14ac:dyDescent="0.45">
      <c r="B7" s="2">
        <v>5</v>
      </c>
      <c r="C7" s="93" t="s">
        <v>70</v>
      </c>
      <c r="D7" s="90"/>
      <c r="E7" s="61">
        <f>'5.인터모빌리티'!L34</f>
        <v>71836909</v>
      </c>
      <c r="F7" s="61">
        <f>'5.인터모빌리티'!M34</f>
        <v>71836909</v>
      </c>
      <c r="G7" s="59">
        <f>'5.인터모빌리티'!N34</f>
        <v>0</v>
      </c>
      <c r="H7" s="63">
        <f>'5.인터모빌리티'!P34</f>
        <v>53524209</v>
      </c>
      <c r="I7" s="61">
        <f t="shared" si="0"/>
        <v>18312700</v>
      </c>
      <c r="J7" s="42">
        <f>'5.인터모빌리티'!Q34</f>
        <v>0</v>
      </c>
      <c r="K7" s="87"/>
    </row>
    <row r="8" spans="2:11" x14ac:dyDescent="0.45">
      <c r="B8" s="2">
        <v>6</v>
      </c>
      <c r="C8" s="93" t="s">
        <v>75</v>
      </c>
      <c r="D8" s="90"/>
      <c r="E8" s="61">
        <f>'6.GMTECH'!L34</f>
        <v>30791000</v>
      </c>
      <c r="F8" s="61">
        <f>'6.GMTECH'!M34</f>
        <v>30791000</v>
      </c>
      <c r="G8" s="59">
        <f>'6.GMTECH'!N34</f>
        <v>0</v>
      </c>
      <c r="H8" s="63">
        <f>'6.GMTECH'!P34</f>
        <v>6158200</v>
      </c>
      <c r="I8" s="61">
        <f t="shared" si="0"/>
        <v>24632800</v>
      </c>
      <c r="J8" s="42">
        <f>'6.GMTECH'!Q34</f>
        <v>0</v>
      </c>
      <c r="K8" s="88" t="s">
        <v>123</v>
      </c>
    </row>
    <row r="9" spans="2:11" x14ac:dyDescent="0.45">
      <c r="B9" s="81" t="s">
        <v>81</v>
      </c>
      <c r="C9" s="91" t="s">
        <v>88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 x14ac:dyDescent="0.45">
      <c r="B10" s="81" t="s">
        <v>82</v>
      </c>
      <c r="C10" s="92"/>
      <c r="D10" s="5" t="s">
        <v>79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 x14ac:dyDescent="0.45">
      <c r="B11" s="81" t="s">
        <v>83</v>
      </c>
      <c r="C11" s="92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 x14ac:dyDescent="0.45">
      <c r="B12" s="81" t="s">
        <v>84</v>
      </c>
      <c r="C12" s="92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 x14ac:dyDescent="0.45">
      <c r="B13" s="81" t="s">
        <v>85</v>
      </c>
      <c r="C13" s="92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 x14ac:dyDescent="0.45">
      <c r="B14" s="81" t="s">
        <v>86</v>
      </c>
      <c r="C14" s="92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 x14ac:dyDescent="0.45">
      <c r="B15" s="81" t="s">
        <v>87</v>
      </c>
      <c r="C15" s="92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 x14ac:dyDescent="0.45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 x14ac:dyDescent="0.45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 x14ac:dyDescent="0.45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 x14ac:dyDescent="0.45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 x14ac:dyDescent="0.45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 x14ac:dyDescent="0.45">
      <c r="B21" s="11"/>
      <c r="C21" s="22" t="s">
        <v>8</v>
      </c>
      <c r="D21" s="83"/>
      <c r="E21" s="62">
        <f t="shared" ref="E21:J21" si="2">SUM(E3:E20)</f>
        <v>1100737624.6999998</v>
      </c>
      <c r="F21" s="62">
        <f t="shared" si="2"/>
        <v>1100737624.6999998</v>
      </c>
      <c r="G21" s="60">
        <f t="shared" si="2"/>
        <v>0</v>
      </c>
      <c r="H21" s="64">
        <f t="shared" si="2"/>
        <v>462330801.70000005</v>
      </c>
      <c r="I21" s="62">
        <f t="shared" si="2"/>
        <v>638406822.99999988</v>
      </c>
      <c r="J21" s="68">
        <f t="shared" si="2"/>
        <v>1200000</v>
      </c>
      <c r="K21" s="14"/>
    </row>
    <row r="22" spans="2:11" s="12" customFormat="1" x14ac:dyDescent="0.45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5.25" style="7" bestFit="1" customWidth="1"/>
    <col min="12" max="12" width="18.33203125" style="47" bestFit="1" customWidth="1"/>
    <col min="13" max="13" width="18.8320312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08203125" style="10" bestFit="1" customWidth="1"/>
    <col min="19" max="19" width="42.5" style="10" bestFit="1" customWidth="1"/>
    <col min="20" max="20" width="42.83203125" bestFit="1" customWidth="1"/>
    <col min="21" max="21" width="40.83203125" bestFit="1" customWidth="1"/>
    <col min="22" max="22" width="49.08203125" bestFit="1" customWidth="1"/>
    <col min="23" max="23" width="31" customWidth="1"/>
    <col min="24" max="24" width="33.83203125" bestFit="1" customWidth="1"/>
    <col min="25" max="28" width="11" bestFit="1" customWidth="1"/>
  </cols>
  <sheetData>
    <row r="1" spans="2:21" x14ac:dyDescent="0.45">
      <c r="T1" s="41"/>
    </row>
    <row r="2" spans="2:21" x14ac:dyDescent="0.45">
      <c r="B2" s="6"/>
      <c r="D2" s="6"/>
    </row>
    <row r="3" spans="2:21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2:21" s="18" customFormat="1" ht="68" x14ac:dyDescent="0.45">
      <c r="B4" s="15">
        <v>1</v>
      </c>
      <c r="C4" s="16" t="s">
        <v>14</v>
      </c>
      <c r="D4" s="15" t="s">
        <v>93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101</v>
      </c>
      <c r="S4" s="70" t="s">
        <v>64</v>
      </c>
      <c r="T4" s="86" t="s">
        <v>100</v>
      </c>
      <c r="U4" s="86" t="s">
        <v>99</v>
      </c>
    </row>
    <row r="5" spans="2:21" s="18" customFormat="1" x14ac:dyDescent="0.45">
      <c r="B5" s="15">
        <v>2</v>
      </c>
      <c r="C5" s="16" t="s">
        <v>14</v>
      </c>
      <c r="D5" s="15" t="s">
        <v>93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13983023.1</v>
      </c>
      <c r="P5" s="37">
        <v>13983023.1</v>
      </c>
      <c r="Q5" s="39">
        <f t="shared" ref="Q5:Q19" si="1">O5-P5</f>
        <v>0</v>
      </c>
      <c r="R5" s="20"/>
      <c r="S5" s="30"/>
      <c r="T5" s="85" t="s">
        <v>90</v>
      </c>
      <c r="U5" s="85" t="s">
        <v>112</v>
      </c>
    </row>
    <row r="6" spans="2:21" s="18" customFormat="1" x14ac:dyDescent="0.45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10164755.4</v>
      </c>
      <c r="P6" s="37">
        <v>10164755.4</v>
      </c>
      <c r="Q6" s="39">
        <f t="shared" si="1"/>
        <v>0</v>
      </c>
      <c r="R6" s="16"/>
      <c r="S6" s="30"/>
    </row>
    <row r="7" spans="2:21" s="18" customFormat="1" x14ac:dyDescent="0.45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9341652.2999999989</v>
      </c>
      <c r="P7" s="37">
        <v>9341652.2999999989</v>
      </c>
      <c r="Q7" s="39">
        <f t="shared" si="1"/>
        <v>0</v>
      </c>
      <c r="R7" s="16"/>
      <c r="S7" s="16"/>
    </row>
    <row r="8" spans="2:21" s="18" customFormat="1" x14ac:dyDescent="0.45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7854455.3999999994</v>
      </c>
      <c r="P8" s="37">
        <v>7854455.3999999994</v>
      </c>
      <c r="Q8" s="39">
        <f t="shared" si="1"/>
        <v>0</v>
      </c>
      <c r="R8" s="16"/>
      <c r="S8" s="16"/>
    </row>
    <row r="9" spans="2:21" s="18" customFormat="1" x14ac:dyDescent="0.45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9422642.6999999993</v>
      </c>
      <c r="P9" s="37">
        <v>9422642.6999999993</v>
      </c>
      <c r="Q9" s="39">
        <f t="shared" si="1"/>
        <v>0</v>
      </c>
      <c r="R9" s="16"/>
      <c r="S9" s="16"/>
    </row>
    <row r="10" spans="2:21" s="18" customFormat="1" x14ac:dyDescent="0.45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4421700</v>
      </c>
      <c r="P10" s="37">
        <v>4421700</v>
      </c>
      <c r="Q10" s="39">
        <f t="shared" si="1"/>
        <v>0</v>
      </c>
      <c r="R10" s="16"/>
      <c r="S10" s="16"/>
    </row>
    <row r="11" spans="2:21" s="18" customFormat="1" x14ac:dyDescent="0.45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10373400</v>
      </c>
      <c r="P11" s="37">
        <v>10373400</v>
      </c>
      <c r="Q11" s="39">
        <f t="shared" si="1"/>
        <v>0</v>
      </c>
      <c r="R11" s="16"/>
      <c r="S11" s="16"/>
    </row>
    <row r="12" spans="2:21" s="18" customFormat="1" x14ac:dyDescent="0.45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7264302.2999999998</v>
      </c>
      <c r="P12" s="37">
        <v>7264302.2999999998</v>
      </c>
      <c r="Q12" s="39">
        <f t="shared" si="1"/>
        <v>0</v>
      </c>
      <c r="R12" s="16"/>
      <c r="S12" s="16"/>
    </row>
    <row r="13" spans="2:21" s="18" customFormat="1" x14ac:dyDescent="0.45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4590000</v>
      </c>
      <c r="P13" s="37">
        <v>4590000</v>
      </c>
      <c r="Q13" s="39">
        <f t="shared" si="1"/>
        <v>0</v>
      </c>
      <c r="R13" s="16"/>
      <c r="S13" s="16"/>
    </row>
    <row r="14" spans="2:21" s="18" customFormat="1" x14ac:dyDescent="0.45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7246837.5</v>
      </c>
      <c r="P14" s="37">
        <v>7246837.5</v>
      </c>
      <c r="Q14" s="39">
        <f t="shared" si="1"/>
        <v>0</v>
      </c>
      <c r="R14" s="16"/>
      <c r="S14" s="16"/>
    </row>
    <row r="15" spans="2:21" s="18" customFormat="1" x14ac:dyDescent="0.45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6505758.8999999994</v>
      </c>
      <c r="P15" s="37">
        <v>6505758.8999999994</v>
      </c>
      <c r="Q15" s="39">
        <f t="shared" si="1"/>
        <v>0</v>
      </c>
      <c r="R15" s="16"/>
      <c r="S15" s="16"/>
    </row>
    <row r="16" spans="2:21" s="18" customFormat="1" x14ac:dyDescent="0.45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14136023.1</v>
      </c>
      <c r="P16" s="37">
        <v>14136023.1</v>
      </c>
      <c r="Q16" s="39">
        <f t="shared" si="1"/>
        <v>0</v>
      </c>
      <c r="R16" s="16"/>
      <c r="S16" s="16"/>
    </row>
    <row r="17" spans="2:25" s="18" customFormat="1" x14ac:dyDescent="0.45">
      <c r="B17" s="15">
        <v>3</v>
      </c>
      <c r="C17" s="16" t="s">
        <v>14</v>
      </c>
      <c r="D17" s="15" t="s">
        <v>93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90</v>
      </c>
      <c r="U17" s="85" t="s">
        <v>98</v>
      </c>
    </row>
    <row r="18" spans="2:25" s="18" customFormat="1" x14ac:dyDescent="0.45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 x14ac:dyDescent="0.45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 x14ac:dyDescent="0.45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 x14ac:dyDescent="0.45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 x14ac:dyDescent="0.45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 x14ac:dyDescent="0.45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 x14ac:dyDescent="0.45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 x14ac:dyDescent="0.45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 x14ac:dyDescent="0.45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 x14ac:dyDescent="0.45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 x14ac:dyDescent="0.45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 x14ac:dyDescent="0.45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 x14ac:dyDescent="0.45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 x14ac:dyDescent="0.45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 x14ac:dyDescent="0.45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 x14ac:dyDescent="0.45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259765052.70000002</v>
      </c>
      <c r="P34" s="38">
        <f t="shared" si="2"/>
        <v>259765052.70000002</v>
      </c>
      <c r="Q34" s="39">
        <f>SUM(Q4:Q33)</f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55.08203125" style="10" bestFit="1" customWidth="1"/>
    <col min="19" max="19" width="33.58203125" style="10" bestFit="1" customWidth="1"/>
    <col min="20" max="20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76</v>
      </c>
      <c r="D4" s="15" t="s">
        <v>13</v>
      </c>
      <c r="E4" s="16"/>
      <c r="F4" s="16"/>
      <c r="G4" s="73"/>
      <c r="H4" s="73"/>
      <c r="I4" s="26"/>
      <c r="J4" s="26" t="s">
        <v>102</v>
      </c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 x14ac:dyDescent="0.45">
      <c r="A5" s="1"/>
      <c r="B5" s="75">
        <v>1</v>
      </c>
      <c r="C5" s="30" t="s">
        <v>73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74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80</v>
      </c>
      <c r="S5" s="46"/>
    </row>
    <row r="6" spans="1:19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0" width="35.5" bestFit="1" customWidth="1"/>
    <col min="21" max="22" width="11" bestFit="1" customWidth="1"/>
  </cols>
  <sheetData>
    <row r="2" spans="1:20" x14ac:dyDescent="0.45">
      <c r="B2" s="6"/>
      <c r="D2" s="6"/>
    </row>
    <row r="3" spans="1:20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34" x14ac:dyDescent="0.45">
      <c r="B4" s="15">
        <v>1</v>
      </c>
      <c r="C4" s="16" t="s">
        <v>67</v>
      </c>
      <c r="D4" s="15" t="s">
        <v>93</v>
      </c>
      <c r="E4" s="16" t="s">
        <v>77</v>
      </c>
      <c r="F4" s="16"/>
      <c r="G4" s="72">
        <v>45714</v>
      </c>
      <c r="H4" s="80">
        <v>45741</v>
      </c>
      <c r="I4" s="26"/>
      <c r="J4" s="26" t="s">
        <v>78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  <c r="T4" s="85" t="s">
        <v>90</v>
      </c>
    </row>
    <row r="5" spans="1:20" s="18" customFormat="1" ht="34" x14ac:dyDescent="0.45">
      <c r="A5" s="1"/>
      <c r="B5" s="15">
        <v>2</v>
      </c>
      <c r="C5" s="16" t="s">
        <v>67</v>
      </c>
      <c r="D5" s="15" t="s">
        <v>93</v>
      </c>
      <c r="E5" s="16" t="s">
        <v>91</v>
      </c>
      <c r="F5" s="16"/>
      <c r="G5" s="72">
        <v>45742</v>
      </c>
      <c r="H5" s="80"/>
      <c r="I5" s="26"/>
      <c r="J5" s="16" t="s">
        <v>92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97</v>
      </c>
      <c r="S5" s="16"/>
      <c r="T5" s="85" t="s">
        <v>90</v>
      </c>
    </row>
    <row r="6" spans="1:20" s="18" customFormat="1" ht="34" x14ac:dyDescent="0.45">
      <c r="B6" s="15">
        <v>3</v>
      </c>
      <c r="C6" s="16" t="s">
        <v>67</v>
      </c>
      <c r="D6" s="15" t="s">
        <v>93</v>
      </c>
      <c r="E6" s="30"/>
      <c r="F6" s="30"/>
      <c r="G6" s="72">
        <v>45930</v>
      </c>
      <c r="H6" s="77"/>
      <c r="I6" s="77"/>
      <c r="J6" s="16" t="s">
        <v>122</v>
      </c>
      <c r="K6" s="16"/>
      <c r="L6" s="38">
        <v>294790700</v>
      </c>
      <c r="M6" s="38">
        <v>294790700</v>
      </c>
      <c r="N6" s="48">
        <f>L6-M6</f>
        <v>0</v>
      </c>
      <c r="O6" s="37">
        <v>0</v>
      </c>
      <c r="P6" s="37">
        <v>0</v>
      </c>
      <c r="Q6" s="39">
        <f>O6-P6</f>
        <v>0</v>
      </c>
      <c r="R6" s="30"/>
      <c r="S6" s="16"/>
    </row>
    <row r="7" spans="1:20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314674040</v>
      </c>
      <c r="M34" s="50">
        <f t="shared" si="0"/>
        <v>314674040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1.33203125" style="10" customWidth="1"/>
    <col min="19" max="19" width="33.58203125" style="10" bestFit="1" customWidth="1"/>
    <col min="20" max="20" width="41.58203125" bestFit="1" customWidth="1"/>
    <col min="21" max="22" width="11" bestFit="1" customWidth="1"/>
  </cols>
  <sheetData>
    <row r="2" spans="1:20" x14ac:dyDescent="0.45">
      <c r="B2" s="6"/>
      <c r="D2" s="6"/>
    </row>
    <row r="3" spans="1:20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81.75" customHeight="1" x14ac:dyDescent="0.45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57</v>
      </c>
      <c r="K4" s="16"/>
      <c r="L4" s="17">
        <v>189000000</v>
      </c>
      <c r="M4" s="17">
        <v>189000000</v>
      </c>
      <c r="N4" s="48">
        <v>0</v>
      </c>
      <c r="O4" s="37">
        <v>81000000</v>
      </c>
      <c r="P4" s="37">
        <v>81000000</v>
      </c>
      <c r="Q4" s="39">
        <f>O4-P4</f>
        <v>0</v>
      </c>
      <c r="R4" s="66" t="s">
        <v>118</v>
      </c>
      <c r="S4" s="46"/>
      <c r="T4" s="86" t="s">
        <v>117</v>
      </c>
    </row>
    <row r="5" spans="1:20" s="18" customFormat="1" ht="68.25" customHeight="1" x14ac:dyDescent="0.45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94</v>
      </c>
      <c r="S5" s="16"/>
      <c r="T5" s="86" t="s">
        <v>116</v>
      </c>
    </row>
    <row r="6" spans="1:20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123000000</v>
      </c>
      <c r="P34" s="38">
        <f t="shared" si="0"/>
        <v>123000000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5.5" style="7" bestFit="1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0" width="50.25" bestFit="1" customWidth="1"/>
    <col min="21" max="21" width="42.08203125" bestFit="1" customWidth="1"/>
    <col min="22" max="22" width="11" bestFit="1" customWidth="1"/>
  </cols>
  <sheetData>
    <row r="2" spans="1:21" x14ac:dyDescent="0.45">
      <c r="B2" s="6"/>
      <c r="D2" s="6"/>
    </row>
    <row r="3" spans="1:21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 x14ac:dyDescent="0.45">
      <c r="B4" s="15">
        <v>1</v>
      </c>
      <c r="C4" s="16" t="s">
        <v>70</v>
      </c>
      <c r="D4" s="15" t="s">
        <v>107</v>
      </c>
      <c r="E4" s="15">
        <v>20250711001</v>
      </c>
      <c r="F4" s="16"/>
      <c r="G4" s="72">
        <v>45849</v>
      </c>
      <c r="H4" s="72">
        <v>45884</v>
      </c>
      <c r="I4" s="26"/>
      <c r="J4" s="26" t="s">
        <v>104</v>
      </c>
      <c r="K4" s="16"/>
      <c r="L4" s="38">
        <v>36585000</v>
      </c>
      <c r="M4" s="38">
        <v>36585000</v>
      </c>
      <c r="N4" s="48">
        <f>L4-M4</f>
        <v>0</v>
      </c>
      <c r="O4" s="37">
        <v>36585000</v>
      </c>
      <c r="P4" s="37">
        <v>36585000</v>
      </c>
      <c r="Q4" s="39">
        <f>O4-P4</f>
        <v>0</v>
      </c>
      <c r="R4" s="16" t="s">
        <v>111</v>
      </c>
      <c r="S4" s="46"/>
      <c r="T4" s="85" t="s">
        <v>90</v>
      </c>
      <c r="U4" s="85" t="s">
        <v>113</v>
      </c>
    </row>
    <row r="5" spans="1:21" s="18" customFormat="1" x14ac:dyDescent="0.45">
      <c r="A5" s="1"/>
      <c r="B5" s="15"/>
      <c r="C5" s="16" t="s">
        <v>103</v>
      </c>
      <c r="D5" s="15" t="s">
        <v>107</v>
      </c>
      <c r="E5" s="16"/>
      <c r="F5" s="16"/>
      <c r="G5" s="72">
        <v>45876</v>
      </c>
      <c r="H5" s="72">
        <v>45884</v>
      </c>
      <c r="I5" s="26"/>
      <c r="J5" s="16" t="s">
        <v>105</v>
      </c>
      <c r="K5" s="16"/>
      <c r="L5" s="38">
        <v>9090909</v>
      </c>
      <c r="M5" s="38">
        <v>9090909</v>
      </c>
      <c r="N5" s="48">
        <v>0</v>
      </c>
      <c r="O5" s="37">
        <v>9090909</v>
      </c>
      <c r="P5" s="37">
        <v>9090909</v>
      </c>
      <c r="Q5" s="39">
        <f>O5-P5</f>
        <v>0</v>
      </c>
      <c r="R5" s="30" t="s">
        <v>109</v>
      </c>
      <c r="S5" s="16"/>
      <c r="T5" s="85" t="s">
        <v>90</v>
      </c>
      <c r="U5" s="85" t="s">
        <v>114</v>
      </c>
    </row>
    <row r="6" spans="1:21" s="18" customFormat="1" x14ac:dyDescent="0.45">
      <c r="B6" s="15"/>
      <c r="C6" s="16"/>
      <c r="D6" s="15" t="s">
        <v>108</v>
      </c>
      <c r="E6" s="15">
        <v>20250728001</v>
      </c>
      <c r="F6" s="16"/>
      <c r="G6" s="72">
        <v>45866</v>
      </c>
      <c r="H6" s="72">
        <v>45900</v>
      </c>
      <c r="I6" s="26"/>
      <c r="J6" s="16" t="s">
        <v>106</v>
      </c>
      <c r="K6" s="16"/>
      <c r="L6" s="38">
        <v>26161000</v>
      </c>
      <c r="M6" s="38">
        <v>26161000</v>
      </c>
      <c r="N6" s="48">
        <v>0</v>
      </c>
      <c r="O6" s="37">
        <v>7848300</v>
      </c>
      <c r="P6" s="37">
        <v>7848300</v>
      </c>
      <c r="Q6" s="39">
        <f>O6-P6</f>
        <v>0</v>
      </c>
      <c r="R6" s="16" t="s">
        <v>110</v>
      </c>
      <c r="S6" s="16"/>
      <c r="T6" s="86" t="s">
        <v>115</v>
      </c>
    </row>
    <row r="7" spans="1:21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71836909</v>
      </c>
      <c r="M34" s="50">
        <f t="shared" si="0"/>
        <v>71836909</v>
      </c>
      <c r="N34" s="50">
        <f t="shared" si="0"/>
        <v>0</v>
      </c>
      <c r="O34" s="38">
        <f t="shared" si="0"/>
        <v>53524209</v>
      </c>
      <c r="P34" s="38">
        <f t="shared" si="0"/>
        <v>53524209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75</v>
      </c>
      <c r="D4" s="15" t="s">
        <v>95</v>
      </c>
      <c r="E4" s="16" t="s">
        <v>119</v>
      </c>
      <c r="F4" s="16"/>
      <c r="G4" s="72">
        <v>45925</v>
      </c>
      <c r="H4" s="72">
        <v>46053</v>
      </c>
      <c r="I4" s="26"/>
      <c r="J4" s="26" t="s">
        <v>120</v>
      </c>
      <c r="K4" s="16"/>
      <c r="L4" s="38">
        <v>30791000</v>
      </c>
      <c r="M4" s="38">
        <v>30791000</v>
      </c>
      <c r="N4" s="48">
        <f>L4-M4</f>
        <v>0</v>
      </c>
      <c r="O4" s="37">
        <v>6158200</v>
      </c>
      <c r="P4" s="37">
        <v>6158200</v>
      </c>
      <c r="Q4" s="39">
        <f>O4-P4</f>
        <v>0</v>
      </c>
      <c r="R4" s="88" t="s">
        <v>123</v>
      </c>
      <c r="S4" s="88" t="s">
        <v>121</v>
      </c>
    </row>
    <row r="5" spans="1:19" s="18" customFormat="1" x14ac:dyDescent="0.45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30791000</v>
      </c>
      <c r="M34" s="50">
        <f t="shared" si="0"/>
        <v>30791000</v>
      </c>
      <c r="N34" s="50">
        <f t="shared" si="0"/>
        <v>0</v>
      </c>
      <c r="O34" s="38">
        <f t="shared" si="0"/>
        <v>6158200</v>
      </c>
      <c r="P34" s="38">
        <f t="shared" si="0"/>
        <v>6158200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 x14ac:dyDescent="0.45">
      <c r="A5" s="1"/>
      <c r="B5" s="15">
        <v>2</v>
      </c>
      <c r="C5" s="16" t="s">
        <v>79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 x14ac:dyDescent="0.45">
      <c r="A6" s="1"/>
      <c r="B6" s="15">
        <v>3</v>
      </c>
      <c r="C6" s="16" t="s">
        <v>65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 x14ac:dyDescent="0.45">
      <c r="B7" s="15">
        <v>4</v>
      </c>
      <c r="C7" s="16" t="s">
        <v>66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 x14ac:dyDescent="0.45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 x14ac:dyDescent="0.45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 x14ac:dyDescent="0.45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홍성준/SW교육원</cp:lastModifiedBy>
  <dcterms:created xsi:type="dcterms:W3CDTF">2010-03-24T06:08:57Z</dcterms:created>
  <dcterms:modified xsi:type="dcterms:W3CDTF">2025-10-28T02:01:57Z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
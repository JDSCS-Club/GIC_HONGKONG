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2_수금현황\2025년\"/>
    </mc:Choice>
  </mc:AlternateContent>
  <xr:revisionPtr revIDLastSave="0" documentId="13_ncr:1_{F0023C19-0E51-4711-9534-25A534276A8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Q34" i="33"/>
  <c r="J7" i="4" s="1"/>
  <c r="N4" i="33"/>
  <c r="N34" i="33" s="1"/>
  <c r="G7" i="4" s="1"/>
  <c r="N4" i="32"/>
  <c r="N34" i="32" s="1"/>
  <c r="G5" i="4" s="1"/>
  <c r="N4" i="24"/>
  <c r="N4" i="25"/>
  <c r="P34" i="32"/>
  <c r="M34" i="32"/>
  <c r="F5" i="4" s="1"/>
  <c r="I5" i="4" s="1"/>
  <c r="L34" i="32"/>
  <c r="E5" i="4" s="1"/>
  <c r="L34" i="5" l="1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<sst xmlns="http://schemas.openxmlformats.org/spreadsheetml/2006/main" count="252" uniqueCount="106">
  <si>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</si>
  <si>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</si>
  <si>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</si>
  <si>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</si>
  <si>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</si>
  <si>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</si>
  <si>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</si>
  <si>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</si>
  <si>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</si>
  <si>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</si>
  <si>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</si>
  <si>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</si>
  <si>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</si>
  <si>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</si>
  <si>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</si>
  <si>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</si>
  <si>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</si>
  <si>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</si>
  <si>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</si>
  <si>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</si>
  <si>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</si>
  <si>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</si>
  <si>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</si>
  <si>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</si>
  <si>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</si>
  <si>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</si>
  <si>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</si>
  <si>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</si>
  <si>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</si>
  <si>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</si>
  <si>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</si>
  <si>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</si>
  <si>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</si>
  <si>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</si>
  <si>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</si>
  <si>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</si>
  <si>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</si>
  <si>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</si>
  <si>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</si>
  <si>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</si>
  <si>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</si>
  <si>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</si>
  <si>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</si>
  <si>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</si>
  <si>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</si>
  <si>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</si>
  <si>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</si>
  <si>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</si>
  <si>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</si>
  <si>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</si>
  <si>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</si>
  <si>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</si>
  <si>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</si>
  <si>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</si>
  <si>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</si>
  <si>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</si>
  <si>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</si>
  <si>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</si>
  <si>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</si>
  <si>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</si>
  <si>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</si>
  <si>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</si>
  <si>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</si>
  <si>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</si>
  <si>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</si>
  <si>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</si>
  <si>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</si>
  <si>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</si>
  <si>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</si>
  <si>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</si>
  <si>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</si>
  <si>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</si>
  <si>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</si>
  <si>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</si>
  <si>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</si>
  <si>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</si>
  <si>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250108 KRW 4,813,677 전자세금계산서 발행
MOP 1EA, MSR 1EA, CTM 1EA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</si>
  <si>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</si>
  <si>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</si>
  <si>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</si>
  <si>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</si>
  <si>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</si>
  <si>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</si>
  <si>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</si>
  <si>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</si>
  <si>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</si>
  <si>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</si>
  <si>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</si>
  <si>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</si>
  <si>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</si>
  <si>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</si>
  <si>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</si>
  <si>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</si>
  <si>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</si>
  <si>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</si>
  <si>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250324 전자세금계산서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</si>
  <si>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</si>
  <si>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</si>
  <si>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US$ 6875.00 / 4월 15일 이내 입금 예정</t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</si>
  <si>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</si>
  <si>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</si>
  <si>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</si>
  <si>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</si>
  <si>
    <t>2025년 잔금</t>
    <phoneticPr fontId="1" type="noConversion"/>
  </si>
  <si>
    <t>250415 US$ 6875.00 입금 완료</t>
    <phoneticPr fontId="1" type="noConversion"/>
  </si>
  <si>
    <t>철기연 시험 통과 필증 발급 확인 즉시 \81,000,000 청구 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</si>
</sst>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3" borderId="0" xfId="0" applyFont="1" applyFill="1">
      <alignment vertical="center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>
      <selection activeCell="M1" sqref="M1"/>
    </sheetView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7" t="s">
        <v>15</v>
      </c>
      <c r="D2" s="88"/>
      <c r="E2" s="54" t="s">
        <v>6</v>
      </c>
      <c r="F2" s="54" t="s">
        <v>9</v>
      </c>
      <c r="G2" s="54" t="s">
        <v>74</v>
      </c>
      <c r="H2" s="57" t="s">
        <v>59</v>
      </c>
      <c r="I2" s="57" t="s">
        <v>103</v>
      </c>
      <c r="J2" s="57" t="s">
        <v>63</v>
      </c>
      <c r="K2" s="58" t="s">
        <v>2</v>
      </c>
    </row>
    <row r="3" spans="2:11">
      <c r="B3" s="2">
        <v>1</v>
      </c>
      <c r="C3" s="91" t="s">
        <v>14</v>
      </c>
      <c r="D3" s="88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49247277</v>
      </c>
      <c r="I3" s="61">
        <f>F3-H3</f>
        <v>345988398.69999993</v>
      </c>
      <c r="J3" s="55">
        <f>'1.지아이씨'!Q34</f>
        <v>0</v>
      </c>
      <c r="K3" s="72"/>
    </row>
    <row r="4" spans="2:11">
      <c r="B4" s="2">
        <v>2</v>
      </c>
      <c r="C4" s="91" t="s">
        <v>80</v>
      </c>
      <c r="D4" s="88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2" t="s">
        <v>93</v>
      </c>
    </row>
    <row r="5" spans="2:11">
      <c r="B5" s="2">
        <v>3</v>
      </c>
      <c r="C5" s="91" t="s">
        <v>68</v>
      </c>
      <c r="D5" s="88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v>9900000</v>
      </c>
      <c r="I5" s="61">
        <f t="shared" si="0"/>
        <v>9983340</v>
      </c>
      <c r="J5" s="69">
        <f>'3.현대로템'!Q34</f>
        <v>0</v>
      </c>
      <c r="K5" s="72" t="s">
        <v>104</v>
      </c>
    </row>
    <row r="6" spans="2:11">
      <c r="B6" s="2">
        <v>4</v>
      </c>
      <c r="C6" s="91" t="s">
        <v>18</v>
      </c>
      <c r="D6" s="88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2" t="s">
        <v>105</v>
      </c>
    </row>
    <row r="7" spans="2:11">
      <c r="B7" s="2">
        <v>5</v>
      </c>
      <c r="C7" s="91" t="s">
        <v>73</v>
      </c>
      <c r="D7" s="88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1" t="s">
        <v>79</v>
      </c>
      <c r="D8" s="88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2" t="s">
        <v>85</v>
      </c>
      <c r="C9" s="89" t="s">
        <v>92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2" t="s">
        <v>86</v>
      </c>
      <c r="C10" s="90"/>
      <c r="D10" s="5" t="s">
        <v>83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2" t="s">
        <v>87</v>
      </c>
      <c r="C11" s="90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2" t="s">
        <v>88</v>
      </c>
      <c r="C12" s="90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2" t="s">
        <v>89</v>
      </c>
      <c r="C13" s="90"/>
      <c r="D13" s="85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2" t="s">
        <v>90</v>
      </c>
      <c r="C14" s="90"/>
      <c r="D14" s="85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2" t="s">
        <v>91</v>
      </c>
      <c r="C15" s="90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3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3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3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3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3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4"/>
      <c r="E21" s="62">
        <f t="shared" ref="E21:J21" si="2">SUM(E3:E20)</f>
        <v>703319015.69999993</v>
      </c>
      <c r="F21" s="62">
        <f t="shared" si="2"/>
        <v>703319015.69999993</v>
      </c>
      <c r="G21" s="60">
        <f t="shared" si="2"/>
        <v>0</v>
      </c>
      <c r="H21" s="64">
        <f t="shared" si="2"/>
        <v>101147277</v>
      </c>
      <c r="I21" s="62">
        <f t="shared" si="2"/>
        <v>602171738.69999993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4.25" bestFit="1" customWidth="1"/>
    <col min="21" max="21" width="45.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0">
      <c r="T1" s="41"/>
    </row>
    <row r="2" spans="2:20">
      <c r="B2" s="6"/>
      <c r="D2" s="6"/>
    </row>
    <row r="3" spans="2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0" s="18" customFormat="1" ht="66">
      <c r="B4" s="15">
        <v>1</v>
      </c>
      <c r="C4" s="16" t="s">
        <v>14</v>
      </c>
      <c r="D4" s="15" t="s">
        <v>99</v>
      </c>
      <c r="E4" s="16" t="s">
        <v>16</v>
      </c>
      <c r="F4" s="16"/>
      <c r="G4" s="73">
        <v>45436</v>
      </c>
      <c r="H4" s="73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v>4813677</v>
      </c>
      <c r="P4" s="37">
        <v>4813677</v>
      </c>
      <c r="Q4" s="39">
        <f>O4-P4</f>
        <v>0</v>
      </c>
      <c r="R4" s="31" t="s">
        <v>72</v>
      </c>
      <c r="S4" s="71" t="s">
        <v>65</v>
      </c>
      <c r="T4" s="70" t="s">
        <v>76</v>
      </c>
    </row>
    <row r="5" spans="2:20" s="18" customFormat="1" ht="33">
      <c r="B5" s="15">
        <v>2</v>
      </c>
      <c r="C5" s="16" t="s">
        <v>14</v>
      </c>
      <c r="D5" s="15" t="s">
        <v>99</v>
      </c>
      <c r="E5" s="16" t="s">
        <v>23</v>
      </c>
      <c r="F5" s="16"/>
      <c r="G5" s="73">
        <v>45548</v>
      </c>
      <c r="H5" s="73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0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0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0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0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0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0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0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0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0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0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0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99</v>
      </c>
      <c r="E17" s="16" t="s">
        <v>24</v>
      </c>
      <c r="F17" s="16"/>
      <c r="G17" s="73">
        <v>45558</v>
      </c>
      <c r="H17" s="73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6" t="s">
        <v>94</v>
      </c>
      <c r="U17" s="86" t="s">
        <v>95</v>
      </c>
    </row>
    <row r="18" spans="2:25" s="18" customFormat="1">
      <c r="B18" s="15"/>
      <c r="C18" s="16"/>
      <c r="D18" s="15"/>
      <c r="E18" s="16"/>
      <c r="F18" s="16"/>
      <c r="G18" s="15"/>
      <c r="H18" s="73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3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49247277</v>
      </c>
      <c r="P34" s="38">
        <f t="shared" si="2"/>
        <v>49247277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80</v>
      </c>
      <c r="D4" s="15" t="s">
        <v>13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6">
        <v>1</v>
      </c>
      <c r="C5" s="30" t="s">
        <v>77</v>
      </c>
      <c r="D5" s="76" t="s">
        <v>13</v>
      </c>
      <c r="E5" s="30"/>
      <c r="F5" s="30"/>
      <c r="G5" s="77">
        <v>45664</v>
      </c>
      <c r="H5" s="77">
        <v>45664</v>
      </c>
      <c r="I5" s="78"/>
      <c r="J5" s="78" t="s">
        <v>78</v>
      </c>
      <c r="K5" s="30">
        <v>2</v>
      </c>
      <c r="L5" s="79">
        <v>1200000</v>
      </c>
      <c r="M5" s="79">
        <v>1200000</v>
      </c>
      <c r="N5" s="79">
        <f>L5-M5</f>
        <v>0</v>
      </c>
      <c r="O5" s="80">
        <v>1200000</v>
      </c>
      <c r="P5" s="80">
        <v>0</v>
      </c>
      <c r="Q5" s="79">
        <f>O5-P5</f>
        <v>1200000</v>
      </c>
      <c r="R5" s="72" t="s">
        <v>84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99</v>
      </c>
      <c r="E4" s="16" t="s">
        <v>81</v>
      </c>
      <c r="F4" s="16"/>
      <c r="G4" s="73">
        <v>45714</v>
      </c>
      <c r="H4" s="81">
        <v>45741</v>
      </c>
      <c r="I4" s="26"/>
      <c r="J4" s="26" t="s">
        <v>82</v>
      </c>
      <c r="K4" s="16"/>
      <c r="L4" s="38">
        <v>9983340</v>
      </c>
      <c r="M4" s="38">
        <v>9983340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75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99</v>
      </c>
      <c r="E5" s="16" t="s">
        <v>96</v>
      </c>
      <c r="F5" s="16"/>
      <c r="G5" s="73">
        <v>45742</v>
      </c>
      <c r="H5" s="81"/>
      <c r="I5" s="26"/>
      <c r="J5" s="16" t="s">
        <v>97</v>
      </c>
      <c r="K5" s="16"/>
      <c r="L5" s="38">
        <v>9900000</v>
      </c>
      <c r="M5" s="38">
        <v>9900000</v>
      </c>
      <c r="N5" s="48">
        <f>L5-M5</f>
        <v>0</v>
      </c>
      <c r="O5" s="37">
        <v>0</v>
      </c>
      <c r="P5" s="37">
        <v>0</v>
      </c>
      <c r="Q5" s="39">
        <f>O5-P5</f>
        <v>0</v>
      </c>
      <c r="R5" s="75" t="s">
        <v>98</v>
      </c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3">
        <v>45454</v>
      </c>
      <c r="H4" s="73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101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3">
        <v>45533</v>
      </c>
      <c r="H5" s="73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100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73</v>
      </c>
      <c r="D4" s="15" t="s">
        <v>102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79</v>
      </c>
      <c r="D4" s="15" t="s">
        <v>102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75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4"/>
      <c r="H4" s="74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83</v>
      </c>
      <c r="D5" s="15" t="s">
        <v>13</v>
      </c>
      <c r="E5" s="16"/>
      <c r="F5" s="16"/>
      <c r="G5" s="74"/>
      <c r="H5" s="74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4"/>
      <c r="H6" s="74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4"/>
      <c r="H7" s="74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4"/>
      <c r="H8" s="74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4"/>
      <c r="H9" s="74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4"/>
      <c r="H10" s="74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Sungjoon Hong</cp:lastModifiedBy>
  <dcterms:created xsi:type="dcterms:W3CDTF">2010-03-24T06:08:57Z</dcterms:created>
  <dcterms:modified xsi:type="dcterms:W3CDTF">2025-04-17T01:42:28Z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
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수금현황\2025년\"/>
    </mc:Choice>
  </mc:AlternateContent>
  <xr:revisionPtr revIDLastSave="0" documentId="13_ncr:1_{D60F0F4F-D105-4D7D-892D-C49648350F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동화에프에이" sheetId="36" r:id="rId8"/>
    <sheet name="8.기타" sheetId="2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4" l="1"/>
  <c r="I9" i="4"/>
  <c r="H9" i="4"/>
  <c r="G9" i="4"/>
  <c r="F9" i="4"/>
  <c r="E9" i="4"/>
  <c r="Q34" i="36"/>
  <c r="P34" i="36"/>
  <c r="O34" i="36"/>
  <c r="M34" i="36"/>
  <c r="L34" i="36"/>
  <c r="Q4" i="36"/>
  <c r="N4" i="36"/>
  <c r="N34" i="36" s="1"/>
  <c r="Q6" i="32"/>
  <c r="N6" i="32"/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1" i="4"/>
  <c r="F11" i="4" s="1"/>
  <c r="E16" i="4"/>
  <c r="F16" i="4" s="1"/>
  <c r="E15" i="4"/>
  <c r="F15" i="4" s="1"/>
  <c r="E14" i="4"/>
  <c r="F14" i="4" s="1"/>
  <c r="E13" i="4"/>
  <c r="F13" i="4" s="1"/>
  <c r="E12" i="4"/>
  <c r="F12" i="4" s="1"/>
  <c r="E10" i="4"/>
  <c r="F10" i="4" s="1"/>
  <c r="H10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1" i="4" l="1"/>
  <c r="J11" i="4" s="1"/>
  <c r="H11" i="4"/>
  <c r="I11" i="4" s="1"/>
  <c r="H12" i="4"/>
  <c r="I12" i="4" s="1"/>
  <c r="G12" i="4"/>
  <c r="J12" i="4" s="1"/>
  <c r="G13" i="4"/>
  <c r="J13" i="4" s="1"/>
  <c r="H13" i="4"/>
  <c r="I13" i="4" s="1"/>
  <c r="H14" i="4"/>
  <c r="I14" i="4" s="1"/>
  <c r="G14" i="4"/>
  <c r="J14" i="4" s="1"/>
  <c r="G15" i="4"/>
  <c r="J15" i="4" s="1"/>
  <c r="H15" i="4"/>
  <c r="I15" i="4" s="1"/>
  <c r="H16" i="4"/>
  <c r="I16" i="4" s="1"/>
  <c r="G16" i="4"/>
  <c r="J16" i="4" s="1"/>
  <c r="G10" i="4"/>
  <c r="J10" i="4" s="1"/>
  <c r="I10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Q34" i="33" s="1"/>
  <c r="J7" i="4" s="1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I7" i="4" s="1"/>
  <c r="L34" i="33"/>
  <c r="E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L34" i="32"/>
  <c r="E5" i="4" s="1"/>
  <c r="I5" i="4" l="1"/>
  <c r="L34" i="5"/>
  <c r="P34" i="28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L34" i="25"/>
  <c r="E4" i="4" s="1"/>
  <c r="N34" i="24"/>
  <c r="M34" i="24"/>
  <c r="L34" i="24"/>
  <c r="P34" i="24"/>
  <c r="G3" i="4"/>
  <c r="F3" i="4"/>
  <c r="I4" i="4" l="1"/>
  <c r="F22" i="4"/>
  <c r="N34" i="28"/>
  <c r="G6" i="4" s="1"/>
  <c r="G22" i="4" s="1"/>
  <c r="Q34" i="24"/>
  <c r="Q34" i="5" l="1"/>
  <c r="J3" i="4" s="1"/>
  <c r="J22" i="4" s="1"/>
  <c r="H3" i="4"/>
  <c r="H22" i="4" l="1"/>
  <c r="I3" i="4"/>
  <c r="I22" i="4" s="1"/>
  <c r="E3" i="4"/>
  <c r="E22" i="4" s="1"/>
</calcChain>
</file>

<file path=xl/sharedStrings.xml><?xml version="1.0" encoding="utf-8"?>
<sst xmlns="http://schemas.openxmlformats.org/spreadsheetml/2006/main" count="283" uniqueCount="115">
  <si>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</si>
  <si>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</si>
  <si>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</si>
  <si>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</si>
  <si>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</si>
  <si>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</si>
  <si>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</si>
  <si>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</si>
  <si>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</si>
  <si>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</si>
  <si>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</si>
  <si>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</si>
  <si>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</si>
  <si>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</si>
  <si>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</si>
  <si>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</si>
  <si>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</si>
  <si>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</si>
  <si>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</si>
  <si>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</si>
  <si>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</si>
  <si>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</si>
  <si>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</si>
  <si>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</si>
  <si>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</si>
  <si>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</si>
  <si>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</si>
  <si>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</si>
  <si>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</si>
  <si>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</si>
  <si>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</si>
  <si>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</si>
  <si>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</si>
  <si>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</si>
  <si>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</si>
  <si>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</si>
  <si>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</si>
  <si>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</si>
  <si>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</si>
  <si>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</si>
  <si>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</si>
  <si>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</si>
  <si>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</si>
  <si>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</si>
  <si>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</si>
  <si>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</si>
  <si>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</si>
  <si>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</si>
  <si>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</si>
  <si>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</si>
  <si>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</si>
  <si>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</si>
  <si>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</si>
  <si>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</si>
  <si>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</si>
  <si>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</si>
  <si>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</si>
  <si>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</si>
  <si>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</si>
  <si>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</si>
  <si>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</si>
  <si>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</si>
  <si>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</si>
  <si>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</si>
  <si>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</si>
  <si>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</si>
  <si>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</si>
  <si>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</si>
  <si>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</si>
  <si>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</si>
  <si>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</si>
  <si>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</si>
  <si>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</si>
  <si>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</si>
  <si>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</si>
  <si>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</si>
  <si>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</si>
  <si>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</si>
  <si>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</si>
  <si>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</si>
  <si>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</si>
  <si>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</si>
  <si>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</si>
  <si>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</si>
  <si>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</si>
  <si>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</si>
  <si>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</si>
  <si>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</si>
  <si>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</si>
  <si>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</si>
  <si>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</si>
  <si>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</si>
  <si>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</si>
  <si>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</si>
  <si>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</si>
  <si>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</si>
  <si>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</si>
  <si>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4월 중순 철도연구원 레포트 승인 예상)
3. 초도 시운점검사 완료 시 30%
4. 양산편성 완료 시 10%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</si>
  <si>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</si>
  <si>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</si>
  <si>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</si>
  <si>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</si>
  <si>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</si>
  <si>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</si>
  <si>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</si>
  <si>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7월말 대금 청구 예정</t>
    <phoneticPr fontId="1" type="noConversion"/>
  </si>
  <si>
    <t>7호선 3차분 PIS-CSC 장치 보수품</t>
  </si>
  <si>
    <t>e-mail</t>
    <phoneticPr fontId="1" type="noConversion"/>
  </si>
  <si>
    <t>대한민국</t>
    <phoneticPr fontId="1" type="noConversion"/>
  </si>
  <si>
    <t>9호선열차번호표시기SW업데이트</t>
    <phoneticPr fontId="1" type="noConversion"/>
  </si>
  <si>
    <t>250702 e-mail로 PO 대체 /
업무 종료(8월 중 예상) 후 세금계산서 발행</t>
    <phoneticPr fontId="1" type="noConversion"/>
  </si>
  <si>
    <t>250702 e-mail로 PO 대체 /
7월 말 세금계산서 발행</t>
    <phoneticPr fontId="1" type="noConversion"/>
  </si>
  <si>
    <t>[9호선열차번호표시기] 업무 종료(8월 중 예상) 후 대금 청구 예정</t>
    <phoneticPr fontId="1" type="noConversion"/>
  </si>
  <si>
    <t>철기연 추가시험 후 \81,000,000 청구 예정 (7월 말)</t>
    <phoneticPr fontId="1" type="noConversion"/>
  </si>
  <si>
    <t>동화에프에이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</si>
</sst>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EE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zoomScaleNormal="100" workbookViewId="0"/>
  </sheetViews>
  <sheetFormatPr defaultRowHeight="16.5"/>
  <cols>
    <col min="1" max="1" width="4" customWidth="1"/>
    <col min="2" max="2" width="5.25" style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4</v>
      </c>
      <c r="C2" s="88" t="s">
        <v>15</v>
      </c>
      <c r="D2" s="89"/>
      <c r="E2" s="54" t="s">
        <v>6</v>
      </c>
      <c r="F2" s="54" t="s">
        <v>9</v>
      </c>
      <c r="G2" s="54" t="s">
        <v>73</v>
      </c>
      <c r="H2" s="57" t="s">
        <v>59</v>
      </c>
      <c r="I2" s="57" t="s">
        <v>99</v>
      </c>
      <c r="J2" s="57" t="s">
        <v>63</v>
      </c>
      <c r="K2" s="58" t="s">
        <v>2</v>
      </c>
    </row>
    <row r="3" spans="2:11">
      <c r="B3" s="2">
        <v>1</v>
      </c>
      <c r="C3" s="92" t="s">
        <v>14</v>
      </c>
      <c r="D3" s="89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154460502</v>
      </c>
      <c r="I3" s="61">
        <f>F3-H3</f>
        <v>240775173.69999993</v>
      </c>
      <c r="J3" s="55">
        <f>'1.지아이씨'!Q34</f>
        <v>0</v>
      </c>
      <c r="K3" s="71"/>
    </row>
    <row r="4" spans="2:11">
      <c r="B4" s="2">
        <v>2</v>
      </c>
      <c r="C4" s="92" t="s">
        <v>78</v>
      </c>
      <c r="D4" s="89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1" si="0">F4-H4</f>
        <v>1200000</v>
      </c>
      <c r="J4" s="55">
        <f>'2.서울교통공사'!Q34</f>
        <v>1200000</v>
      </c>
      <c r="K4" s="71" t="s">
        <v>91</v>
      </c>
    </row>
    <row r="5" spans="2:11">
      <c r="B5" s="2">
        <v>3</v>
      </c>
      <c r="C5" s="92" t="s">
        <v>68</v>
      </c>
      <c r="D5" s="89"/>
      <c r="E5" s="61">
        <f>'3.현대로템'!L34</f>
        <v>28567790</v>
      </c>
      <c r="F5" s="61">
        <f>'3.현대로템'!M34</f>
        <v>28567790</v>
      </c>
      <c r="G5" s="59">
        <f>'3.현대로템'!N34</f>
        <v>0</v>
      </c>
      <c r="H5" s="61">
        <f>'3.현대로템'!P34</f>
        <v>19883340</v>
      </c>
      <c r="I5" s="61">
        <f t="shared" si="0"/>
        <v>8684450</v>
      </c>
      <c r="J5" s="69">
        <f>'3.현대로템'!Q34</f>
        <v>0</v>
      </c>
      <c r="K5" s="71" t="s">
        <v>112</v>
      </c>
    </row>
    <row r="6" spans="2:11">
      <c r="B6" s="2">
        <v>4</v>
      </c>
      <c r="C6" s="92" t="s">
        <v>18</v>
      </c>
      <c r="D6" s="89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1" t="s">
        <v>113</v>
      </c>
    </row>
    <row r="7" spans="2:11">
      <c r="B7" s="2">
        <v>5</v>
      </c>
      <c r="C7" s="92" t="s">
        <v>72</v>
      </c>
      <c r="D7" s="89"/>
      <c r="E7" s="61">
        <f>'5.인터모빌리티'!L34</f>
        <v>36585000</v>
      </c>
      <c r="F7" s="61">
        <f>'5.인터모빌리티'!M34</f>
        <v>36585000</v>
      </c>
      <c r="G7" s="59">
        <f>'5.인터모빌리티'!N34</f>
        <v>0</v>
      </c>
      <c r="H7" s="63">
        <f>'5.인터모빌리티'!P34</f>
        <v>0</v>
      </c>
      <c r="I7" s="61">
        <f t="shared" si="0"/>
        <v>36585000</v>
      </c>
      <c r="J7" s="42">
        <f>'5.인터모빌리티'!Q34</f>
        <v>0</v>
      </c>
      <c r="K7" s="71" t="s">
        <v>105</v>
      </c>
    </row>
    <row r="8" spans="2:11">
      <c r="B8" s="2">
        <v>6</v>
      </c>
      <c r="C8" s="92" t="s">
        <v>77</v>
      </c>
      <c r="D8" s="89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2">
        <v>7</v>
      </c>
      <c r="C9" s="92" t="s">
        <v>114</v>
      </c>
      <c r="D9" s="89"/>
      <c r="E9" s="61">
        <f>'7.동화에프에이'!L34</f>
        <v>0</v>
      </c>
      <c r="F9" s="61">
        <f>'7.동화에프에이'!M34</f>
        <v>0</v>
      </c>
      <c r="G9" s="59">
        <f>'7.동화에프에이'!N34</f>
        <v>0</v>
      </c>
      <c r="H9" s="61">
        <f>'7.동화에프에이'!P34</f>
        <v>0</v>
      </c>
      <c r="I9" s="61">
        <f t="shared" si="0"/>
        <v>0</v>
      </c>
      <c r="J9" s="42">
        <f>'7.동화에프에이'!Q34</f>
        <v>0</v>
      </c>
      <c r="K9" s="30"/>
    </row>
    <row r="10" spans="2:11">
      <c r="B10" s="81" t="s">
        <v>83</v>
      </c>
      <c r="C10" s="90" t="s">
        <v>90</v>
      </c>
      <c r="D10" s="5" t="s">
        <v>39</v>
      </c>
      <c r="E10" s="61">
        <f>SUMIF('8.기타'!$C$4:$C$33, Total!D10, '8.기타'!$L$3:$L$32)</f>
        <v>0</v>
      </c>
      <c r="F10" s="61">
        <f>SUMIF('8.기타'!$C$4:$C$33, Total!E10, '8.기타'!$M$3:$M$32)</f>
        <v>0</v>
      </c>
      <c r="G10" s="59">
        <f>SUMIF('8.기타'!$C$4:$C$33, Total!F10, '8.기타'!$N$3:$N$32)</f>
        <v>0</v>
      </c>
      <c r="H10" s="61">
        <f>SUMIF('8.기타'!$C$4:$C$33, Total!F10, '8.기타'!$P$3:$P$32)</f>
        <v>0</v>
      </c>
      <c r="I10" s="61">
        <f t="shared" si="0"/>
        <v>0</v>
      </c>
      <c r="J10" s="42">
        <f>SUMIF('8.기타'!$C$4:$C$33, Total!G10, '8.기타'!$Q$3:$Q$32)</f>
        <v>0</v>
      </c>
      <c r="K10" s="14"/>
    </row>
    <row r="11" spans="2:11">
      <c r="B11" s="81" t="s">
        <v>84</v>
      </c>
      <c r="C11" s="91"/>
      <c r="D11" s="5" t="s">
        <v>81</v>
      </c>
      <c r="E11" s="61">
        <f>SUMIF('8.기타'!$C$4:$C$33, Total!D11, '8.기타'!$L$3:$L$32)</f>
        <v>0</v>
      </c>
      <c r="F11" s="61">
        <f>SUMIF('8.기타'!$C$4:$C$33, Total!E11, '8.기타'!$M$3:$M$32)</f>
        <v>0</v>
      </c>
      <c r="G11" s="59">
        <f>SUMIF('8.기타'!$C$4:$C$33, Total!F11, '8.기타'!$N$3:$N$32)</f>
        <v>0</v>
      </c>
      <c r="H11" s="61">
        <f>SUMIF('8.기타'!$C$4:$C$33, Total!F11, '8.기타'!$P$3:$P$32)</f>
        <v>0</v>
      </c>
      <c r="I11" s="61">
        <f t="shared" si="0"/>
        <v>0</v>
      </c>
      <c r="J11" s="42">
        <f>SUMIF('8.기타'!$C$4:$C$33, Total!G11, '8.기타'!$Q$3:$Q$32)</f>
        <v>0</v>
      </c>
      <c r="K11" s="30"/>
    </row>
    <row r="12" spans="2:11">
      <c r="B12" s="81" t="s">
        <v>85</v>
      </c>
      <c r="C12" s="91"/>
      <c r="D12" s="5" t="s">
        <v>17</v>
      </c>
      <c r="E12" s="61">
        <f>SUMIF('8.기타'!$C$4:$C$33, Total!D12, '8.기타'!$L$3:$L$32)</f>
        <v>0</v>
      </c>
      <c r="F12" s="61">
        <f>SUMIF('8.기타'!$C$4:$C$33, Total!E12, '8.기타'!$M$3:$M$32)</f>
        <v>0</v>
      </c>
      <c r="G12" s="59">
        <f>SUMIF('8.기타'!$C$4:$C$33, Total!F12, '8.기타'!$N$3:$N$32)</f>
        <v>0</v>
      </c>
      <c r="H12" s="61">
        <f>SUMIF('8.기타'!$C$4:$C$33, Total!F12, '8.기타'!$P$3:$P$32)</f>
        <v>0</v>
      </c>
      <c r="I12" s="61">
        <f t="shared" ref="I12:I16" si="1">F12-H12</f>
        <v>0</v>
      </c>
      <c r="J12" s="42">
        <f>SUMIF('8.기타'!$C$4:$C$33, Total!G12, '8.기타'!$Q$3:$Q$32)</f>
        <v>0</v>
      </c>
      <c r="K12" s="14"/>
    </row>
    <row r="13" spans="2:11">
      <c r="B13" s="81" t="s">
        <v>86</v>
      </c>
      <c r="C13" s="91"/>
      <c r="D13" s="5" t="s">
        <v>40</v>
      </c>
      <c r="E13" s="61">
        <f>SUMIF('8.기타'!$C$4:$C$33, Total!D13, '8.기타'!$L$3:$L$32)</f>
        <v>0</v>
      </c>
      <c r="F13" s="61">
        <f>SUMIF('8.기타'!$C$4:$C$33, Total!E13, '8.기타'!$M$3:$M$32)</f>
        <v>0</v>
      </c>
      <c r="G13" s="59">
        <f>SUMIF('8.기타'!$C$4:$C$33, Total!F13, '8.기타'!$N$3:$N$32)</f>
        <v>0</v>
      </c>
      <c r="H13" s="61">
        <f>SUMIF('8.기타'!$C$4:$C$33, Total!F13, '8.기타'!$P$3:$P$32)</f>
        <v>0</v>
      </c>
      <c r="I13" s="61">
        <f t="shared" si="1"/>
        <v>0</v>
      </c>
      <c r="J13" s="42">
        <f>SUMIF('8.기타'!$C$4:$C$33, Total!G13, '8.기타'!$Q$3:$Q$32)</f>
        <v>0</v>
      </c>
      <c r="K13" s="65"/>
    </row>
    <row r="14" spans="2:11" s="13" customFormat="1">
      <c r="B14" s="81" t="s">
        <v>87</v>
      </c>
      <c r="C14" s="91"/>
      <c r="D14" s="84" t="s">
        <v>19</v>
      </c>
      <c r="E14" s="61">
        <f>SUMIF('8.기타'!$C$4:$C$33, Total!D14, '8.기타'!$L$3:$L$32)</f>
        <v>0</v>
      </c>
      <c r="F14" s="61">
        <f>SUMIF('8.기타'!$C$4:$C$33, Total!E14, '8.기타'!$M$3:$M$32)</f>
        <v>0</v>
      </c>
      <c r="G14" s="59">
        <f>SUMIF('8.기타'!$C$4:$C$33, Total!F14, '8.기타'!$N$3:$N$32)</f>
        <v>0</v>
      </c>
      <c r="H14" s="61">
        <f>SUMIF('8.기타'!$C$4:$C$33, Total!F14, '8.기타'!$P$3:$P$32)</f>
        <v>0</v>
      </c>
      <c r="I14" s="61">
        <f t="shared" si="1"/>
        <v>0</v>
      </c>
      <c r="J14" s="42">
        <f>SUMIF('8.기타'!$C$4:$C$33, Total!G14, '8.기타'!$Q$3:$Q$32)</f>
        <v>0</v>
      </c>
      <c r="K14" s="14"/>
    </row>
    <row r="15" spans="2:11" s="13" customFormat="1">
      <c r="B15" s="81" t="s">
        <v>88</v>
      </c>
      <c r="C15" s="91"/>
      <c r="D15" s="84" t="s">
        <v>41</v>
      </c>
      <c r="E15" s="61">
        <f>SUMIF('8.기타'!$C$4:$C$33, Total!D15, '8.기타'!$L$3:$L$32)</f>
        <v>0</v>
      </c>
      <c r="F15" s="61">
        <f>SUMIF('8.기타'!$C$4:$C$33, Total!E15, '8.기타'!$M$3:$M$32)</f>
        <v>0</v>
      </c>
      <c r="G15" s="59">
        <f>SUMIF('8.기타'!$C$4:$C$33, Total!F15, '8.기타'!$N$3:$N$32)</f>
        <v>0</v>
      </c>
      <c r="H15" s="61">
        <f>SUMIF('8.기타'!$C$4:$C$33, Total!F15, '8.기타'!$P$3:$P$32)</f>
        <v>0</v>
      </c>
      <c r="I15" s="61">
        <f t="shared" si="1"/>
        <v>0</v>
      </c>
      <c r="J15" s="42">
        <f>SUMIF('8.기타'!$C$4:$C$33, Total!G15, '8.기타'!$Q$3:$Q$32)</f>
        <v>0</v>
      </c>
      <c r="K15" s="14"/>
    </row>
    <row r="16" spans="2:11">
      <c r="B16" s="81" t="s">
        <v>89</v>
      </c>
      <c r="C16" s="91"/>
      <c r="D16" s="5" t="s">
        <v>42</v>
      </c>
      <c r="E16" s="61">
        <f>SUMIF('8.기타'!$C$4:$C$33, Total!D16, '8.기타'!$L$3:$L$32)</f>
        <v>0</v>
      </c>
      <c r="F16" s="61">
        <f>SUMIF('8.기타'!$C$4:$C$33, Total!E16, '8.기타'!$M$3:$M$32)</f>
        <v>0</v>
      </c>
      <c r="G16" s="59">
        <f>SUMIF('8.기타'!$C$4:$C$33, Total!F16, '8.기타'!$N$3:$N$32)</f>
        <v>0</v>
      </c>
      <c r="H16" s="61">
        <f>SUMIF('8.기타'!$C$4:$C$33, Total!F16, '8.기타'!$P$3:$P$32)</f>
        <v>0</v>
      </c>
      <c r="I16" s="61">
        <f t="shared" si="1"/>
        <v>0</v>
      </c>
      <c r="J16" s="42">
        <f>SUMIF('8.기타'!$C$4:$C$33, Total!G16, '8.기타'!$Q$3:$Q$32)</f>
        <v>0</v>
      </c>
      <c r="K16" s="14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30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>
      <c r="B21" s="2"/>
      <c r="C21" s="21"/>
      <c r="D21" s="82"/>
      <c r="E21" s="61"/>
      <c r="F21" s="61"/>
      <c r="G21" s="59"/>
      <c r="H21" s="63"/>
      <c r="I21" s="63"/>
      <c r="J21" s="42"/>
      <c r="K21" s="14"/>
    </row>
    <row r="22" spans="2:11" s="12" customFormat="1">
      <c r="B22" s="11"/>
      <c r="C22" s="22" t="s">
        <v>8</v>
      </c>
      <c r="D22" s="83"/>
      <c r="E22" s="62">
        <f t="shared" ref="E22:J22" si="2">SUM(E3:E21)</f>
        <v>748588465.69999993</v>
      </c>
      <c r="F22" s="62">
        <f t="shared" si="2"/>
        <v>748588465.69999993</v>
      </c>
      <c r="G22" s="60">
        <f t="shared" si="2"/>
        <v>0</v>
      </c>
      <c r="H22" s="64">
        <f t="shared" si="2"/>
        <v>216343842</v>
      </c>
      <c r="I22" s="62">
        <f t="shared" si="2"/>
        <v>532244623.69999993</v>
      </c>
      <c r="J22" s="68">
        <f t="shared" si="2"/>
        <v>1200000</v>
      </c>
      <c r="K22" s="14"/>
    </row>
    <row r="23" spans="2:11" s="12" customFormat="1">
      <c r="B23" s="28"/>
      <c r="C23" s="29"/>
      <c r="D23" s="29"/>
      <c r="E23" s="56"/>
      <c r="F23" s="56"/>
      <c r="G23" s="56"/>
      <c r="H23" s="43"/>
      <c r="I23" s="43"/>
      <c r="J23" s="43"/>
      <c r="K23" s="45"/>
    </row>
  </sheetData>
  <mergeCells count="9">
    <mergeCell ref="C2:D2"/>
    <mergeCell ref="C10:C16"/>
    <mergeCell ref="C3:D3"/>
    <mergeCell ref="C4:D4"/>
    <mergeCell ref="C5:D5"/>
    <mergeCell ref="C6:D6"/>
    <mergeCell ref="C7:D7"/>
    <mergeCell ref="C8:D8"/>
    <mergeCell ref="C9:D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1"/>
    </row>
    <row r="2" spans="2:21">
      <c r="B2" s="6"/>
      <c r="D2" s="6"/>
    </row>
    <row r="3" spans="2:21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2:21" s="18" customFormat="1" ht="66">
      <c r="B4" s="15">
        <v>1</v>
      </c>
      <c r="C4" s="16" t="s">
        <v>14</v>
      </c>
      <c r="D4" s="15" t="s">
        <v>95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104</v>
      </c>
      <c r="S4" s="70" t="s">
        <v>65</v>
      </c>
      <c r="T4" s="86" t="s">
        <v>103</v>
      </c>
      <c r="U4" s="86" t="s">
        <v>102</v>
      </c>
    </row>
    <row r="5" spans="2:21" s="18" customFormat="1" ht="33">
      <c r="B5" s="15">
        <v>2</v>
      </c>
      <c r="C5" s="16" t="s">
        <v>14</v>
      </c>
      <c r="D5" s="15" t="s">
        <v>95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71</v>
      </c>
      <c r="S5" s="30"/>
    </row>
    <row r="6" spans="2:21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57</v>
      </c>
      <c r="S6" s="30"/>
    </row>
    <row r="7" spans="2:21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1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1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1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1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1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1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1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1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1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95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92</v>
      </c>
      <c r="U17" s="85" t="s">
        <v>101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154460502</v>
      </c>
      <c r="P34" s="38">
        <f t="shared" si="2"/>
        <v>154460502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78</v>
      </c>
      <c r="D4" s="15" t="s">
        <v>13</v>
      </c>
      <c r="E4" s="16"/>
      <c r="F4" s="16"/>
      <c r="G4" s="73"/>
      <c r="H4" s="73"/>
      <c r="I4" s="26"/>
      <c r="J4" s="26" t="s">
        <v>106</v>
      </c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5">
        <v>1</v>
      </c>
      <c r="C5" s="30" t="s">
        <v>75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76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82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68</v>
      </c>
      <c r="D4" s="15" t="s">
        <v>95</v>
      </c>
      <c r="E4" s="16" t="s">
        <v>79</v>
      </c>
      <c r="F4" s="16"/>
      <c r="G4" s="72">
        <v>45714</v>
      </c>
      <c r="H4" s="80">
        <v>45741</v>
      </c>
      <c r="I4" s="26"/>
      <c r="J4" s="26" t="s">
        <v>80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</row>
    <row r="5" spans="1:19" s="18" customFormat="1" ht="33">
      <c r="A5" s="1"/>
      <c r="B5" s="15">
        <v>2</v>
      </c>
      <c r="C5" s="16" t="s">
        <v>68</v>
      </c>
      <c r="D5" s="15" t="s">
        <v>95</v>
      </c>
      <c r="E5" s="16" t="s">
        <v>93</v>
      </c>
      <c r="F5" s="16"/>
      <c r="G5" s="72">
        <v>45742</v>
      </c>
      <c r="H5" s="80"/>
      <c r="I5" s="26"/>
      <c r="J5" s="16" t="s">
        <v>94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100</v>
      </c>
      <c r="S5" s="16"/>
    </row>
    <row r="6" spans="1:19" s="18" customFormat="1" ht="33">
      <c r="B6" s="15">
        <v>3</v>
      </c>
      <c r="C6" s="16" t="s">
        <v>68</v>
      </c>
      <c r="D6" s="15" t="s">
        <v>108</v>
      </c>
      <c r="E6" s="87" t="s">
        <v>107</v>
      </c>
      <c r="F6" s="16"/>
      <c r="G6" s="72">
        <v>45840</v>
      </c>
      <c r="H6" s="26"/>
      <c r="I6" s="26"/>
      <c r="J6" s="16" t="s">
        <v>109</v>
      </c>
      <c r="K6" s="16"/>
      <c r="L6" s="38">
        <v>8684450</v>
      </c>
      <c r="M6" s="38">
        <v>8684450</v>
      </c>
      <c r="N6" s="48">
        <f>L6-M6</f>
        <v>0</v>
      </c>
      <c r="O6" s="37">
        <v>0</v>
      </c>
      <c r="P6" s="37">
        <v>0</v>
      </c>
      <c r="Q6" s="39">
        <f>O6-P6</f>
        <v>0</v>
      </c>
      <c r="R6" s="30" t="s">
        <v>110</v>
      </c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28567790</v>
      </c>
      <c r="M34" s="50">
        <f t="shared" si="0"/>
        <v>28567790</v>
      </c>
      <c r="N34" s="50">
        <f t="shared" si="0"/>
        <v>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58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97</v>
      </c>
      <c r="S4" s="46"/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96</v>
      </c>
      <c r="S5" s="16"/>
      <c r="T5" s="1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72</v>
      </c>
      <c r="D4" s="15" t="s">
        <v>98</v>
      </c>
      <c r="E4" s="87" t="s">
        <v>107</v>
      </c>
      <c r="F4" s="16"/>
      <c r="G4" s="72">
        <v>45840</v>
      </c>
      <c r="H4" s="73"/>
      <c r="I4" s="26"/>
      <c r="J4" s="26"/>
      <c r="K4" s="16"/>
      <c r="L4" s="38">
        <v>36585000</v>
      </c>
      <c r="M4" s="38">
        <v>36585000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0" t="s">
        <v>111</v>
      </c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36585000</v>
      </c>
      <c r="M34" s="50">
        <f t="shared" si="0"/>
        <v>36585000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77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1759-FDB9-4B85-B3D4-6D0A36CE7EB4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customWidth="1"/>
    <col min="6" max="6" width="17.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114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81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66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67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3"/>
      <c r="D34" s="93"/>
      <c r="E34" s="93"/>
      <c r="F34" s="93"/>
      <c r="G34" s="93"/>
      <c r="H34" s="93"/>
      <c r="I34" s="93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7.동화에프에이</vt:lpstr>
      <vt:lpstr>8.기타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Sungjoon Hong</cp:lastModifiedBy>
  <dcterms:created xsi:type="dcterms:W3CDTF">2010-03-24T06:08:57Z</dcterms:created>
  <dcterms:modified xsi:type="dcterms:W3CDTF">2025-07-22T01:46:26Z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
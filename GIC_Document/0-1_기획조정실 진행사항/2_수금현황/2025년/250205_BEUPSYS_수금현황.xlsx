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2_자금흐름회의\2025년\"/>
    </mc:Choice>
  </mc:AlternateContent>
  <xr:revisionPtr revIDLastSave="0" documentId="13_ncr:1_{05368A70-121B-4151-9949-B4B92B56B2E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otal" sheetId="4" r:id="rId1"/>
    <sheet name="1.지아이씨" sheetId="5" r:id="rId2"/>
    <sheet name="2.김포골드라인" sheetId="24" r:id="rId3"/>
    <sheet name="3.서울교통공사" sheetId="25" r:id="rId4"/>
    <sheet name="4.현대로템" sheetId="32" r:id="rId5"/>
    <sheet name="5.실리콘큐브" sheetId="26" r:id="rId6"/>
    <sheet name="6.무한테크(우진산전)" sheetId="27" r:id="rId7"/>
    <sheet name="7.다원시스" sheetId="28" r:id="rId8"/>
    <sheet name="8.티랩" sheetId="29" r:id="rId9"/>
    <sheet name="9.마루소프트" sheetId="30" r:id="rId10"/>
    <sheet name="10.신진금고" sheetId="31" r:id="rId11"/>
    <sheet name="11.인터모빌리티" sheetId="33" r:id="rId12"/>
    <sheet name="12.GMTECH" sheetId="35" r:id="rId13"/>
    <sheet name="13.아이디넷" sheetId="3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4" l="1"/>
  <c r="F20" i="4"/>
  <c r="E20" i="4"/>
  <c r="D20" i="4"/>
  <c r="H14" i="4" l="1"/>
  <c r="G14" i="4"/>
  <c r="F14" i="4"/>
  <c r="E14" i="4"/>
  <c r="D14" i="4"/>
  <c r="H15" i="4"/>
  <c r="H20" i="4" s="1"/>
  <c r="G15" i="4"/>
  <c r="F15" i="4"/>
  <c r="E15" i="4"/>
  <c r="D15" i="4"/>
  <c r="Q34" i="35"/>
  <c r="P34" i="35"/>
  <c r="O34" i="35"/>
  <c r="N34" i="35"/>
  <c r="M34" i="35"/>
  <c r="L34" i="35"/>
  <c r="Q4" i="35"/>
  <c r="N4" i="35"/>
  <c r="H13" i="4"/>
  <c r="G13" i="4"/>
  <c r="F13" i="4"/>
  <c r="E13" i="4"/>
  <c r="D13" i="4"/>
  <c r="P34" i="34"/>
  <c r="O34" i="34"/>
  <c r="M34" i="34"/>
  <c r="L34" i="34"/>
  <c r="Q4" i="34"/>
  <c r="Q34" i="34" s="1"/>
  <c r="N4" i="34"/>
  <c r="N34" i="34" s="1"/>
  <c r="P34" i="5"/>
  <c r="O34" i="5"/>
  <c r="N34" i="5"/>
  <c r="M34" i="5"/>
  <c r="L34" i="5"/>
  <c r="O34" i="33" l="1"/>
  <c r="Q4" i="33"/>
  <c r="O34" i="31"/>
  <c r="Q4" i="31"/>
  <c r="O34" i="30"/>
  <c r="Q4" i="30"/>
  <c r="O34" i="29"/>
  <c r="Q4" i="29"/>
  <c r="O34" i="28"/>
  <c r="Q5" i="28"/>
  <c r="Q4" i="28"/>
  <c r="O34" i="27"/>
  <c r="Q4" i="27"/>
  <c r="O34" i="26"/>
  <c r="O34" i="32"/>
  <c r="Q4" i="26"/>
  <c r="Q4" i="32"/>
  <c r="O34" i="25"/>
  <c r="Q4" i="25"/>
  <c r="Q4" i="24"/>
  <c r="O34" i="24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P34" i="33"/>
  <c r="M34" i="33"/>
  <c r="L34" i="33"/>
  <c r="Q34" i="33"/>
  <c r="N4" i="33"/>
  <c r="N34" i="33" s="1"/>
  <c r="N4" i="31"/>
  <c r="N4" i="30"/>
  <c r="N4" i="29"/>
  <c r="N4" i="27"/>
  <c r="N4" i="26"/>
  <c r="Q34" i="32"/>
  <c r="H6" i="4" s="1"/>
  <c r="N4" i="32"/>
  <c r="N34" i="32" s="1"/>
  <c r="F6" i="4" s="1"/>
  <c r="N4" i="24"/>
  <c r="N4" i="25"/>
  <c r="P34" i="32"/>
  <c r="G6" i="4" s="1"/>
  <c r="M34" i="32"/>
  <c r="E6" i="4" s="1"/>
  <c r="L34" i="32"/>
  <c r="D6" i="4" s="1"/>
  <c r="Q34" i="31" l="1"/>
  <c r="H12" i="4" s="1"/>
  <c r="P34" i="31"/>
  <c r="G12" i="4" s="1"/>
  <c r="N34" i="31"/>
  <c r="F12" i="4" s="1"/>
  <c r="M34" i="31"/>
  <c r="E12" i="4" s="1"/>
  <c r="L34" i="31"/>
  <c r="D12" i="4" s="1"/>
  <c r="Q34" i="30"/>
  <c r="H11" i="4" s="1"/>
  <c r="P34" i="30"/>
  <c r="G11" i="4" s="1"/>
  <c r="N34" i="30"/>
  <c r="F11" i="4" s="1"/>
  <c r="M34" i="30"/>
  <c r="E11" i="4" s="1"/>
  <c r="L34" i="30"/>
  <c r="D11" i="4" s="1"/>
  <c r="Q34" i="29"/>
  <c r="H10" i="4" s="1"/>
  <c r="P34" i="29"/>
  <c r="G10" i="4" s="1"/>
  <c r="N34" i="29"/>
  <c r="F10" i="4" s="1"/>
  <c r="M34" i="29"/>
  <c r="E10" i="4" s="1"/>
  <c r="L34" i="29"/>
  <c r="D10" i="4" s="1"/>
  <c r="P34" i="28"/>
  <c r="G9" i="4" s="1"/>
  <c r="M34" i="28"/>
  <c r="E9" i="4" s="1"/>
  <c r="L34" i="28"/>
  <c r="D9" i="4" s="1"/>
  <c r="Q34" i="28"/>
  <c r="H9" i="4" s="1"/>
  <c r="P34" i="27"/>
  <c r="G8" i="4" s="1"/>
  <c r="M34" i="27"/>
  <c r="E8" i="4" s="1"/>
  <c r="L34" i="27"/>
  <c r="D8" i="4" s="1"/>
  <c r="Q34" i="27"/>
  <c r="H8" i="4" s="1"/>
  <c r="N34" i="27"/>
  <c r="F8" i="4" s="1"/>
  <c r="P34" i="26"/>
  <c r="G7" i="4" s="1"/>
  <c r="M34" i="26"/>
  <c r="E7" i="4" s="1"/>
  <c r="L34" i="26"/>
  <c r="D7" i="4" s="1"/>
  <c r="Q34" i="26"/>
  <c r="H7" i="4" s="1"/>
  <c r="N34" i="26"/>
  <c r="F7" i="4" s="1"/>
  <c r="Q34" i="25"/>
  <c r="H5" i="4" s="1"/>
  <c r="P34" i="25"/>
  <c r="G5" i="4" s="1"/>
  <c r="N34" i="25"/>
  <c r="F5" i="4" s="1"/>
  <c r="M34" i="25"/>
  <c r="E5" i="4" s="1"/>
  <c r="L34" i="25"/>
  <c r="D5" i="4" s="1"/>
  <c r="N34" i="24"/>
  <c r="F4" i="4" s="1"/>
  <c r="M34" i="24"/>
  <c r="E4" i="4" s="1"/>
  <c r="L34" i="24"/>
  <c r="D4" i="4" s="1"/>
  <c r="P34" i="24"/>
  <c r="G4" i="4" s="1"/>
  <c r="F3" i="4"/>
  <c r="E3" i="4"/>
  <c r="N34" i="28" l="1"/>
  <c r="F9" i="4" s="1"/>
  <c r="Q34" i="24"/>
  <c r="H4" i="4" s="1"/>
  <c r="Q34" i="5" l="1"/>
  <c r="H3" i="4" s="1"/>
  <c r="G3" i="4"/>
  <c r="D3" i="4" l="1"/>
</calcChain>
</file>

<file path=xl/sharedStrings.xml><?xml version="1.0" encoding="utf-8"?>
<sst xmlns="http://schemas.openxmlformats.org/spreadsheetml/2006/main" count="352" uniqueCount="86">
  <si>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</si>
  <si>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</si>
  <si>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</si>
  <si>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</si>
  <si>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Sub-Amount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</si>
  <si>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</si>
  <si>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</si>
  <si>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</si>
  <si>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</si>
  <si>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</si>
  <si>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</si>
  <si>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</si>
  <si>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</si>
  <si>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</si>
  <si>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</si>
  <si>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</si>
  <si>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</si>
  <si>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</si>
  <si>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</si>
  <si>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</si>
  <si>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</si>
  <si>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</si>
  <si>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</si>
  <si>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DWE-2024-AUG-29-001</t>
    <phoneticPr fontId="1" type="noConversion"/>
  </si>
  <si>
    <t>CSP24-0913-1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</si>
  <si>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</si>
  <si>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</si>
  <si>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</si>
  <si>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</si>
  <si>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</si>
  <si>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</si>
  <si>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</si>
  <si>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</si>
  <si>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</si>
  <si>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</si>
  <si>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</si>
  <si>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</si>
  <si>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</si>
  <si>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</si>
  <si>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</si>
  <si>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</si>
  <si>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</si>
  <si>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</si>
  <si>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</si>
  <si>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</si>
  <si>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</si>
  <si>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</si>
  <si>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</si>
  <si>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</si>
  <si>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</si>
  <si>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</si>
  <si>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</si>
  <si>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</si>
  <si>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</si>
  <si>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</si>
  <si>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</si>
  <si>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</si>
  <si>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</si>
  <si>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</si>
  <si>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</si>
  <si>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</si>
  <si>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</si>
  <si>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</si>
  <si>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</si>
  <si>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</si>
  <si>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</si>
  <si>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</si>
  <si>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</si>
  <si>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</si>
  <si>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</si>
  <si>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</si>
  <si>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</si>
  <si>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1. (2024년) 계약 시 선금 70%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</si>
  <si>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제작 후 검사 전 30%
3. 검사 합격 후 납품 시 30%
4. 고객으로부터 물품대금 수령 후 잔금 10%</t>
    </r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</si>
  <si>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</si>
  <si>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</si>
  <si>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</si>
  <si>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 xml:space="preserve">2. 1차 산출물 제출 후 실행팀 확인 서명 완료본 제출 시 30% </t>
    </r>
    <r>
      <rPr>
        <b/>
        <sz val="11"/>
        <color rgb="FFFF0000"/>
        <rFont val="맑은 고딕"/>
        <family val="3"/>
        <charset val="129"/>
        <scheme val="minor"/>
      </rPr>
      <t>(전자세금계산서 발행 유예)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00B050"/>
        <rFont val="맑은 고딕"/>
        <family val="3"/>
        <charset val="129"/>
        <scheme val="minor"/>
      </rPr>
      <t>3. 발주처 승인 완료 시 40%</t>
    </r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</si>
  <si>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2. 초도편성 검사완료 시(~240715)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2월 초 철도연구원 레포트 승인 예상)
</t>
    </r>
    <r>
      <rPr>
        <b/>
        <sz val="11"/>
        <color rgb="FF00B050"/>
        <rFont val="맑은 고딕"/>
        <family val="3"/>
        <charset val="129"/>
        <scheme val="minor"/>
      </rPr>
      <t>3. 초도 시운점검사 완료 시(~240915) 30%
4. 양산편성 완료 시(~250315) 10%</t>
    </r>
    <phoneticPr fontId="1" type="noConversion"/>
  </si>
  <si>
    <t>250108 KRW 4,813,677 전자세금계산서 발행
MOP 1EA, MSR 1EA, CTM 1EA</t>
    <phoneticPr fontId="1" type="noConversion"/>
  </si>
  <si>
    <t>1차 산출물 제출분 30%에 대한 전자세금계산서 발행 유예 중</t>
    <phoneticPr fontId="1" type="noConversion"/>
  </si>
  <si>
    <t>아이디넷</t>
    <phoneticPr fontId="1" type="noConversion"/>
  </si>
  <si>
    <t>7호선 표시기(객실서버) 수리</t>
    <phoneticPr fontId="1" type="noConversion"/>
  </si>
  <si>
    <t>GMTECH</t>
    <phoneticPr fontId="1" type="noConversion"/>
  </si>
  <si>
    <t>250206 전자세금계산서 발급</t>
    <phoneticPr fontId="1" type="noConversion"/>
  </si>
  <si>
    <t>서울교통공사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</si>
</sst>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#,##0_);[Red]\(#,##0\)"/>
    <numFmt numFmtId="178" formatCode="yymmdd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3" fontId="10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1"/>
  <sheetViews>
    <sheetView tabSelected="1" zoomScaleNormal="100" workbookViewId="0"/>
  </sheetViews>
  <sheetFormatPr defaultRowHeight="16.5"/>
  <cols>
    <col min="1" max="1" width="4" customWidth="1"/>
    <col min="2" max="2" width="5.25" style="1" bestFit="1" customWidth="1"/>
    <col min="3" max="3" width="15.25" style="25" bestFit="1" customWidth="1"/>
    <col min="4" max="5" width="18.25" style="43" bestFit="1" customWidth="1"/>
    <col min="6" max="6" width="16.5" style="43" bestFit="1" customWidth="1"/>
    <col min="7" max="7" width="18.25" style="43" bestFit="1" customWidth="1"/>
    <col min="8" max="8" width="16.5" style="43" bestFit="1" customWidth="1"/>
    <col min="9" max="9" width="57.625" style="46" bestFit="1" customWidth="1"/>
  </cols>
  <sheetData>
    <row r="2" spans="2:9" s="1" customFormat="1">
      <c r="B2" s="11" t="s">
        <v>5</v>
      </c>
      <c r="C2" s="21" t="s">
        <v>16</v>
      </c>
      <c r="D2" s="56" t="s">
        <v>7</v>
      </c>
      <c r="E2" s="56" t="s">
        <v>10</v>
      </c>
      <c r="F2" s="56" t="s">
        <v>75</v>
      </c>
      <c r="G2" s="59" t="s">
        <v>60</v>
      </c>
      <c r="H2" s="59" t="s">
        <v>64</v>
      </c>
      <c r="I2" s="60" t="s">
        <v>2</v>
      </c>
    </row>
    <row r="3" spans="2:9">
      <c r="B3" s="2">
        <v>1</v>
      </c>
      <c r="C3" s="22" t="s">
        <v>15</v>
      </c>
      <c r="D3" s="63">
        <f>'1.지아이씨'!L34</f>
        <v>395235675.69999993</v>
      </c>
      <c r="E3" s="63">
        <f>'1.지아이씨'!M34</f>
        <v>395235675.69999993</v>
      </c>
      <c r="F3" s="61">
        <f>'1.지아이씨'!N34</f>
        <v>0</v>
      </c>
      <c r="G3" s="63">
        <f>'1.지아이씨'!P34</f>
        <v>4813677</v>
      </c>
      <c r="H3" s="57">
        <f>'1.지아이씨'!Q34</f>
        <v>0</v>
      </c>
      <c r="I3" s="32"/>
    </row>
    <row r="4" spans="2:9">
      <c r="B4" s="2">
        <v>2</v>
      </c>
      <c r="C4" s="22" t="s">
        <v>40</v>
      </c>
      <c r="D4" s="63">
        <f>'2.김포골드라인'!L34</f>
        <v>0</v>
      </c>
      <c r="E4" s="63">
        <f>'2.김포골드라인'!M34</f>
        <v>0</v>
      </c>
      <c r="F4" s="61">
        <f>'2.김포골드라인'!N34</f>
        <v>0</v>
      </c>
      <c r="G4" s="63">
        <f>'2.김포골드라인'!P34</f>
        <v>0</v>
      </c>
      <c r="H4" s="57">
        <f>'2.김포골드라인'!Q34</f>
        <v>0</v>
      </c>
      <c r="I4" s="14"/>
    </row>
    <row r="5" spans="2:9">
      <c r="B5" s="2">
        <v>3</v>
      </c>
      <c r="C5" s="22" t="s">
        <v>85</v>
      </c>
      <c r="D5" s="63">
        <f>'3.서울교통공사'!L34</f>
        <v>0</v>
      </c>
      <c r="E5" s="63">
        <f>'3.서울교통공사'!M34</f>
        <v>0</v>
      </c>
      <c r="F5" s="61">
        <f>'3.서울교통공사'!N34</f>
        <v>0</v>
      </c>
      <c r="G5" s="63">
        <f>'3.서울교통공사'!P34</f>
        <v>0</v>
      </c>
      <c r="H5" s="57">
        <f>'3.서울교통공사'!Q34</f>
        <v>0</v>
      </c>
      <c r="I5" s="14"/>
    </row>
    <row r="6" spans="2:9">
      <c r="B6" s="2">
        <v>4</v>
      </c>
      <c r="C6" s="22" t="s">
        <v>69</v>
      </c>
      <c r="D6" s="63">
        <f>'4.현대로템'!L34</f>
        <v>0</v>
      </c>
      <c r="E6" s="63">
        <f>'4.현대로템'!M34</f>
        <v>0</v>
      </c>
      <c r="F6" s="61">
        <f>'4.현대로템'!N34</f>
        <v>0</v>
      </c>
      <c r="G6" s="63">
        <f>'4.현대로템'!P34</f>
        <v>0</v>
      </c>
      <c r="H6" s="71">
        <f>'4.현대로템'!Q34</f>
        <v>0</v>
      </c>
      <c r="I6" s="14"/>
    </row>
    <row r="7" spans="2:9">
      <c r="B7" s="2">
        <v>5</v>
      </c>
      <c r="C7" s="22" t="s">
        <v>18</v>
      </c>
      <c r="D7" s="63">
        <f>'5.실리콘큐브'!L34</f>
        <v>0</v>
      </c>
      <c r="E7" s="63">
        <f>'5.실리콘큐브'!M34</f>
        <v>0</v>
      </c>
      <c r="F7" s="61">
        <f>'5.실리콘큐브'!N34</f>
        <v>0</v>
      </c>
      <c r="G7" s="63">
        <f>'5.실리콘큐브'!P34</f>
        <v>0</v>
      </c>
      <c r="H7" s="57">
        <f>'5.실리콘큐브'!Q34</f>
        <v>0</v>
      </c>
      <c r="I7" s="14"/>
    </row>
    <row r="8" spans="2:9">
      <c r="B8" s="2">
        <v>6</v>
      </c>
      <c r="C8" s="22" t="s">
        <v>41</v>
      </c>
      <c r="D8" s="63">
        <f>'6.무한테크(우진산전)'!L34</f>
        <v>0</v>
      </c>
      <c r="E8" s="63">
        <f>'6.무한테크(우진산전)'!M34</f>
        <v>0</v>
      </c>
      <c r="F8" s="61">
        <f>'6.무한테크(우진산전)'!N34</f>
        <v>0</v>
      </c>
      <c r="G8" s="63">
        <f>'6.무한테크(우진산전)'!P34</f>
        <v>0</v>
      </c>
      <c r="H8" s="57">
        <f>'6.무한테크(우진산전)'!Q34</f>
        <v>0</v>
      </c>
      <c r="I8" s="67"/>
    </row>
    <row r="9" spans="2:9">
      <c r="B9" s="2">
        <v>7</v>
      </c>
      <c r="C9" s="22" t="s">
        <v>19</v>
      </c>
      <c r="D9" s="63">
        <f>'7.다원시스'!L34</f>
        <v>287000000</v>
      </c>
      <c r="E9" s="63">
        <f>'7.다원시스'!M34</f>
        <v>287000000</v>
      </c>
      <c r="F9" s="61">
        <f>'7.다원시스'!N34</f>
        <v>0</v>
      </c>
      <c r="G9" s="63">
        <f>'7.다원시스'!P34</f>
        <v>0</v>
      </c>
      <c r="H9" s="57">
        <f>'7.다원시스'!Q34</f>
        <v>42000000</v>
      </c>
      <c r="I9" s="74" t="s">
        <v>80</v>
      </c>
    </row>
    <row r="10" spans="2:9" s="13" customFormat="1">
      <c r="B10" s="2">
        <v>8</v>
      </c>
      <c r="C10" s="23" t="s">
        <v>20</v>
      </c>
      <c r="D10" s="63">
        <f>'8.티랩'!L34</f>
        <v>0</v>
      </c>
      <c r="E10" s="63">
        <f>'8.티랩'!M34</f>
        <v>0</v>
      </c>
      <c r="F10" s="61">
        <f>'8.티랩'!N34</f>
        <v>0</v>
      </c>
      <c r="G10" s="63">
        <f>'8.티랩'!P34</f>
        <v>0</v>
      </c>
      <c r="H10" s="57">
        <f>'8.티랩'!Q34</f>
        <v>0</v>
      </c>
      <c r="I10" s="14"/>
    </row>
    <row r="11" spans="2:9" s="13" customFormat="1">
      <c r="B11" s="2">
        <v>9</v>
      </c>
      <c r="C11" s="23" t="s">
        <v>42</v>
      </c>
      <c r="D11" s="63">
        <f>'9.마루소프트'!L34</f>
        <v>0</v>
      </c>
      <c r="E11" s="63">
        <f>'9.마루소프트'!M34</f>
        <v>0</v>
      </c>
      <c r="F11" s="61">
        <f>'9.마루소프트'!N34</f>
        <v>0</v>
      </c>
      <c r="G11" s="63">
        <f>'9.마루소프트'!P34</f>
        <v>0</v>
      </c>
      <c r="H11" s="57">
        <f>'9.마루소프트'!Q34</f>
        <v>0</v>
      </c>
      <c r="I11" s="14"/>
    </row>
    <row r="12" spans="2:9">
      <c r="B12" s="2">
        <v>10</v>
      </c>
      <c r="C12" s="22" t="s">
        <v>43</v>
      </c>
      <c r="D12" s="63">
        <f>'10.신진금고'!L34</f>
        <v>0</v>
      </c>
      <c r="E12" s="63">
        <f>'10.신진금고'!M34</f>
        <v>0</v>
      </c>
      <c r="F12" s="61">
        <f>'10.신진금고'!N34</f>
        <v>0</v>
      </c>
      <c r="G12" s="63">
        <f>'10.신진금고'!P34</f>
        <v>0</v>
      </c>
      <c r="H12" s="57">
        <f>'10.신진금고'!Q34</f>
        <v>0</v>
      </c>
      <c r="I12" s="14"/>
    </row>
    <row r="13" spans="2:9">
      <c r="B13" s="2">
        <v>11</v>
      </c>
      <c r="C13" s="22" t="s">
        <v>74</v>
      </c>
      <c r="D13" s="63">
        <f>'11.인터모빌리티'!L34</f>
        <v>0</v>
      </c>
      <c r="E13" s="63">
        <f>'11.인터모빌리티'!M34</f>
        <v>0</v>
      </c>
      <c r="F13" s="61">
        <f>'11.인터모빌리티'!N34</f>
        <v>0</v>
      </c>
      <c r="G13" s="65">
        <f>'11.인터모빌리티'!P34</f>
        <v>0</v>
      </c>
      <c r="H13" s="44">
        <f>'11.인터모빌리티'!Q34</f>
        <v>0</v>
      </c>
      <c r="I13" s="14"/>
    </row>
    <row r="14" spans="2:9">
      <c r="B14" s="2">
        <v>12</v>
      </c>
      <c r="C14" s="22" t="s">
        <v>83</v>
      </c>
      <c r="D14" s="63">
        <f>'12.GMTECH'!L34</f>
        <v>0</v>
      </c>
      <c r="E14" s="63">
        <f>'12.GMTECH'!M34</f>
        <v>0</v>
      </c>
      <c r="F14" s="61">
        <f>'12.GMTECH'!N34</f>
        <v>0</v>
      </c>
      <c r="G14" s="65">
        <f>'12.GMTECH'!P34</f>
        <v>0</v>
      </c>
      <c r="H14" s="44">
        <f>'12.GMTECH'!Q34</f>
        <v>0</v>
      </c>
      <c r="I14" s="32"/>
    </row>
    <row r="15" spans="2:9">
      <c r="B15" s="2">
        <v>13</v>
      </c>
      <c r="C15" s="22" t="s">
        <v>81</v>
      </c>
      <c r="D15" s="63">
        <f>'13.아이디넷'!L34</f>
        <v>1200000</v>
      </c>
      <c r="E15" s="63">
        <f>'13.아이디넷'!M34</f>
        <v>1200000</v>
      </c>
      <c r="F15" s="61">
        <f>'13.아이디넷'!N34</f>
        <v>0</v>
      </c>
      <c r="G15" s="65">
        <f>'13.아이디넷'!P34</f>
        <v>0</v>
      </c>
      <c r="H15" s="44">
        <f>'13.아이디넷'!Q34</f>
        <v>1200000</v>
      </c>
      <c r="I15" s="32" t="s">
        <v>84</v>
      </c>
    </row>
    <row r="16" spans="2:9">
      <c r="B16" s="2"/>
      <c r="C16" s="22"/>
      <c r="D16" s="63"/>
      <c r="E16" s="63"/>
      <c r="F16" s="61"/>
      <c r="G16" s="65"/>
      <c r="H16" s="44"/>
      <c r="I16" s="14"/>
    </row>
    <row r="17" spans="2:9">
      <c r="B17" s="2"/>
      <c r="C17" s="22"/>
      <c r="D17" s="63"/>
      <c r="E17" s="63"/>
      <c r="F17" s="61"/>
      <c r="G17" s="65"/>
      <c r="H17" s="44"/>
      <c r="I17" s="14"/>
    </row>
    <row r="18" spans="2:9">
      <c r="B18" s="2"/>
      <c r="C18" s="22"/>
      <c r="D18" s="63"/>
      <c r="E18" s="63"/>
      <c r="F18" s="61"/>
      <c r="G18" s="65"/>
      <c r="H18" s="44"/>
      <c r="I18" s="14"/>
    </row>
    <row r="19" spans="2:9">
      <c r="B19" s="2"/>
      <c r="C19" s="22"/>
      <c r="D19" s="63"/>
      <c r="E19" s="63"/>
      <c r="F19" s="61"/>
      <c r="G19" s="65"/>
      <c r="H19" s="44"/>
      <c r="I19" s="14"/>
    </row>
    <row r="20" spans="2:9" s="12" customFormat="1">
      <c r="B20" s="11"/>
      <c r="C20" s="24" t="s">
        <v>9</v>
      </c>
      <c r="D20" s="64">
        <f>SUM(D3:D19)</f>
        <v>683435675.69999993</v>
      </c>
      <c r="E20" s="64">
        <f>SUM(E3:E19)</f>
        <v>683435675.69999993</v>
      </c>
      <c r="F20" s="62">
        <f>SUM(F3:F19)</f>
        <v>0</v>
      </c>
      <c r="G20" s="66">
        <f>SUM(G3:G19)</f>
        <v>4813677</v>
      </c>
      <c r="H20" s="70">
        <f>SUM(H3:H19)</f>
        <v>43200000</v>
      </c>
      <c r="I20" s="14"/>
    </row>
    <row r="21" spans="2:9" s="12" customFormat="1">
      <c r="B21" s="30"/>
      <c r="C21" s="31"/>
      <c r="D21" s="58"/>
      <c r="E21" s="58"/>
      <c r="F21" s="58"/>
      <c r="G21" s="45"/>
      <c r="H21" s="45"/>
      <c r="I21" s="47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49" bestFit="1" customWidth="1"/>
    <col min="13" max="13" width="18.875" style="49" bestFit="1" customWidth="1"/>
    <col min="14" max="14" width="18.75" style="49" bestFit="1" customWidth="1"/>
    <col min="15" max="15" width="16.75" style="49" bestFit="1" customWidth="1"/>
    <col min="16" max="16" width="16.5" style="37" bestFit="1" customWidth="1"/>
    <col min="17" max="17" width="16.5" style="49" bestFit="1" customWidth="1"/>
    <col min="18" max="18" width="40.125" style="10" bestFit="1" customWidth="1"/>
    <col min="19" max="19" width="42.5" style="10" bestFit="1" customWidth="1"/>
    <col min="20" max="20" width="44.25" bestFit="1" customWidth="1"/>
    <col min="21" max="21" width="45.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0">
      <c r="T1" s="43"/>
    </row>
    <row r="2" spans="2:20">
      <c r="B2" s="6"/>
      <c r="C2" s="6"/>
    </row>
    <row r="3" spans="2:20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2:20" s="18" customFormat="1" ht="66">
      <c r="B4" s="15">
        <v>1</v>
      </c>
      <c r="C4" s="15" t="s">
        <v>14</v>
      </c>
      <c r="D4" s="16" t="s">
        <v>15</v>
      </c>
      <c r="E4" s="16" t="s">
        <v>17</v>
      </c>
      <c r="F4" s="16"/>
      <c r="G4" s="75">
        <v>45436</v>
      </c>
      <c r="H4" s="75">
        <v>45804</v>
      </c>
      <c r="I4" s="28"/>
      <c r="J4" s="16" t="s">
        <v>44</v>
      </c>
      <c r="K4" s="16"/>
      <c r="L4" s="40">
        <f>SUM(M4:N4)</f>
        <v>245497524.99999997</v>
      </c>
      <c r="M4" s="40">
        <v>245497524.99999997</v>
      </c>
      <c r="N4" s="51">
        <v>0</v>
      </c>
      <c r="O4" s="39">
        <v>4813677</v>
      </c>
      <c r="P4" s="39">
        <v>4813677</v>
      </c>
      <c r="Q4" s="41">
        <f>O4-P4</f>
        <v>0</v>
      </c>
      <c r="R4" s="33" t="s">
        <v>73</v>
      </c>
      <c r="S4" s="73" t="s">
        <v>66</v>
      </c>
      <c r="T4" s="72" t="s">
        <v>79</v>
      </c>
    </row>
    <row r="5" spans="2:20" s="18" customFormat="1" ht="33">
      <c r="B5" s="15">
        <v>2</v>
      </c>
      <c r="C5" s="15" t="s">
        <v>14</v>
      </c>
      <c r="D5" s="16" t="s">
        <v>15</v>
      </c>
      <c r="E5" s="16" t="s">
        <v>24</v>
      </c>
      <c r="F5" s="16"/>
      <c r="G5" s="75">
        <v>45548</v>
      </c>
      <c r="H5" s="75">
        <v>45688</v>
      </c>
      <c r="I5" s="28" t="s">
        <v>29</v>
      </c>
      <c r="J5" s="16" t="s">
        <v>45</v>
      </c>
      <c r="K5" s="16">
        <v>51</v>
      </c>
      <c r="L5" s="40">
        <f t="shared" ref="L5:L17" si="0">SUM(M5:N5)</f>
        <v>13983023.1</v>
      </c>
      <c r="M5" s="40">
        <v>13983023.1</v>
      </c>
      <c r="N5" s="51">
        <v>0</v>
      </c>
      <c r="O5" s="39">
        <v>0</v>
      </c>
      <c r="P5" s="39">
        <v>0</v>
      </c>
      <c r="Q5" s="41">
        <f t="shared" ref="Q5:Q19" si="1">O5-P5</f>
        <v>0</v>
      </c>
      <c r="R5" s="20" t="s">
        <v>72</v>
      </c>
      <c r="S5" s="32"/>
    </row>
    <row r="6" spans="2:20" s="18" customFormat="1">
      <c r="B6" s="15"/>
      <c r="C6" s="15"/>
      <c r="D6" s="16"/>
      <c r="E6" s="16"/>
      <c r="F6" s="16"/>
      <c r="G6" s="15"/>
      <c r="H6" s="28"/>
      <c r="I6" s="28" t="s">
        <v>30</v>
      </c>
      <c r="J6" s="16" t="s">
        <v>46</v>
      </c>
      <c r="K6" s="16">
        <v>51</v>
      </c>
      <c r="L6" s="40">
        <f t="shared" si="0"/>
        <v>10164755.4</v>
      </c>
      <c r="M6" s="40">
        <v>10164755.4</v>
      </c>
      <c r="N6" s="51">
        <v>0</v>
      </c>
      <c r="O6" s="39">
        <v>0</v>
      </c>
      <c r="P6" s="39">
        <v>0</v>
      </c>
      <c r="Q6" s="41">
        <f t="shared" si="1"/>
        <v>0</v>
      </c>
      <c r="R6" s="16" t="s">
        <v>58</v>
      </c>
      <c r="S6" s="32"/>
    </row>
    <row r="7" spans="2:20" s="18" customFormat="1">
      <c r="B7" s="15"/>
      <c r="C7" s="15"/>
      <c r="D7" s="16"/>
      <c r="E7" s="16"/>
      <c r="F7" s="16"/>
      <c r="G7" s="15"/>
      <c r="H7" s="28"/>
      <c r="I7" s="28" t="s">
        <v>31</v>
      </c>
      <c r="J7" s="16" t="s">
        <v>47</v>
      </c>
      <c r="K7" s="16">
        <v>51</v>
      </c>
      <c r="L7" s="40">
        <f t="shared" si="0"/>
        <v>9341652.2999999989</v>
      </c>
      <c r="M7" s="40">
        <v>9341652.2999999989</v>
      </c>
      <c r="N7" s="51">
        <v>0</v>
      </c>
      <c r="O7" s="39">
        <v>0</v>
      </c>
      <c r="P7" s="39">
        <v>0</v>
      </c>
      <c r="Q7" s="41">
        <f t="shared" si="1"/>
        <v>0</v>
      </c>
      <c r="R7" s="16"/>
      <c r="S7" s="16"/>
    </row>
    <row r="8" spans="2:20" s="18" customFormat="1">
      <c r="B8" s="15"/>
      <c r="C8" s="15"/>
      <c r="D8" s="16"/>
      <c r="E8" s="16"/>
      <c r="F8" s="16"/>
      <c r="G8" s="15"/>
      <c r="H8" s="28"/>
      <c r="I8" s="28" t="s">
        <v>32</v>
      </c>
      <c r="J8" s="16" t="s">
        <v>48</v>
      </c>
      <c r="K8" s="16">
        <v>51</v>
      </c>
      <c r="L8" s="40">
        <f t="shared" si="0"/>
        <v>7854455.3999999994</v>
      </c>
      <c r="M8" s="40">
        <v>7854455.3999999994</v>
      </c>
      <c r="N8" s="51">
        <v>0</v>
      </c>
      <c r="O8" s="39">
        <v>0</v>
      </c>
      <c r="P8" s="39">
        <v>0</v>
      </c>
      <c r="Q8" s="41">
        <f t="shared" si="1"/>
        <v>0</v>
      </c>
      <c r="R8" s="16"/>
      <c r="S8" s="16"/>
    </row>
    <row r="9" spans="2:20" s="18" customFormat="1">
      <c r="B9" s="15"/>
      <c r="C9" s="15"/>
      <c r="D9" s="16"/>
      <c r="E9" s="16"/>
      <c r="F9" s="16"/>
      <c r="G9" s="15"/>
      <c r="H9" s="28"/>
      <c r="I9" s="28" t="s">
        <v>33</v>
      </c>
      <c r="J9" s="16" t="s">
        <v>49</v>
      </c>
      <c r="K9" s="16">
        <v>51</v>
      </c>
      <c r="L9" s="40">
        <f t="shared" si="0"/>
        <v>9422642.6999999993</v>
      </c>
      <c r="M9" s="40">
        <v>9422642.6999999993</v>
      </c>
      <c r="N9" s="51">
        <v>0</v>
      </c>
      <c r="O9" s="39">
        <v>0</v>
      </c>
      <c r="P9" s="39">
        <v>0</v>
      </c>
      <c r="Q9" s="41">
        <f t="shared" si="1"/>
        <v>0</v>
      </c>
      <c r="R9" s="16"/>
      <c r="S9" s="16"/>
    </row>
    <row r="10" spans="2:20" s="18" customFormat="1">
      <c r="B10" s="15"/>
      <c r="C10" s="15"/>
      <c r="D10" s="16"/>
      <c r="E10" s="16"/>
      <c r="F10" s="16"/>
      <c r="G10" s="15"/>
      <c r="H10" s="28"/>
      <c r="I10" s="28" t="s">
        <v>34</v>
      </c>
      <c r="J10" s="16" t="s">
        <v>50</v>
      </c>
      <c r="K10" s="16">
        <v>51</v>
      </c>
      <c r="L10" s="40">
        <f t="shared" si="0"/>
        <v>4421700</v>
      </c>
      <c r="M10" s="40">
        <v>4421700</v>
      </c>
      <c r="N10" s="51">
        <v>0</v>
      </c>
      <c r="O10" s="39">
        <v>0</v>
      </c>
      <c r="P10" s="39">
        <v>0</v>
      </c>
      <c r="Q10" s="41">
        <f t="shared" si="1"/>
        <v>0</v>
      </c>
      <c r="R10" s="16"/>
      <c r="S10" s="16"/>
    </row>
    <row r="11" spans="2:20" s="18" customFormat="1">
      <c r="B11" s="15"/>
      <c r="C11" s="15"/>
      <c r="D11" s="16"/>
      <c r="E11" s="16"/>
      <c r="F11" s="16"/>
      <c r="G11" s="15"/>
      <c r="H11" s="28"/>
      <c r="I11" s="28" t="s">
        <v>35</v>
      </c>
      <c r="J11" s="16" t="s">
        <v>51</v>
      </c>
      <c r="K11" s="16">
        <v>102</v>
      </c>
      <c r="L11" s="40">
        <f t="shared" si="0"/>
        <v>10373400</v>
      </c>
      <c r="M11" s="40">
        <v>10373400</v>
      </c>
      <c r="N11" s="51">
        <v>0</v>
      </c>
      <c r="O11" s="39">
        <v>0</v>
      </c>
      <c r="P11" s="39">
        <v>0</v>
      </c>
      <c r="Q11" s="41">
        <f t="shared" si="1"/>
        <v>0</v>
      </c>
      <c r="R11" s="16"/>
      <c r="S11" s="16"/>
    </row>
    <row r="12" spans="2:20" s="18" customFormat="1">
      <c r="B12" s="15"/>
      <c r="C12" s="15"/>
      <c r="D12" s="16"/>
      <c r="E12" s="16"/>
      <c r="F12" s="16"/>
      <c r="G12" s="15"/>
      <c r="H12" s="28"/>
      <c r="I12" s="28" t="s">
        <v>36</v>
      </c>
      <c r="J12" s="16" t="s">
        <v>52</v>
      </c>
      <c r="K12" s="16">
        <v>51</v>
      </c>
      <c r="L12" s="40">
        <f t="shared" si="0"/>
        <v>7264302.2999999998</v>
      </c>
      <c r="M12" s="40">
        <v>7264302.2999999998</v>
      </c>
      <c r="N12" s="51">
        <v>0</v>
      </c>
      <c r="O12" s="39">
        <v>0</v>
      </c>
      <c r="P12" s="39">
        <v>0</v>
      </c>
      <c r="Q12" s="41">
        <f t="shared" si="1"/>
        <v>0</v>
      </c>
      <c r="R12" s="16"/>
      <c r="S12" s="16"/>
    </row>
    <row r="13" spans="2:20" s="18" customFormat="1">
      <c r="B13" s="15"/>
      <c r="C13" s="15"/>
      <c r="D13" s="16"/>
      <c r="E13" s="16"/>
      <c r="F13" s="16"/>
      <c r="G13" s="15"/>
      <c r="H13" s="28"/>
      <c r="I13" s="28" t="s">
        <v>37</v>
      </c>
      <c r="J13" s="16" t="s">
        <v>53</v>
      </c>
      <c r="K13" s="16">
        <v>51</v>
      </c>
      <c r="L13" s="40">
        <f t="shared" si="0"/>
        <v>4590000</v>
      </c>
      <c r="M13" s="40">
        <v>4590000</v>
      </c>
      <c r="N13" s="51">
        <v>0</v>
      </c>
      <c r="O13" s="39">
        <v>0</v>
      </c>
      <c r="P13" s="39">
        <v>0</v>
      </c>
      <c r="Q13" s="41">
        <f t="shared" si="1"/>
        <v>0</v>
      </c>
      <c r="R13" s="16"/>
      <c r="S13" s="16"/>
    </row>
    <row r="14" spans="2:20" s="18" customFormat="1">
      <c r="B14" s="15"/>
      <c r="C14" s="15"/>
      <c r="D14" s="16"/>
      <c r="E14" s="16"/>
      <c r="F14" s="16"/>
      <c r="G14" s="15"/>
      <c r="H14" s="28"/>
      <c r="I14" s="28" t="s">
        <v>38</v>
      </c>
      <c r="J14" s="16" t="s">
        <v>54</v>
      </c>
      <c r="K14" s="16">
        <v>51</v>
      </c>
      <c r="L14" s="40">
        <f t="shared" si="0"/>
        <v>7246837.5</v>
      </c>
      <c r="M14" s="40">
        <v>7246837.5</v>
      </c>
      <c r="N14" s="51">
        <v>0</v>
      </c>
      <c r="O14" s="39">
        <v>0</v>
      </c>
      <c r="P14" s="39">
        <v>0</v>
      </c>
      <c r="Q14" s="41">
        <f t="shared" si="1"/>
        <v>0</v>
      </c>
      <c r="R14" s="16"/>
      <c r="S14" s="16"/>
    </row>
    <row r="15" spans="2:20" s="18" customFormat="1">
      <c r="B15" s="15"/>
      <c r="C15" s="15"/>
      <c r="D15" s="16"/>
      <c r="E15" s="16"/>
      <c r="F15" s="16"/>
      <c r="G15" s="15"/>
      <c r="H15" s="28"/>
      <c r="I15" s="28" t="s">
        <v>39</v>
      </c>
      <c r="J15" s="16" t="s">
        <v>55</v>
      </c>
      <c r="K15" s="16">
        <v>51</v>
      </c>
      <c r="L15" s="40">
        <f t="shared" si="0"/>
        <v>6505758.8999999994</v>
      </c>
      <c r="M15" s="40">
        <v>6505758.8999999994</v>
      </c>
      <c r="N15" s="51">
        <v>0</v>
      </c>
      <c r="O15" s="39">
        <v>0</v>
      </c>
      <c r="P15" s="39">
        <v>0</v>
      </c>
      <c r="Q15" s="41">
        <f t="shared" si="1"/>
        <v>0</v>
      </c>
      <c r="R15" s="16"/>
      <c r="S15" s="16"/>
    </row>
    <row r="16" spans="2:20" s="18" customFormat="1">
      <c r="B16" s="15"/>
      <c r="C16" s="15"/>
      <c r="D16" s="16"/>
      <c r="E16" s="16"/>
      <c r="F16" s="16"/>
      <c r="G16" s="15"/>
      <c r="H16" s="28"/>
      <c r="I16" s="28" t="s">
        <v>57</v>
      </c>
      <c r="J16" s="16" t="s">
        <v>56</v>
      </c>
      <c r="K16" s="16">
        <v>51</v>
      </c>
      <c r="L16" s="40">
        <f t="shared" si="0"/>
        <v>14136023.1</v>
      </c>
      <c r="M16" s="40">
        <v>14136023.1</v>
      </c>
      <c r="N16" s="51">
        <v>0</v>
      </c>
      <c r="O16" s="39">
        <v>0</v>
      </c>
      <c r="P16" s="39">
        <v>0</v>
      </c>
      <c r="Q16" s="41">
        <f t="shared" si="1"/>
        <v>0</v>
      </c>
      <c r="R16" s="16"/>
      <c r="S16" s="16"/>
    </row>
    <row r="17" spans="2:25" s="18" customFormat="1" ht="33">
      <c r="B17" s="15">
        <v>3</v>
      </c>
      <c r="C17" s="15" t="s">
        <v>14</v>
      </c>
      <c r="D17" s="16" t="s">
        <v>15</v>
      </c>
      <c r="E17" s="16" t="s">
        <v>25</v>
      </c>
      <c r="F17" s="16"/>
      <c r="G17" s="75">
        <v>45558</v>
      </c>
      <c r="H17" s="75">
        <v>45657</v>
      </c>
      <c r="I17" s="28" t="s">
        <v>30</v>
      </c>
      <c r="J17" s="16" t="s">
        <v>26</v>
      </c>
      <c r="K17" s="16">
        <v>10</v>
      </c>
      <c r="L17" s="40">
        <f t="shared" si="0"/>
        <v>8188800</v>
      </c>
      <c r="M17" s="40">
        <v>8188800</v>
      </c>
      <c r="N17" s="51">
        <v>0</v>
      </c>
      <c r="O17" s="39">
        <v>0</v>
      </c>
      <c r="P17" s="39">
        <v>0</v>
      </c>
      <c r="Q17" s="41">
        <f t="shared" si="1"/>
        <v>0</v>
      </c>
      <c r="R17" s="16"/>
      <c r="S17" s="32"/>
    </row>
    <row r="18" spans="2:25" s="18" customFormat="1">
      <c r="B18" s="15"/>
      <c r="C18" s="15"/>
      <c r="D18" s="16"/>
      <c r="E18" s="16"/>
      <c r="F18" s="16"/>
      <c r="G18" s="15"/>
      <c r="H18" s="75">
        <v>45777</v>
      </c>
      <c r="I18" s="28" t="s">
        <v>36</v>
      </c>
      <c r="J18" s="16" t="s">
        <v>27</v>
      </c>
      <c r="K18" s="16">
        <v>10</v>
      </c>
      <c r="L18" s="40">
        <v>12435200</v>
      </c>
      <c r="M18" s="40">
        <v>12435200</v>
      </c>
      <c r="N18" s="51">
        <v>0</v>
      </c>
      <c r="O18" s="39">
        <v>0</v>
      </c>
      <c r="P18" s="39">
        <v>0</v>
      </c>
      <c r="Q18" s="41">
        <f t="shared" si="1"/>
        <v>0</v>
      </c>
      <c r="R18" s="32"/>
      <c r="S18" s="32"/>
      <c r="X18" s="34"/>
      <c r="Y18" s="35"/>
    </row>
    <row r="19" spans="2:25" s="18" customFormat="1">
      <c r="B19" s="15"/>
      <c r="C19" s="15"/>
      <c r="D19" s="16"/>
      <c r="E19" s="16"/>
      <c r="F19" s="16"/>
      <c r="G19" s="15"/>
      <c r="H19" s="75">
        <v>45657</v>
      </c>
      <c r="I19" s="28" t="s">
        <v>39</v>
      </c>
      <c r="J19" s="16" t="s">
        <v>28</v>
      </c>
      <c r="K19" s="16">
        <v>20</v>
      </c>
      <c r="L19" s="40">
        <v>23809600</v>
      </c>
      <c r="M19" s="40">
        <v>23809600</v>
      </c>
      <c r="N19" s="51">
        <v>0</v>
      </c>
      <c r="O19" s="39">
        <v>0</v>
      </c>
      <c r="P19" s="39">
        <v>0</v>
      </c>
      <c r="Q19" s="41">
        <f t="shared" si="1"/>
        <v>0</v>
      </c>
      <c r="R19" s="32"/>
      <c r="S19" s="32"/>
    </row>
    <row r="20" spans="2:25" s="18" customFormat="1">
      <c r="B20" s="19"/>
      <c r="C20" s="19"/>
      <c r="D20" s="20"/>
      <c r="E20" s="20"/>
      <c r="F20" s="20"/>
      <c r="G20" s="19"/>
      <c r="H20" s="29"/>
      <c r="I20" s="29"/>
      <c r="J20" s="26"/>
      <c r="K20" s="26"/>
      <c r="L20" s="50"/>
      <c r="M20" s="50"/>
      <c r="N20" s="50"/>
      <c r="O20" s="39"/>
      <c r="P20" s="39"/>
      <c r="Q20" s="41"/>
      <c r="R20" s="20"/>
      <c r="S20" s="20"/>
    </row>
    <row r="21" spans="2:25" s="18" customFormat="1">
      <c r="B21" s="19"/>
      <c r="C21" s="19"/>
      <c r="D21" s="20"/>
      <c r="E21" s="20"/>
      <c r="F21" s="20"/>
      <c r="G21" s="19"/>
      <c r="H21" s="29"/>
      <c r="I21" s="29"/>
      <c r="J21" s="26"/>
      <c r="K21" s="26"/>
      <c r="L21" s="50"/>
      <c r="M21" s="50"/>
      <c r="N21" s="50"/>
      <c r="O21" s="39"/>
      <c r="P21" s="39"/>
      <c r="Q21" s="41"/>
      <c r="R21" s="20"/>
      <c r="S21" s="20"/>
    </row>
    <row r="22" spans="2:25" s="18" customFormat="1">
      <c r="B22" s="19"/>
      <c r="C22" s="19"/>
      <c r="D22" s="20"/>
      <c r="E22" s="20"/>
      <c r="F22" s="20"/>
      <c r="G22" s="19"/>
      <c r="H22" s="29"/>
      <c r="I22" s="29"/>
      <c r="J22" s="26"/>
      <c r="K22" s="26"/>
      <c r="L22" s="50"/>
      <c r="M22" s="50"/>
      <c r="N22" s="50"/>
      <c r="O22" s="39"/>
      <c r="P22" s="39"/>
      <c r="Q22" s="41"/>
      <c r="R22" s="20"/>
      <c r="S22" s="20"/>
    </row>
    <row r="23" spans="2:25" s="18" customFormat="1">
      <c r="B23" s="19"/>
      <c r="C23" s="19"/>
      <c r="D23" s="20"/>
      <c r="E23" s="20"/>
      <c r="F23" s="20"/>
      <c r="G23" s="19"/>
      <c r="H23" s="29"/>
      <c r="I23" s="29"/>
      <c r="J23" s="26"/>
      <c r="K23" s="26"/>
      <c r="L23" s="50"/>
      <c r="M23" s="50"/>
      <c r="N23" s="50"/>
      <c r="O23" s="39"/>
      <c r="P23" s="39"/>
      <c r="Q23" s="41"/>
      <c r="R23" s="20"/>
      <c r="S23" s="20"/>
    </row>
    <row r="24" spans="2:25" s="18" customFormat="1">
      <c r="B24" s="19"/>
      <c r="C24" s="19"/>
      <c r="D24" s="20"/>
      <c r="E24" s="20"/>
      <c r="F24" s="20"/>
      <c r="G24" s="19"/>
      <c r="H24" s="29"/>
      <c r="I24" s="29"/>
      <c r="J24" s="26"/>
      <c r="K24" s="26"/>
      <c r="L24" s="50"/>
      <c r="M24" s="50"/>
      <c r="N24" s="50"/>
      <c r="O24" s="39"/>
      <c r="P24" s="39"/>
      <c r="Q24" s="41"/>
      <c r="R24" s="20"/>
      <c r="S24" s="20"/>
    </row>
    <row r="25" spans="2:25" s="18" customFormat="1">
      <c r="B25" s="19"/>
      <c r="C25" s="19"/>
      <c r="D25" s="20"/>
      <c r="E25" s="20"/>
      <c r="F25" s="20"/>
      <c r="G25" s="19"/>
      <c r="H25" s="29"/>
      <c r="I25" s="29"/>
      <c r="J25" s="26"/>
      <c r="K25" s="26"/>
      <c r="L25" s="50"/>
      <c r="M25" s="50"/>
      <c r="N25" s="50"/>
      <c r="O25" s="39"/>
      <c r="P25" s="39"/>
      <c r="Q25" s="41"/>
      <c r="R25" s="20"/>
      <c r="S25" s="20"/>
    </row>
    <row r="26" spans="2:25" s="18" customFormat="1">
      <c r="B26" s="19"/>
      <c r="C26" s="19"/>
      <c r="D26" s="20"/>
      <c r="E26" s="20"/>
      <c r="F26" s="20"/>
      <c r="G26" s="19"/>
      <c r="H26" s="29"/>
      <c r="I26" s="29"/>
      <c r="J26" s="26"/>
      <c r="K26" s="26"/>
      <c r="L26" s="50"/>
      <c r="M26" s="50"/>
      <c r="N26" s="50"/>
      <c r="O26" s="39"/>
      <c r="P26" s="39"/>
      <c r="Q26" s="41"/>
      <c r="R26" s="20"/>
      <c r="S26" s="20"/>
    </row>
    <row r="27" spans="2:25" s="18" customFormat="1">
      <c r="B27" s="19"/>
      <c r="C27" s="19"/>
      <c r="D27" s="20"/>
      <c r="E27" s="20"/>
      <c r="F27" s="20"/>
      <c r="G27" s="19"/>
      <c r="H27" s="29"/>
      <c r="I27" s="29"/>
      <c r="J27" s="26"/>
      <c r="K27" s="26"/>
      <c r="L27" s="50"/>
      <c r="M27" s="50"/>
      <c r="N27" s="50"/>
      <c r="O27" s="39"/>
      <c r="P27" s="39"/>
      <c r="Q27" s="41"/>
      <c r="R27" s="20"/>
      <c r="S27" s="20"/>
    </row>
    <row r="28" spans="2:25" s="18" customFormat="1">
      <c r="B28" s="19"/>
      <c r="C28" s="19"/>
      <c r="D28" s="20"/>
      <c r="E28" s="20"/>
      <c r="F28" s="20"/>
      <c r="G28" s="19"/>
      <c r="H28" s="29"/>
      <c r="I28" s="29"/>
      <c r="J28" s="26"/>
      <c r="K28" s="26"/>
      <c r="L28" s="50"/>
      <c r="M28" s="50"/>
      <c r="N28" s="50"/>
      <c r="O28" s="39"/>
      <c r="P28" s="39"/>
      <c r="Q28" s="41"/>
      <c r="R28" s="20"/>
      <c r="S28" s="20"/>
    </row>
    <row r="29" spans="2:25" s="18" customFormat="1">
      <c r="B29" s="19"/>
      <c r="C29" s="19"/>
      <c r="D29" s="20"/>
      <c r="E29" s="20"/>
      <c r="F29" s="20"/>
      <c r="G29" s="19"/>
      <c r="H29" s="29"/>
      <c r="I29" s="29"/>
      <c r="J29" s="26"/>
      <c r="K29" s="26"/>
      <c r="L29" s="50"/>
      <c r="M29" s="50"/>
      <c r="N29" s="50"/>
      <c r="O29" s="39"/>
      <c r="P29" s="39"/>
      <c r="Q29" s="41"/>
      <c r="R29" s="20"/>
      <c r="S29" s="20"/>
    </row>
    <row r="30" spans="2:25" s="18" customFormat="1">
      <c r="B30" s="19"/>
      <c r="C30" s="19"/>
      <c r="D30" s="20"/>
      <c r="E30" s="20"/>
      <c r="F30" s="20"/>
      <c r="G30" s="19"/>
      <c r="H30" s="29"/>
      <c r="I30" s="29"/>
      <c r="J30" s="26"/>
      <c r="K30" s="26"/>
      <c r="L30" s="50"/>
      <c r="M30" s="50"/>
      <c r="N30" s="50"/>
      <c r="O30" s="39"/>
      <c r="P30" s="39"/>
      <c r="Q30" s="41"/>
      <c r="R30" s="20"/>
      <c r="S30" s="20"/>
    </row>
    <row r="31" spans="2:25" s="18" customFormat="1">
      <c r="B31" s="19"/>
      <c r="C31" s="19"/>
      <c r="D31" s="20"/>
      <c r="E31" s="20"/>
      <c r="F31" s="20"/>
      <c r="G31" s="19"/>
      <c r="H31" s="29"/>
      <c r="I31" s="29"/>
      <c r="J31" s="26"/>
      <c r="K31" s="26"/>
      <c r="L31" s="50"/>
      <c r="M31" s="50"/>
      <c r="N31" s="50"/>
      <c r="O31" s="39"/>
      <c r="P31" s="39"/>
      <c r="Q31" s="41"/>
      <c r="R31" s="20"/>
      <c r="S31" s="20"/>
    </row>
    <row r="32" spans="2:25" s="18" customFormat="1">
      <c r="B32" s="19"/>
      <c r="C32" s="19"/>
      <c r="D32" s="20"/>
      <c r="E32" s="20"/>
      <c r="F32" s="20"/>
      <c r="G32" s="19"/>
      <c r="H32" s="29"/>
      <c r="I32" s="29"/>
      <c r="J32" s="26"/>
      <c r="K32" s="26"/>
      <c r="L32" s="50"/>
      <c r="M32" s="50"/>
      <c r="N32" s="50"/>
      <c r="O32" s="39"/>
      <c r="P32" s="39"/>
      <c r="Q32" s="41"/>
      <c r="R32" s="20"/>
      <c r="S32" s="20"/>
    </row>
    <row r="33" spans="2:19" s="18" customFormat="1">
      <c r="B33" s="19"/>
      <c r="C33" s="19"/>
      <c r="D33" s="20"/>
      <c r="E33" s="20"/>
      <c r="F33" s="20"/>
      <c r="G33" s="19"/>
      <c r="H33" s="29"/>
      <c r="I33" s="29"/>
      <c r="J33" s="26"/>
      <c r="K33" s="26"/>
      <c r="L33" s="50"/>
      <c r="M33" s="50"/>
      <c r="N33" s="50"/>
      <c r="O33" s="39"/>
      <c r="P33" s="39"/>
      <c r="Q33" s="41"/>
      <c r="R33" s="20"/>
      <c r="S33" s="20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>SUM(L4:L33)</f>
        <v>395235675.69999993</v>
      </c>
      <c r="M34" s="52">
        <f>SUM(M4:M33)</f>
        <v>395235675.69999993</v>
      </c>
      <c r="N34" s="52">
        <f t="shared" ref="N34:P34" si="2">SUM(N4:N33)</f>
        <v>0</v>
      </c>
      <c r="O34" s="40">
        <f t="shared" si="2"/>
        <v>4813677</v>
      </c>
      <c r="P34" s="40">
        <f t="shared" si="2"/>
        <v>4813677</v>
      </c>
      <c r="Q34" s="41">
        <f>SUM(Q4:Q33)</f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40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85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69</v>
      </c>
      <c r="E4" s="16"/>
      <c r="F4" s="16"/>
      <c r="G4" s="76"/>
      <c r="H4" s="77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5BA2-C5FD-4669-A510-C5FB0D9CE58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67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FE43-33B8-4F4B-A81D-E11E78E1315D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68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32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47.875" bestFit="1" customWidth="1"/>
    <col min="21" max="22" width="11" bestFit="1" customWidth="1"/>
  </cols>
  <sheetData>
    <row r="2" spans="1:20">
      <c r="B2" s="6"/>
      <c r="C2" s="6"/>
    </row>
    <row r="3" spans="1:20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20" s="1" customFormat="1" ht="82.5">
      <c r="B4" s="15">
        <v>1</v>
      </c>
      <c r="C4" s="15" t="s">
        <v>14</v>
      </c>
      <c r="D4" s="16" t="s">
        <v>19</v>
      </c>
      <c r="E4" s="16" t="s">
        <v>22</v>
      </c>
      <c r="F4" s="16"/>
      <c r="G4" s="75">
        <v>45454</v>
      </c>
      <c r="H4" s="75">
        <v>45747</v>
      </c>
      <c r="I4" s="28" t="s">
        <v>29</v>
      </c>
      <c r="J4" s="17" t="s">
        <v>59</v>
      </c>
      <c r="K4" s="16"/>
      <c r="L4" s="17">
        <v>189000000</v>
      </c>
      <c r="M4" s="17">
        <v>189000000</v>
      </c>
      <c r="N4" s="50">
        <v>0</v>
      </c>
      <c r="O4" s="39">
        <v>0</v>
      </c>
      <c r="P4" s="39">
        <v>0</v>
      </c>
      <c r="Q4" s="41">
        <f>O4-P4</f>
        <v>0</v>
      </c>
      <c r="R4" s="68" t="s">
        <v>78</v>
      </c>
      <c r="S4" s="48"/>
    </row>
    <row r="5" spans="1:20" s="18" customFormat="1" ht="66">
      <c r="A5" s="1"/>
      <c r="B5" s="15">
        <v>2</v>
      </c>
      <c r="C5" s="15" t="s">
        <v>14</v>
      </c>
      <c r="D5" s="16" t="s">
        <v>19</v>
      </c>
      <c r="E5" s="16" t="s">
        <v>23</v>
      </c>
      <c r="F5" s="16"/>
      <c r="G5" s="75">
        <v>45533</v>
      </c>
      <c r="H5" s="75">
        <v>45838</v>
      </c>
      <c r="I5" s="28" t="s">
        <v>29</v>
      </c>
      <c r="J5" s="16" t="s">
        <v>21</v>
      </c>
      <c r="K5" s="16"/>
      <c r="L5" s="17">
        <v>98000000</v>
      </c>
      <c r="M5" s="17">
        <v>98000000</v>
      </c>
      <c r="N5" s="50">
        <v>0</v>
      </c>
      <c r="O5" s="39">
        <v>42000000</v>
      </c>
      <c r="P5" s="39">
        <v>0</v>
      </c>
      <c r="Q5" s="41">
        <f>O5-P5</f>
        <v>42000000</v>
      </c>
      <c r="R5" s="69" t="s">
        <v>77</v>
      </c>
      <c r="S5" s="16"/>
      <c r="T5" s="1"/>
    </row>
    <row r="6" spans="1:20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20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20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20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20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20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20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20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20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20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20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287000000</v>
      </c>
      <c r="M34" s="52">
        <f t="shared" si="0"/>
        <v>287000000</v>
      </c>
      <c r="N34" s="52">
        <f t="shared" si="0"/>
        <v>0</v>
      </c>
      <c r="O34" s="40">
        <f t="shared" si="0"/>
        <v>42000000</v>
      </c>
      <c r="P34" s="40">
        <f t="shared" si="0"/>
        <v>0</v>
      </c>
      <c r="Q34" s="41">
        <f t="shared" si="0"/>
        <v>42000000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B1C9-CEED-408A-9BFE-306C56F0F38F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20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1ABB-AF6D-4B54-9B7A-0220DB2FE999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42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4574-F7E5-4FF0-998B-647A566ACB92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43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74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83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0C57-27DE-4901-8AA3-D1109F97C9A3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81</v>
      </c>
      <c r="E4" s="16"/>
      <c r="F4" s="16"/>
      <c r="G4" s="75">
        <v>45664</v>
      </c>
      <c r="H4" s="75">
        <v>45664</v>
      </c>
      <c r="I4" s="28"/>
      <c r="J4" s="28" t="s">
        <v>82</v>
      </c>
      <c r="K4" s="16">
        <v>2</v>
      </c>
      <c r="L4" s="40">
        <v>1200000</v>
      </c>
      <c r="M4" s="40">
        <v>1200000</v>
      </c>
      <c r="N4" s="50">
        <f>L4-M4</f>
        <v>0</v>
      </c>
      <c r="O4" s="39">
        <v>1200000</v>
      </c>
      <c r="P4" s="39">
        <v>0</v>
      </c>
      <c r="Q4" s="41">
        <f>O4-P4</f>
        <v>1200000</v>
      </c>
      <c r="R4" s="32" t="s">
        <v>84</v>
      </c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78" t="s">
        <v>4</v>
      </c>
      <c r="D34" s="79"/>
      <c r="E34" s="79"/>
      <c r="F34" s="79"/>
      <c r="G34" s="79"/>
      <c r="H34" s="79"/>
      <c r="I34" s="79"/>
      <c r="J34" s="27"/>
      <c r="K34" s="27"/>
      <c r="L34" s="52">
        <f t="shared" ref="L34:Q34" si="0">SUM(L4:L33)</f>
        <v>1200000</v>
      </c>
      <c r="M34" s="52">
        <f t="shared" si="0"/>
        <v>1200000</v>
      </c>
      <c r="N34" s="52">
        <f t="shared" si="0"/>
        <v>0</v>
      </c>
      <c r="O34" s="40">
        <f t="shared" si="0"/>
        <v>1200000</v>
      </c>
      <c r="P34" s="40">
        <f t="shared" si="0"/>
        <v>0</v>
      </c>
      <c r="Q34" s="41">
        <f t="shared" si="0"/>
        <v>1200000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Total</vt:lpstr>
      <vt:lpstr>1.지아이씨</vt:lpstr>
      <vt:lpstr>2.김포골드라인</vt:lpstr>
      <vt:lpstr>3.서울교통공사</vt:lpstr>
      <vt:lpstr>4.현대로템</vt:lpstr>
      <vt:lpstr>5.실리콘큐브</vt:lpstr>
      <vt:lpstr>6.무한테크(우진산전)</vt:lpstr>
      <vt:lpstr>7.다원시스</vt:lpstr>
      <vt:lpstr>8.티랩</vt:lpstr>
      <vt:lpstr>9.마루소프트</vt:lpstr>
      <vt:lpstr>10.신진금고</vt:lpstr>
      <vt:lpstr>11.인터모빌리티</vt:lpstr>
      <vt:lpstr>12.GMTECH</vt:lpstr>
      <vt:lpstr>13.아이디넷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성필 최</cp:lastModifiedBy>
  <dcterms:created xsi:type="dcterms:W3CDTF">2010-03-24T06:08:57Z</dcterms:created>
  <dcterms:modified xsi:type="dcterms:W3CDTF">2025-02-12T04:39:01Z</dcterms:modified>
</cp:coreProperties>
</file>
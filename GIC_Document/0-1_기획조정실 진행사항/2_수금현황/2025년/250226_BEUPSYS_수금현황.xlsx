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AEFF196E-E0D9-483C-BCEB-D8F3649D0D07}" xr6:coauthVersionLast="47" xr6:coauthVersionMax="47" xr10:uidLastSave="{00000000-0000-0000-0000-000000000000}"/>
  <bookViews>
    <workbookView xWindow="28680" yWindow="-120" windowWidth="29040" windowHeight="17640" activeTab="4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아이디넷" sheetId="3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4" l="1"/>
  <c r="H14" i="4" l="1"/>
  <c r="G14" i="4"/>
  <c r="F14" i="4"/>
  <c r="E14" i="4"/>
  <c r="D14" i="4"/>
  <c r="H15" i="4"/>
  <c r="H20" i="4" s="1"/>
  <c r="G15" i="4"/>
  <c r="F15" i="4"/>
  <c r="E15" i="4"/>
  <c r="D15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F20" i="4" s="1"/>
  <c r="N4" i="24"/>
  <c r="N4" i="25"/>
  <c r="P34" i="32"/>
  <c r="G6" i="4" s="1"/>
  <c r="M34" i="32"/>
  <c r="E6" i="4" s="1"/>
  <c r="E20" i="4" s="1"/>
  <c r="L34" i="32"/>
  <c r="D6" i="4" s="1"/>
  <c r="D20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N34" i="28" l="1"/>
  <c r="F9" i="4" s="1"/>
  <c r="Q34" i="24"/>
  <c r="H4" i="4" s="1"/>
  <c r="Q34" i="5" l="1"/>
  <c r="H3" i="4" s="1"/>
  <c r="G3" i="4"/>
  <c r="D3" i="4" l="1"/>
</calcChain>
</file>

<file path=xl/sharedStrings.xml><?xml version="1.0" encoding="utf-8"?>
<sst xmlns="http://schemas.openxmlformats.org/spreadsheetml/2006/main" count="354" uniqueCount="89">
  <si>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</si>
  <si>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</si>
  <si>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</si>
  <si>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</si>
  <si>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</si>
  <si>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</si>
  <si>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</si>
  <si>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</si>
  <si>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</si>
  <si>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</si>
  <si>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</si>
  <si>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</si>
  <si>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</si>
  <si>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</si>
  <si>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</si>
  <si>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</si>
  <si>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</si>
  <si>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</si>
  <si>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</si>
  <si>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</si>
  <si>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</si>
  <si>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</si>
  <si>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</si>
  <si>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</si>
  <si>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</si>
  <si>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</si>
  <si>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</si>
  <si>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</si>
  <si>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</si>
  <si>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</si>
  <si>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</si>
  <si>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</si>
  <si>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</si>
  <si>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</si>
  <si>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</si>
  <si>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</si>
  <si>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</si>
  <si>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</si>
  <si>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</si>
  <si>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</si>
  <si>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</si>
  <si>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</si>
  <si>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</si>
  <si>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</si>
  <si>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</si>
  <si>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</si>
  <si>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</si>
  <si>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</si>
  <si>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</si>
  <si>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</si>
  <si>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</si>
  <si>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</si>
  <si>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</si>
  <si>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</si>
  <si>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</si>
  <si>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</si>
  <si>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</si>
  <si>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</si>
  <si>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</si>
  <si>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</si>
  <si>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</si>
  <si>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</si>
  <si>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</si>
  <si>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</si>
  <si>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</si>
  <si>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</si>
  <si>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</si>
  <si>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</si>
  <si>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</si>
  <si>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</si>
  <si>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</si>
  <si>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</si>
  <si>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</si>
  <si>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</si>
  <si>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</si>
  <si>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</si>
  <si>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</si>
  <si>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</si>
  <si>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</si>
  <si>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</si>
  <si>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</si>
  <si>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</si>
  <si>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</si>
  <si>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</si>
  <si>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250206 전자세금계산서 발급</t>
    <phoneticPr fontId="1" type="noConversion"/>
  </si>
  <si>
    <t>서울교통공사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</si>
  <si>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250206 전자세금계산서 발급 / </t>
    </r>
    <r>
      <rPr>
        <b/>
        <sz val="11"/>
        <color rgb="FFFF0000"/>
        <rFont val="맑은 고딕"/>
        <family val="3"/>
        <charset val="129"/>
        <scheme val="minor"/>
      </rPr>
      <t>250225 입금 예정</t>
    </r>
    <phoneticPr fontId="1" type="noConversion"/>
  </si>
  <si>
    <t>HRCPO20250226-001</t>
    <phoneticPr fontId="1" type="noConversion"/>
  </si>
  <si>
    <t>EIDS 수리비 및 보수품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</si>
</sst>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zoomScaleNormal="100" workbookViewId="0"/>
  </sheetViews>
  <sheetFormatPr defaultRowHeight="16.5" x14ac:dyDescent="0.3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 x14ac:dyDescent="0.3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 x14ac:dyDescent="0.3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 x14ac:dyDescent="0.3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 x14ac:dyDescent="0.3">
      <c r="B5" s="2">
        <v>3</v>
      </c>
      <c r="C5" s="22" t="s">
        <v>85</v>
      </c>
      <c r="D5" s="63">
        <f>'3.서울교통공사'!L34</f>
        <v>0</v>
      </c>
      <c r="E5" s="63">
        <f>'3.서울교통공사'!M34</f>
        <v>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0</v>
      </c>
      <c r="I5" s="14"/>
    </row>
    <row r="6" spans="2:9" x14ac:dyDescent="0.3">
      <c r="B6" s="2">
        <v>4</v>
      </c>
      <c r="C6" s="22" t="s">
        <v>69</v>
      </c>
      <c r="D6" s="63">
        <f>'4.현대로템'!L34</f>
        <v>9983340</v>
      </c>
      <c r="E6" s="63">
        <f>'4.현대로템'!M34</f>
        <v>9983340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 x14ac:dyDescent="0.3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 x14ac:dyDescent="0.3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 x14ac:dyDescent="0.3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0</v>
      </c>
      <c r="H9" s="57">
        <f>'7.다원시스'!Q34</f>
        <v>42000000</v>
      </c>
      <c r="I9" s="74" t="s">
        <v>80</v>
      </c>
    </row>
    <row r="10" spans="2:9" s="13" customFormat="1" x14ac:dyDescent="0.3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 x14ac:dyDescent="0.3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 x14ac:dyDescent="0.3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 x14ac:dyDescent="0.3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 x14ac:dyDescent="0.3">
      <c r="B14" s="2">
        <v>12</v>
      </c>
      <c r="C14" s="22" t="s">
        <v>83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 x14ac:dyDescent="0.3">
      <c r="B15" s="2">
        <v>13</v>
      </c>
      <c r="C15" s="22" t="s">
        <v>81</v>
      </c>
      <c r="D15" s="63">
        <f>'13.아이디넷'!L34</f>
        <v>1200000</v>
      </c>
      <c r="E15" s="63">
        <f>'13.아이디넷'!M34</f>
        <v>1200000</v>
      </c>
      <c r="F15" s="61">
        <f>'13.아이디넷'!N34</f>
        <v>0</v>
      </c>
      <c r="G15" s="65">
        <f>'13.아이디넷'!P34</f>
        <v>0</v>
      </c>
      <c r="H15" s="44">
        <f>'13.아이디넷'!Q34</f>
        <v>1200000</v>
      </c>
      <c r="I15" s="32" t="s">
        <v>86</v>
      </c>
    </row>
    <row r="16" spans="2:9" x14ac:dyDescent="0.3">
      <c r="B16" s="2"/>
      <c r="C16" s="22"/>
      <c r="D16" s="63"/>
      <c r="E16" s="63"/>
      <c r="F16" s="61"/>
      <c r="G16" s="65"/>
      <c r="H16" s="44"/>
      <c r="I16" s="14"/>
    </row>
    <row r="17" spans="2:9" x14ac:dyDescent="0.3">
      <c r="B17" s="2"/>
      <c r="C17" s="22"/>
      <c r="D17" s="63"/>
      <c r="E17" s="63"/>
      <c r="F17" s="61"/>
      <c r="G17" s="65"/>
      <c r="H17" s="44"/>
      <c r="I17" s="14"/>
    </row>
    <row r="18" spans="2:9" x14ac:dyDescent="0.3">
      <c r="B18" s="2"/>
      <c r="C18" s="22"/>
      <c r="D18" s="63"/>
      <c r="E18" s="63"/>
      <c r="F18" s="61"/>
      <c r="G18" s="65"/>
      <c r="H18" s="44"/>
      <c r="I18" s="14"/>
    </row>
    <row r="19" spans="2:9" x14ac:dyDescent="0.3">
      <c r="B19" s="2"/>
      <c r="C19" s="22"/>
      <c r="D19" s="63"/>
      <c r="E19" s="63"/>
      <c r="F19" s="61"/>
      <c r="G19" s="65"/>
      <c r="H19" s="44"/>
      <c r="I19" s="14"/>
    </row>
    <row r="20" spans="2:9" s="12" customFormat="1" x14ac:dyDescent="0.3">
      <c r="B20" s="11"/>
      <c r="C20" s="24" t="s">
        <v>9</v>
      </c>
      <c r="D20" s="64">
        <f>SUM(D3:D19)</f>
        <v>693419015.69999993</v>
      </c>
      <c r="E20" s="64">
        <f>SUM(E3:E19)</f>
        <v>693419015.69999993</v>
      </c>
      <c r="F20" s="62">
        <f>SUM(F3:F19)</f>
        <v>0</v>
      </c>
      <c r="G20" s="66">
        <f>SUM(G3:G19)</f>
        <v>4813677</v>
      </c>
      <c r="H20" s="70">
        <f>SUM(H3:H19)</f>
        <v>43200000</v>
      </c>
      <c r="I20" s="14"/>
    </row>
    <row r="21" spans="2:9" s="12" customFormat="1" x14ac:dyDescent="0.3">
      <c r="B21" s="30"/>
      <c r="C21" s="31"/>
      <c r="D21" s="58"/>
      <c r="E21" s="58"/>
      <c r="F21" s="58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 x14ac:dyDescent="0.3">
      <c r="T1" s="43"/>
    </row>
    <row r="2" spans="2:20" x14ac:dyDescent="0.3">
      <c r="B2" s="6"/>
      <c r="C2" s="6"/>
    </row>
    <row r="3" spans="2:20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 x14ac:dyDescent="0.3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79</v>
      </c>
    </row>
    <row r="5" spans="2:20" s="18" customFormat="1" ht="33" x14ac:dyDescent="0.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 x14ac:dyDescent="0.3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 x14ac:dyDescent="0.3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 x14ac:dyDescent="0.3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 x14ac:dyDescent="0.3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 x14ac:dyDescent="0.3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 x14ac:dyDescent="0.3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 x14ac:dyDescent="0.3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 x14ac:dyDescent="0.3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 x14ac:dyDescent="0.3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 x14ac:dyDescent="0.3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 x14ac:dyDescent="0.3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 x14ac:dyDescent="0.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 x14ac:dyDescent="0.3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 x14ac:dyDescent="0.3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 x14ac:dyDescent="0.3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 x14ac:dyDescent="0.3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 x14ac:dyDescent="0.3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 x14ac:dyDescent="0.3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 x14ac:dyDescent="0.3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 x14ac:dyDescent="0.3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 x14ac:dyDescent="0.3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 x14ac:dyDescent="0.3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 x14ac:dyDescent="0.3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 x14ac:dyDescent="0.3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 x14ac:dyDescent="0.3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 x14ac:dyDescent="0.3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 x14ac:dyDescent="0.3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 x14ac:dyDescent="0.3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85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tabSelected="1"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ht="33" x14ac:dyDescent="0.3">
      <c r="B4" s="15">
        <v>1</v>
      </c>
      <c r="C4" s="15" t="s">
        <v>14</v>
      </c>
      <c r="D4" s="16" t="s">
        <v>69</v>
      </c>
      <c r="E4" s="16" t="s">
        <v>87</v>
      </c>
      <c r="F4" s="16"/>
      <c r="G4" s="75">
        <v>45714</v>
      </c>
      <c r="H4" s="77"/>
      <c r="I4" s="28"/>
      <c r="J4" s="28" t="s">
        <v>88</v>
      </c>
      <c r="K4" s="16"/>
      <c r="L4" s="40">
        <v>9983340</v>
      </c>
      <c r="M4" s="40">
        <v>9983340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80">
        <v>7573.5</v>
      </c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9983340</v>
      </c>
      <c r="M34" s="52">
        <f t="shared" si="0"/>
        <v>9983340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2.5" x14ac:dyDescent="0.3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78</v>
      </c>
      <c r="S4" s="48"/>
    </row>
    <row r="5" spans="1:20" s="18" customFormat="1" ht="66" x14ac:dyDescent="0.3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0</v>
      </c>
      <c r="Q5" s="41">
        <f>O5-P5</f>
        <v>42000000</v>
      </c>
      <c r="R5" s="69" t="s">
        <v>77</v>
      </c>
      <c r="S5" s="16"/>
      <c r="T5" s="1"/>
    </row>
    <row r="6" spans="1:20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83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x14ac:dyDescent="0.3">
      <c r="B4" s="15">
        <v>1</v>
      </c>
      <c r="C4" s="15" t="s">
        <v>14</v>
      </c>
      <c r="D4" s="16" t="s">
        <v>81</v>
      </c>
      <c r="E4" s="16"/>
      <c r="F4" s="16"/>
      <c r="G4" s="75">
        <v>45664</v>
      </c>
      <c r="H4" s="75">
        <v>45664</v>
      </c>
      <c r="I4" s="28"/>
      <c r="J4" s="28" t="s">
        <v>82</v>
      </c>
      <c r="K4" s="16">
        <v>2</v>
      </c>
      <c r="L4" s="40">
        <v>1200000</v>
      </c>
      <c r="M4" s="40">
        <v>1200000</v>
      </c>
      <c r="N4" s="50">
        <f>L4-M4</f>
        <v>0</v>
      </c>
      <c r="O4" s="39">
        <v>1200000</v>
      </c>
      <c r="P4" s="39">
        <v>0</v>
      </c>
      <c r="Q4" s="41">
        <f>O4-P4</f>
        <v>1200000</v>
      </c>
      <c r="R4" s="32" t="s">
        <v>84</v>
      </c>
      <c r="S4" s="48"/>
    </row>
    <row r="5" spans="1:19" s="18" customFormat="1" x14ac:dyDescent="0.3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 x14ac:dyDescent="0.3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 x14ac:dyDescent="0.3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 x14ac:dyDescent="0.3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 x14ac:dyDescent="0.3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 x14ac:dyDescent="0.3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 x14ac:dyDescent="0.3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 x14ac:dyDescent="0.3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 x14ac:dyDescent="0.3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 x14ac:dyDescent="0.3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 x14ac:dyDescent="0.3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 x14ac:dyDescent="0.3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 x14ac:dyDescent="0.3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 x14ac:dyDescent="0.3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 x14ac:dyDescent="0.3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 x14ac:dyDescent="0.3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 x14ac:dyDescent="0.3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 x14ac:dyDescent="0.3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 x14ac:dyDescent="0.3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 x14ac:dyDescent="0.3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 x14ac:dyDescent="0.3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 x14ac:dyDescent="0.3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 x14ac:dyDescent="0.3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 x14ac:dyDescent="0.3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 x14ac:dyDescent="0.3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 x14ac:dyDescent="0.3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 x14ac:dyDescent="0.3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 x14ac:dyDescent="0.3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 x14ac:dyDescent="0.3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 x14ac:dyDescent="0.3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2025-02-26T06:39:22Z</dcterms:modified>
</cp:coreProperties>
</file>
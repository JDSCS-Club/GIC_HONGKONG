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수주현황\"/>
    </mc:Choice>
  </mc:AlternateContent>
  <xr:revisionPtr revIDLastSave="0" documentId="13_ncr:1_{034A33B6-DBBD-4813-A9A7-ADE2D101B9D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22" r:id="rId1"/>
    <sheet name="Total" sheetId="4" r:id="rId2"/>
    <sheet name="1.지아이씨" sheetId="5" r:id="rId3"/>
    <sheet name="2.김포골드라인" sheetId="18" r:id="rId4"/>
    <sheet name="3.교통공사" sheetId="15" r:id="rId5"/>
    <sheet name="4.실리콘큐브" sheetId="13" r:id="rId6"/>
    <sheet name="5.무한테크 (우진산전)" sheetId="19" r:id="rId7"/>
    <sheet name="6.다원시스" sheetId="12" r:id="rId8"/>
    <sheet name="7.티랩" sheetId="14" r:id="rId9"/>
    <sheet name="8.마루소프트" sheetId="20" r:id="rId10"/>
    <sheet name="9.신진금고" sheetId="2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2" l="1"/>
  <c r="F48" i="22"/>
  <c r="F15" i="22"/>
  <c r="F16" i="22"/>
  <c r="F21" i="22"/>
  <c r="D4" i="22"/>
  <c r="F32" i="22" l="1"/>
  <c r="F31" i="22"/>
  <c r="F14" i="22"/>
  <c r="F28" i="22"/>
  <c r="C4" i="22"/>
  <c r="F12" i="22" s="1"/>
  <c r="F13" i="22" l="1"/>
  <c r="F45" i="22"/>
  <c r="F30" i="22"/>
  <c r="F29" i="22" s="1"/>
  <c r="F41" i="22" s="1"/>
  <c r="F24" i="22"/>
  <c r="F49" i="22" l="1"/>
  <c r="F47" i="22"/>
  <c r="F46" i="22"/>
  <c r="S9" i="4" l="1"/>
  <c r="R9" i="4"/>
  <c r="S8" i="4"/>
  <c r="R8" i="4"/>
  <c r="S7" i="4"/>
  <c r="R7" i="4"/>
  <c r="S6" i="4"/>
  <c r="R6" i="4"/>
  <c r="Q9" i="4"/>
  <c r="Q8" i="4"/>
  <c r="Q7" i="4"/>
  <c r="Q6" i="4"/>
  <c r="V26" i="12"/>
  <c r="U26" i="12"/>
  <c r="T26" i="12"/>
  <c r="V5" i="12"/>
  <c r="U5" i="12"/>
  <c r="V4" i="12"/>
  <c r="U4" i="12"/>
  <c r="W3" i="19"/>
  <c r="V3" i="19"/>
  <c r="U25" i="19"/>
  <c r="W25" i="19" s="1"/>
  <c r="V23" i="15"/>
  <c r="U23" i="15"/>
  <c r="T23" i="15"/>
  <c r="X26" i="13"/>
  <c r="W26" i="13"/>
  <c r="V26" i="13"/>
  <c r="X4" i="13"/>
  <c r="W4" i="13"/>
  <c r="V5" i="15"/>
  <c r="U5" i="15"/>
  <c r="W42" i="5"/>
  <c r="V42" i="5"/>
  <c r="W41" i="5"/>
  <c r="V41" i="5"/>
  <c r="W40" i="5"/>
  <c r="V40" i="5"/>
  <c r="W39" i="5"/>
  <c r="V39" i="5"/>
  <c r="W38" i="5"/>
  <c r="V38" i="5"/>
  <c r="W37" i="5"/>
  <c r="V37" i="5"/>
  <c r="W36" i="5"/>
  <c r="V36" i="5"/>
  <c r="W35" i="5"/>
  <c r="V35" i="5"/>
  <c r="W34" i="5"/>
  <c r="V34" i="5"/>
  <c r="W33" i="5"/>
  <c r="V33" i="5"/>
  <c r="W32" i="5"/>
  <c r="V32" i="5"/>
  <c r="W31" i="5"/>
  <c r="V31" i="5"/>
  <c r="W30" i="5"/>
  <c r="V30" i="5"/>
  <c r="W29" i="5"/>
  <c r="V29" i="5"/>
  <c r="W28" i="5"/>
  <c r="V28" i="5"/>
  <c r="W27" i="5"/>
  <c r="V27" i="5"/>
  <c r="W26" i="5"/>
  <c r="V26" i="5"/>
  <c r="W25" i="5"/>
  <c r="V25" i="5"/>
  <c r="W24" i="5"/>
  <c r="V24" i="5"/>
  <c r="W23" i="5"/>
  <c r="V23" i="5"/>
  <c r="W22" i="5"/>
  <c r="V22" i="5"/>
  <c r="W21" i="5"/>
  <c r="V21" i="5"/>
  <c r="W20" i="5"/>
  <c r="V20" i="5"/>
  <c r="W19" i="5"/>
  <c r="V19" i="5"/>
  <c r="W18" i="5"/>
  <c r="V18" i="5"/>
  <c r="W17" i="5"/>
  <c r="V17" i="5"/>
  <c r="W16" i="5"/>
  <c r="V16" i="5"/>
  <c r="W15" i="5"/>
  <c r="V15" i="5"/>
  <c r="W14" i="5"/>
  <c r="V14" i="5"/>
  <c r="W13" i="5"/>
  <c r="V13" i="5"/>
  <c r="W12" i="5"/>
  <c r="V12" i="5"/>
  <c r="W11" i="5"/>
  <c r="V11" i="5"/>
  <c r="W10" i="5"/>
  <c r="V10" i="5"/>
  <c r="W5" i="5"/>
  <c r="V5" i="5"/>
  <c r="W4" i="5"/>
  <c r="V4" i="5"/>
  <c r="U19" i="5"/>
  <c r="U18" i="5"/>
  <c r="U17" i="5"/>
  <c r="U16" i="5"/>
  <c r="U15" i="5"/>
  <c r="U14" i="5"/>
  <c r="U13" i="5"/>
  <c r="U12" i="5"/>
  <c r="U11" i="5"/>
  <c r="U49" i="5" s="1"/>
  <c r="W49" i="5" s="1"/>
  <c r="U10" i="5"/>
  <c r="W8" i="5"/>
  <c r="V8" i="5"/>
  <c r="W7" i="5"/>
  <c r="V7" i="5"/>
  <c r="W6" i="5"/>
  <c r="V6" i="5"/>
  <c r="U8" i="5"/>
  <c r="U7" i="5"/>
  <c r="U6" i="5"/>
  <c r="U5" i="5"/>
  <c r="U40" i="5"/>
  <c r="U38" i="5"/>
  <c r="U37" i="5"/>
  <c r="U31" i="5"/>
  <c r="U30" i="5"/>
  <c r="U29" i="5"/>
  <c r="U28" i="5"/>
  <c r="U27" i="5"/>
  <c r="U26" i="5"/>
  <c r="U25" i="5"/>
  <c r="U24" i="5"/>
  <c r="U23" i="5"/>
  <c r="U22" i="5"/>
  <c r="U21" i="5"/>
  <c r="U20" i="5"/>
  <c r="W9" i="5"/>
  <c r="R9" i="5"/>
  <c r="Q9" i="5"/>
  <c r="V9" i="5"/>
  <c r="L12" i="4"/>
  <c r="K12" i="4"/>
  <c r="J12" i="4"/>
  <c r="I12" i="4"/>
  <c r="L11" i="4"/>
  <c r="K11" i="4"/>
  <c r="J11" i="4"/>
  <c r="I11" i="4"/>
  <c r="R28" i="5"/>
  <c r="Q28" i="5"/>
  <c r="N31" i="5"/>
  <c r="P31" i="5" s="1"/>
  <c r="Q31" i="5" s="1"/>
  <c r="N30" i="5"/>
  <c r="P30" i="5" s="1"/>
  <c r="R30" i="5" s="1"/>
  <c r="N29" i="5"/>
  <c r="P29" i="5" s="1"/>
  <c r="R29" i="5" s="1"/>
  <c r="N28" i="5"/>
  <c r="P28" i="5" s="1"/>
  <c r="N27" i="5"/>
  <c r="P27" i="5" s="1"/>
  <c r="R27" i="5" s="1"/>
  <c r="N26" i="5"/>
  <c r="P26" i="5" s="1"/>
  <c r="R26" i="5" s="1"/>
  <c r="N25" i="5"/>
  <c r="P25" i="5" s="1"/>
  <c r="Q25" i="5" s="1"/>
  <c r="N24" i="5"/>
  <c r="P24" i="5" s="1"/>
  <c r="R24" i="5" s="1"/>
  <c r="N23" i="5"/>
  <c r="P23" i="5" s="1"/>
  <c r="R23" i="5" s="1"/>
  <c r="N22" i="5"/>
  <c r="P22" i="5" s="1"/>
  <c r="Q22" i="5" s="1"/>
  <c r="N21" i="5"/>
  <c r="P21" i="5" s="1"/>
  <c r="Q21" i="5" s="1"/>
  <c r="N19" i="5"/>
  <c r="P19" i="5" s="1"/>
  <c r="Q19" i="5" s="1"/>
  <c r="N18" i="5"/>
  <c r="P18" i="5" s="1"/>
  <c r="Q18" i="5" s="1"/>
  <c r="N17" i="5"/>
  <c r="P17" i="5" s="1"/>
  <c r="Q17" i="5" s="1"/>
  <c r="N16" i="5"/>
  <c r="P16" i="5" s="1"/>
  <c r="Q16" i="5" s="1"/>
  <c r="N15" i="5"/>
  <c r="P15" i="5" s="1"/>
  <c r="Q15" i="5" s="1"/>
  <c r="N14" i="5"/>
  <c r="P14" i="5" s="1"/>
  <c r="Q14" i="5" s="1"/>
  <c r="N13" i="5"/>
  <c r="P13" i="5" s="1"/>
  <c r="Q13" i="5" s="1"/>
  <c r="N12" i="5"/>
  <c r="P12" i="5" s="1"/>
  <c r="Q12" i="5" s="1"/>
  <c r="N11" i="5"/>
  <c r="P11" i="5" s="1"/>
  <c r="Q11" i="5" s="1"/>
  <c r="N8" i="5"/>
  <c r="P8" i="5" s="1"/>
  <c r="Q8" i="5" s="1"/>
  <c r="N7" i="5"/>
  <c r="P7" i="5" s="1"/>
  <c r="Q7" i="5" s="1"/>
  <c r="N6" i="5"/>
  <c r="P6" i="5" s="1"/>
  <c r="Q6" i="5" s="1"/>
  <c r="K23" i="15"/>
  <c r="M3" i="21"/>
  <c r="M25" i="21" s="1"/>
  <c r="F12" i="4" s="1"/>
  <c r="R25" i="21"/>
  <c r="Q25" i="21"/>
  <c r="P25" i="21"/>
  <c r="O25" i="21"/>
  <c r="N25" i="21"/>
  <c r="L25" i="21"/>
  <c r="E12" i="4" s="1"/>
  <c r="K25" i="21"/>
  <c r="M3" i="20"/>
  <c r="R25" i="20"/>
  <c r="Q25" i="20"/>
  <c r="P25" i="20"/>
  <c r="O25" i="20"/>
  <c r="N25" i="20"/>
  <c r="M25" i="20"/>
  <c r="F11" i="4" s="1"/>
  <c r="L25" i="20"/>
  <c r="E11" i="4" s="1"/>
  <c r="K25" i="20"/>
  <c r="M7" i="12"/>
  <c r="M6" i="12"/>
  <c r="Q4" i="4" l="1"/>
  <c r="V49" i="5"/>
  <c r="V25" i="19"/>
  <c r="R25" i="5"/>
  <c r="Q26" i="5"/>
  <c r="Q27" i="5"/>
  <c r="R21" i="5"/>
  <c r="R22" i="5"/>
  <c r="Q23" i="5"/>
  <c r="Q29" i="5"/>
  <c r="R31" i="5"/>
  <c r="Q24" i="5"/>
  <c r="Q30" i="5"/>
  <c r="O5" i="15"/>
  <c r="P5" i="15" s="1"/>
  <c r="E8" i="4"/>
  <c r="S25" i="19"/>
  <c r="R25" i="19"/>
  <c r="K8" i="4" s="1"/>
  <c r="Q25" i="19"/>
  <c r="J8" i="4" s="1"/>
  <c r="P25" i="19"/>
  <c r="I8" i="4" s="1"/>
  <c r="G8" i="4" s="1"/>
  <c r="N25" i="19"/>
  <c r="F8" i="4" s="1"/>
  <c r="M25" i="19"/>
  <c r="L25" i="19"/>
  <c r="O3" i="19"/>
  <c r="O25" i="19" s="1"/>
  <c r="F5" i="4"/>
  <c r="R23" i="18"/>
  <c r="Q23" i="18"/>
  <c r="P23" i="18"/>
  <c r="O23" i="18"/>
  <c r="L23" i="18"/>
  <c r="E5" i="4" s="1"/>
  <c r="M4" i="18"/>
  <c r="M23" i="18" s="1"/>
  <c r="M42" i="5"/>
  <c r="N42" i="5" s="1"/>
  <c r="P42" i="5" s="1"/>
  <c r="R42" i="5" s="1"/>
  <c r="M41" i="5"/>
  <c r="N41" i="5" s="1"/>
  <c r="P41" i="5" s="1"/>
  <c r="Q41" i="5" s="1"/>
  <c r="M40" i="5"/>
  <c r="N40" i="5" s="1"/>
  <c r="P40" i="5" s="1"/>
  <c r="Q40" i="5" s="1"/>
  <c r="M39" i="5"/>
  <c r="N39" i="5" s="1"/>
  <c r="P39" i="5" s="1"/>
  <c r="R39" i="5" s="1"/>
  <c r="M38" i="5"/>
  <c r="N38" i="5" s="1"/>
  <c r="P38" i="5" s="1"/>
  <c r="Q38" i="5" s="1"/>
  <c r="M37" i="5"/>
  <c r="N37" i="5" s="1"/>
  <c r="P37" i="5" s="1"/>
  <c r="Q37" i="5" s="1"/>
  <c r="M36" i="5"/>
  <c r="N36" i="5" s="1"/>
  <c r="P36" i="5" s="1"/>
  <c r="Q36" i="5" s="1"/>
  <c r="M35" i="5"/>
  <c r="N35" i="5" s="1"/>
  <c r="P35" i="5" s="1"/>
  <c r="Q35" i="5" s="1"/>
  <c r="M34" i="5"/>
  <c r="N34" i="5" s="1"/>
  <c r="P34" i="5" s="1"/>
  <c r="Q34" i="5" s="1"/>
  <c r="M33" i="5"/>
  <c r="N33" i="5" s="1"/>
  <c r="P33" i="5" s="1"/>
  <c r="Q33" i="5" s="1"/>
  <c r="M32" i="5"/>
  <c r="N32" i="5" s="1"/>
  <c r="P32" i="5" s="1"/>
  <c r="Q32" i="5" s="1"/>
  <c r="S4" i="4" l="1"/>
  <c r="R4" i="4"/>
  <c r="L8" i="4"/>
  <c r="M5" i="12"/>
  <c r="Q5" i="12" s="1"/>
  <c r="Q4" i="12"/>
  <c r="R23" i="15" l="1"/>
  <c r="Q23" i="15"/>
  <c r="K6" i="4" s="1"/>
  <c r="O23" i="15"/>
  <c r="I6" i="4" s="1"/>
  <c r="L23" i="15"/>
  <c r="E6" i="4" s="1"/>
  <c r="P23" i="15"/>
  <c r="J6" i="4" s="1"/>
  <c r="M4" i="15"/>
  <c r="M23" i="15" s="1"/>
  <c r="F6" i="4" s="1"/>
  <c r="N20" i="5"/>
  <c r="P20" i="5" s="1"/>
  <c r="R20" i="5" l="1"/>
  <c r="Q20" i="5"/>
  <c r="L6" i="4"/>
  <c r="N25" i="14"/>
  <c r="G10" i="4" s="1"/>
  <c r="R25" i="14"/>
  <c r="M10" i="4" s="1"/>
  <c r="Q25" i="14"/>
  <c r="K10" i="4" s="1"/>
  <c r="L25" i="14"/>
  <c r="E10" i="4" s="1"/>
  <c r="K25" i="14"/>
  <c r="M25" i="14"/>
  <c r="F10" i="4" s="1"/>
  <c r="G9" i="4"/>
  <c r="T26" i="13"/>
  <c r="N26" i="13"/>
  <c r="E7" i="4" s="1"/>
  <c r="M26" i="13"/>
  <c r="S26" i="13"/>
  <c r="O4" i="13"/>
  <c r="Q4" i="13" s="1"/>
  <c r="R26" i="12"/>
  <c r="M9" i="4" s="1"/>
  <c r="L26" i="12"/>
  <c r="E9" i="4" s="1"/>
  <c r="K26" i="12"/>
  <c r="Q26" i="12"/>
  <c r="K9" i="4" s="1"/>
  <c r="M4" i="12"/>
  <c r="N10" i="5"/>
  <c r="P10" i="5" s="1"/>
  <c r="Q10" i="5" s="1"/>
  <c r="N9" i="5"/>
  <c r="P9" i="5" s="1"/>
  <c r="N5" i="5"/>
  <c r="P5" i="5" s="1"/>
  <c r="Q5" i="5" s="1"/>
  <c r="M26" i="12" l="1"/>
  <c r="F9" i="4" s="1"/>
  <c r="O26" i="13"/>
  <c r="F7" i="4" s="1"/>
  <c r="Q26" i="13"/>
  <c r="I7" i="4" s="1"/>
  <c r="R4" i="13"/>
  <c r="G4" i="4"/>
  <c r="D4" i="4"/>
  <c r="N4" i="5"/>
  <c r="P4" i="5" s="1"/>
  <c r="Q4" i="5" s="1"/>
  <c r="R49" i="5"/>
  <c r="K4" i="4" s="1"/>
  <c r="O25" i="14" l="1"/>
  <c r="I10" i="4" s="1"/>
  <c r="L10" i="4" s="1"/>
  <c r="P25" i="14"/>
  <c r="J10" i="4" s="1"/>
  <c r="R26" i="13"/>
  <c r="J7" i="4" s="1"/>
  <c r="O26" i="12"/>
  <c r="I9" i="4" s="1"/>
  <c r="L9" i="4" s="1"/>
  <c r="P26" i="12"/>
  <c r="J9" i="4" s="1"/>
  <c r="K20" i="4"/>
  <c r="S49" i="5" l="1"/>
  <c r="M4" i="4" s="1"/>
  <c r="L49" i="5" l="1"/>
  <c r="M49" i="5" l="1"/>
  <c r="E4" i="4" s="1"/>
  <c r="N49" i="5" l="1"/>
  <c r="F4" i="4" s="1"/>
  <c r="P49" i="5" l="1"/>
  <c r="I4" i="4" s="1"/>
  <c r="L4" i="4" s="1"/>
  <c r="Q49" i="5" l="1"/>
  <c r="J4" i="4" s="1"/>
  <c r="J20" i="4" l="1"/>
  <c r="G20" i="4" l="1"/>
  <c r="F20" i="4" l="1"/>
  <c r="M20" i="4"/>
  <c r="I20" i="4" l="1"/>
  <c r="E20" i="4"/>
  <c r="N20" i="4" l="1"/>
  <c r="O20" i="4" l="1"/>
  <c r="L20" i="4" l="1"/>
</calcChain>
</file>

<file path=xl/sharedStrings.xml><?xml version="1.0" encoding="utf-8"?>
<sst xmlns="http://schemas.openxmlformats.org/spreadsheetml/2006/main" count="517" uniqueCount="224">
  <si>
    <t>순</t>
    <phoneticPr fontId="2" type="noConversion"/>
  </si>
  <si>
    <t>구분</t>
    <phoneticPr fontId="2" type="noConversion"/>
  </si>
  <si>
    <t>고객</t>
  </si>
  <si>
    <t>견적번호</t>
    <phoneticPr fontId="1" type="noConversion"/>
  </si>
  <si>
    <t>유효일</t>
    <phoneticPr fontId="1" type="noConversion"/>
  </si>
  <si>
    <t>비고</t>
    <phoneticPr fontId="1" type="noConversion"/>
  </si>
  <si>
    <t>견적금액(외화)</t>
    <phoneticPr fontId="1" type="noConversion"/>
  </si>
  <si>
    <t>견적금액(KRW)</t>
    <phoneticPr fontId="1" type="noConversion"/>
  </si>
  <si>
    <t>국가</t>
    <phoneticPr fontId="1" type="noConversion"/>
  </si>
  <si>
    <t>견적일</t>
    <phoneticPr fontId="1" type="noConversion"/>
  </si>
  <si>
    <t>AB 등급</t>
    <phoneticPr fontId="1" type="noConversion"/>
  </si>
  <si>
    <t>CD등급</t>
    <phoneticPr fontId="1" type="noConversion"/>
  </si>
  <si>
    <t>Sub-Amount</t>
    <phoneticPr fontId="1" type="noConversion"/>
  </si>
  <si>
    <t>순</t>
    <phoneticPr fontId="1" type="noConversion"/>
  </si>
  <si>
    <t>제작사원가</t>
    <phoneticPr fontId="1" type="noConversion"/>
  </si>
  <si>
    <t>매출손익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</si>
  <si>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</si>
  <si>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</si>
  <si>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</si>
  <si>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Total</t>
    <phoneticPr fontId="1" type="noConversion"/>
  </si>
  <si>
    <t>수주가</t>
    <phoneticPr fontId="1" type="noConversion"/>
  </si>
  <si>
    <t>손익율</t>
    <phoneticPr fontId="1" type="noConversion"/>
  </si>
  <si>
    <t>수주율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</si>
  <si>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</si>
  <si>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</si>
  <si>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</si>
  <si>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</si>
  <si>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</si>
  <si>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</si>
  <si>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</si>
  <si>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</si>
  <si>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</si>
  <si>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</si>
  <si>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</si>
  <si>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</si>
  <si>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</si>
  <si>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</si>
  <si>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</si>
  <si>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생산</t>
    <phoneticPr fontId="1" type="noConversion"/>
  </si>
  <si>
    <t>고객명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</si>
  <si>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</si>
  <si>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</si>
  <si>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</si>
  <si>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</si>
  <si>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CSP24-0524-2</t>
    <phoneticPr fontId="1" type="noConversion"/>
  </si>
  <si>
    <t>240726</t>
    <phoneticPr fontId="1" type="noConversion"/>
  </si>
  <si>
    <t>실리콘큐브</t>
    <phoneticPr fontId="1" type="noConversion"/>
  </si>
  <si>
    <t>MSR/PSR/MOP/CTM 수리</t>
    <phoneticPr fontId="1" type="noConversion"/>
  </si>
  <si>
    <t>뉴펄스진행</t>
    <phoneticPr fontId="1" type="noConversion"/>
  </si>
  <si>
    <t>다원시스</t>
    <phoneticPr fontId="1" type="noConversion"/>
  </si>
  <si>
    <t>240524</t>
    <phoneticPr fontId="1" type="noConversion"/>
  </si>
  <si>
    <t>티랩</t>
    <phoneticPr fontId="1" type="noConversion"/>
  </si>
  <si>
    <t>4호선 방송편집기 소프트웨어개발</t>
    <phoneticPr fontId="1" type="noConversion"/>
  </si>
  <si>
    <t>240827</t>
    <phoneticPr fontId="1" type="noConversion"/>
  </si>
  <si>
    <t>홍콩수리품</t>
    <phoneticPr fontId="1" type="noConversion"/>
  </si>
  <si>
    <t>교통공사</t>
    <phoneticPr fontId="1" type="noConversion"/>
  </si>
  <si>
    <t>7호선3차분 CSC교체품</t>
    <phoneticPr fontId="1" type="noConversion"/>
  </si>
  <si>
    <t>DWE-2024-JUN-11-001</t>
    <phoneticPr fontId="1" type="noConversion"/>
  </si>
  <si>
    <t>250331</t>
    <phoneticPr fontId="1" type="noConversion"/>
  </si>
  <si>
    <t>DWE-2024-AUG-29-001</t>
    <phoneticPr fontId="1" type="noConversion"/>
  </si>
  <si>
    <t>250630</t>
    <phoneticPr fontId="1" type="noConversion"/>
  </si>
  <si>
    <t>원가</t>
    <phoneticPr fontId="1" type="noConversion"/>
  </si>
  <si>
    <t>최수연</t>
    <phoneticPr fontId="1" type="noConversion"/>
  </si>
  <si>
    <t>2027년</t>
    <phoneticPr fontId="1" type="noConversion"/>
  </si>
  <si>
    <t>2026년</t>
    <phoneticPr fontId="1" type="noConversion"/>
  </si>
  <si>
    <t>2025년</t>
    <phoneticPr fontId="1" type="noConversion"/>
  </si>
  <si>
    <t>2024년</t>
    <phoneticPr fontId="1" type="noConversion"/>
  </si>
  <si>
    <t>장덕수</t>
    <phoneticPr fontId="1" type="noConversion"/>
  </si>
  <si>
    <t>2024년 진행방향</t>
    <phoneticPr fontId="1" type="noConversion"/>
  </si>
  <si>
    <t>지출</t>
    <phoneticPr fontId="1" type="noConversion"/>
  </si>
  <si>
    <t>김용종</t>
    <phoneticPr fontId="1" type="noConversion"/>
  </si>
  <si>
    <t>김대양</t>
    <phoneticPr fontId="1" type="noConversion"/>
  </si>
  <si>
    <t>이동진</t>
    <phoneticPr fontId="1" type="noConversion"/>
  </si>
  <si>
    <t>CSP24-0913-1</t>
    <phoneticPr fontId="1" type="noConversion"/>
  </si>
  <si>
    <t>250131</t>
    <phoneticPr fontId="1" type="noConversion"/>
  </si>
  <si>
    <t>CSP24-0923-1</t>
    <phoneticPr fontId="1" type="noConversion"/>
  </si>
  <si>
    <t>MSR PWR BOARD. FOR MSR.</t>
    <phoneticPr fontId="1" type="noConversion"/>
  </si>
  <si>
    <t>LCD CONTROL BOARD. FOR MOP.</t>
    <phoneticPr fontId="1" type="noConversion"/>
  </si>
  <si>
    <t>MAIN CONTROL BOARD. FOR MOP.</t>
    <phoneticPr fontId="1" type="noConversion"/>
  </si>
  <si>
    <t>POWER BOARD. FOR MOP.</t>
    <phoneticPr fontId="1" type="noConversion"/>
  </si>
  <si>
    <t>POWER BOARD. FOR CTM.</t>
    <phoneticPr fontId="1" type="noConversion"/>
  </si>
  <si>
    <t>MSR HUB BOARD. FOR MSR.</t>
    <phoneticPr fontId="1" type="noConversion"/>
  </si>
  <si>
    <t>MSR MTX BOARD. FOR MSR.</t>
    <phoneticPr fontId="1" type="noConversion"/>
  </si>
  <si>
    <t>MSR NVR BOARD. FOR MSR.</t>
    <phoneticPr fontId="1" type="noConversion"/>
  </si>
  <si>
    <t>MSR TCIU BOARD. FOR MSR.</t>
    <phoneticPr fontId="1" type="noConversion"/>
  </si>
  <si>
    <t>PSR HUB BOARD FOR PSR.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</si>
  <si>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</si>
  <si>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</si>
  <si>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</si>
  <si>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</si>
  <si>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</si>
  <si>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</si>
  <si>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</si>
  <si>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</si>
  <si>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</si>
  <si>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</si>
  <si>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</si>
  <si>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</si>
  <si>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</si>
  <si>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</si>
  <si>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5. 국내외 업체의 수주처를 발굴한다.</t>
    <phoneticPr fontId="1" type="noConversion"/>
  </si>
  <si>
    <t>1. TMS 및 PA/PIS의 기본모델을 개발/제작한다.</t>
    <phoneticPr fontId="1" type="noConversion"/>
  </si>
  <si>
    <t>2. 기존고객관리를 철저히한다.</t>
    <phoneticPr fontId="1" type="noConversion"/>
  </si>
  <si>
    <t xml:space="preserve"> 1). 지아이씨 수주를 최대로 해야 함.</t>
    <phoneticPr fontId="1" type="noConversion"/>
  </si>
  <si>
    <t xml:space="preserve"> 1). 교통공사 수주 목표로 한다.</t>
    <phoneticPr fontId="1" type="noConversion"/>
  </si>
  <si>
    <t xml:space="preserve"> 2). 김포골드라인 수주목표로 한다.</t>
    <phoneticPr fontId="1" type="noConversion"/>
  </si>
  <si>
    <t xml:space="preserve"> 2). 다원시스 수주가 원활히 이루어지도록 해야 함.</t>
    <phoneticPr fontId="1" type="noConversion"/>
  </si>
  <si>
    <t xml:space="preserve"> 3). 실리콘큐브와 티램의 수주가 되도록 영업활동을 해야 함.</t>
    <phoneticPr fontId="1" type="noConversion"/>
  </si>
  <si>
    <t xml:space="preserve"> 1). 홍콩의 제품을 기본모델로 하여 시제품을 만든다.</t>
    <phoneticPr fontId="1" type="noConversion"/>
  </si>
  <si>
    <t>김포골드라인</t>
    <phoneticPr fontId="1" type="noConversion"/>
  </si>
  <si>
    <t>241019</t>
    <phoneticPr fontId="1" type="noConversion"/>
  </si>
  <si>
    <t>김포골드라인 10량분</t>
    <phoneticPr fontId="1" type="noConversion"/>
  </si>
  <si>
    <t>무한테크</t>
    <phoneticPr fontId="1" type="noConversion"/>
  </si>
  <si>
    <t>241013</t>
    <phoneticPr fontId="1" type="noConversion"/>
  </si>
  <si>
    <t>인도네시아 MTX/MRX</t>
    <phoneticPr fontId="1" type="noConversion"/>
  </si>
  <si>
    <t>무한테크</t>
    <phoneticPr fontId="1" type="noConversion"/>
  </si>
  <si>
    <t>마루소프트</t>
    <phoneticPr fontId="1" type="noConversion"/>
  </si>
  <si>
    <t>241115</t>
    <phoneticPr fontId="1" type="noConversion"/>
  </si>
  <si>
    <t>7호선3차분CSC수리비</t>
    <phoneticPr fontId="1" type="noConversion"/>
  </si>
  <si>
    <t>7호선3차분TCMS개조관련외주용역</t>
    <phoneticPr fontId="1" type="noConversion"/>
  </si>
  <si>
    <t>고장분석기기고정용RACK시험기</t>
    <phoneticPr fontId="1" type="noConversion"/>
  </si>
  <si>
    <t>240921</t>
    <phoneticPr fontId="1" type="noConversion"/>
  </si>
  <si>
    <t>신진금고</t>
    <phoneticPr fontId="1" type="noConversion"/>
  </si>
  <si>
    <t>241122</t>
    <phoneticPr fontId="1" type="noConversion"/>
  </si>
  <si>
    <t>티렉디바이스(신진금고)_LCDDISPLAY</t>
    <phoneticPr fontId="1" type="noConversion"/>
  </si>
  <si>
    <t>인도네시아LRT_CTM_견적_240906</t>
    <phoneticPr fontId="1" type="noConversion"/>
  </si>
  <si>
    <t>241206</t>
    <phoneticPr fontId="1" type="noConversion"/>
  </si>
  <si>
    <t>4호선210량 소프트웨어 개선비</t>
    <phoneticPr fontId="1" type="noConversion"/>
  </si>
  <si>
    <t>241206</t>
    <phoneticPr fontId="1" type="noConversion"/>
  </si>
  <si>
    <t>51 / 41 / 41 / 21 / 21</t>
    <phoneticPr fontId="1" type="noConversion"/>
  </si>
  <si>
    <t>ok</t>
    <phoneticPr fontId="1" type="noConversion"/>
  </si>
  <si>
    <t>MOP 수리(17031, R1C001388)</t>
    <phoneticPr fontId="1" type="noConversion"/>
  </si>
  <si>
    <t>MOP 수리(19067, R1C001388)</t>
    <phoneticPr fontId="1" type="noConversion"/>
  </si>
  <si>
    <t>MSR  HUB 수리(16006, R1B002192)</t>
    <phoneticPr fontId="1" type="noConversion"/>
  </si>
  <si>
    <t>MSR  HUB 수리(19002, R1B002192)</t>
    <phoneticPr fontId="1" type="noConversion"/>
  </si>
  <si>
    <t>PAB, EID, PSR, ETND, EDD 생산</t>
    <phoneticPr fontId="1" type="noConversion"/>
  </si>
  <si>
    <t>MOP, MSR, CTM 생산</t>
    <phoneticPr fontId="1" type="noConversion"/>
  </si>
  <si>
    <t>51 / 51 / 51</t>
    <phoneticPr fontId="1" type="noConversion"/>
  </si>
  <si>
    <t>PSR-BPB</t>
    <phoneticPr fontId="1" type="noConversion"/>
  </si>
  <si>
    <t>PSR-HUB Board</t>
    <phoneticPr fontId="1" type="noConversion"/>
  </si>
  <si>
    <t>PSR-VOIP Board</t>
    <phoneticPr fontId="1" type="noConversion"/>
  </si>
  <si>
    <t>PSR-PA-AMP1 Board</t>
    <phoneticPr fontId="1" type="noConversion"/>
  </si>
  <si>
    <t>PSR-PA-AMP2 Board</t>
    <phoneticPr fontId="1" type="noConversion"/>
  </si>
  <si>
    <t>PAB-CONTROL Board</t>
    <phoneticPr fontId="1" type="noConversion"/>
  </si>
  <si>
    <t>EID-CONTROL Board</t>
    <phoneticPr fontId="1" type="noConversion"/>
  </si>
  <si>
    <t>EID-SENSOR Board</t>
    <phoneticPr fontId="1" type="noConversion"/>
  </si>
  <si>
    <t>EDD-CONTROL Board</t>
    <phoneticPr fontId="1" type="noConversion"/>
  </si>
  <si>
    <t>ETND-CONTROL Board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</si>
  <si>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</si>
  <si>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</si>
  <si>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</si>
  <si>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</si>
  <si>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</si>
  <si>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</si>
  <si>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</si>
  <si>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</si>
  <si>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</si>
  <si>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</si>
  <si>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</si>
  <si>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</si>
  <si>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</si>
  <si>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1. 계약 시 선금 70%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</si>
  <si>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</si>
  <si>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</si>
  <si>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241017 10개 전자세금계산서</t>
    <phoneticPr fontId="1" type="noConversion"/>
  </si>
  <si>
    <t>241017 2개 전자세금계산서</t>
    <phoneticPr fontId="1" type="noConversion"/>
  </si>
  <si>
    <t>240925 5개 전자세금계산서</t>
    <phoneticPr fontId="1" type="noConversion"/>
  </si>
  <si>
    <t>240925 3개 전자세금계산서</t>
    <phoneticPr fontId="1" type="noConversion"/>
  </si>
  <si>
    <t>240913 선금 70% 전자세금계산서</t>
    <phoneticPr fontId="1" type="noConversion"/>
  </si>
  <si>
    <t>24년 수주금액 입금 완료</t>
    <phoneticPr fontId="1" type="noConversion"/>
  </si>
  <si>
    <t>240411 전자세금계산서</t>
    <phoneticPr fontId="1" type="noConversion"/>
  </si>
  <si>
    <t>240411 선급금 126,925,100 KRW</t>
    <phoneticPr fontId="1" type="noConversion"/>
  </si>
  <si>
    <t>1. 계약시 30% (126,925,110 KRW)
2. 제작 후 검사 전 30%
3. 검사 합격 후 납품 시 30%
4. 고객으로부터 물품대금 수령 후 잔금 10%</t>
    <phoneticPr fontId="1" type="noConversion"/>
  </si>
  <si>
    <t>계약 종료 / 24년 수주금액 입금 완료</t>
    <phoneticPr fontId="1" type="noConversion"/>
  </si>
  <si>
    <t>240906 1차 중도금 29,011,454 KRW
(PSR &amp; EID 각 20EA)</t>
    <phoneticPr fontId="1" type="noConversion"/>
  </si>
  <si>
    <t>240925 2차 중도금 29,011,454 KRW
(PSR &amp; EID 각 20EA)</t>
    <phoneticPr fontId="1" type="noConversion"/>
  </si>
  <si>
    <t>241104 납품분 및  중도금 125,716,299 KRW
(품목 ???)</t>
    <phoneticPr fontId="1" type="noConversion"/>
  </si>
  <si>
    <t>240717 전자세금계산서</t>
    <phoneticPr fontId="1" type="noConversion"/>
  </si>
  <si>
    <t>240524 선급금 105,213,225 KRW 전자세금계산서</t>
    <phoneticPr fontId="1" type="noConversion"/>
  </si>
  <si>
    <t>240524 선급금 138,467,000 KRW 전자세금계산서</t>
    <phoneticPr fontId="1" type="noConversion"/>
  </si>
  <si>
    <t>240906 선급금 42,000,000 KRW 전자세금계산서</t>
    <phoneticPr fontId="1" type="noConversion"/>
  </si>
  <si>
    <t>240630 선급금 81,000,000 KRW 전자세금계산서</t>
    <phoneticPr fontId="1" type="noConversion"/>
  </si>
  <si>
    <t>241126 전자세금계산서</t>
    <phoneticPr fontId="1" type="noConversion"/>
  </si>
  <si>
    <t>입금 총액</t>
    <phoneticPr fontId="1" type="noConversion"/>
  </si>
  <si>
    <t>입금 비율(전체)</t>
    <phoneticPr fontId="1" type="noConversion"/>
  </si>
  <si>
    <t>PO 없음</t>
  </si>
  <si>
    <t>입금 비율(2024)</t>
    <phoneticPr fontId="1" type="noConversion"/>
  </si>
  <si>
    <t>Total 반영 전 / PO없음</t>
    <phoneticPr fontId="1" type="noConversion"/>
  </si>
  <si>
    <r>
      <rPr>
        <b/>
        <sz val="11"/>
        <color rgb="FF00B050"/>
        <rFont val="맑은 고딕"/>
        <family val="3"/>
        <charset val="129"/>
        <scheme val="minor"/>
      </rPr>
      <t xml:space="preserve">1. 선급금 30% (81,000,000 KRW)
2. 초도편성 검사완료 시(~240715) 30%
3. 초도 시운점검사 완료 시(~240915) 30%
</t>
    </r>
    <r>
      <rPr>
        <b/>
        <sz val="11"/>
        <color rgb="FF0070C0"/>
        <rFont val="맑은 고딕"/>
        <family val="3"/>
        <charset val="129"/>
        <scheme val="minor"/>
      </rPr>
      <t>4. 양산편성 완료 시(~250315) 10%</t>
    </r>
    <phoneticPr fontId="1" type="noConversion"/>
  </si>
  <si>
    <r>
      <rPr>
        <b/>
        <sz val="11"/>
        <color rgb="FF00B050"/>
        <rFont val="맑은 고딕"/>
        <family val="3"/>
        <charset val="129"/>
        <scheme val="minor"/>
      </rPr>
      <t>1. 선급금 30% (42,000,000 KRW)</t>
    </r>
    <r>
      <rPr>
        <b/>
        <sz val="11"/>
        <rFont val="맑은 고딕"/>
        <family val="3"/>
        <charset val="129"/>
        <scheme val="minor"/>
      </rPr>
      <t xml:space="preserve">
2. 1차 산출물 제출 후 실행팀 확인 서명 완료본 제출 시 30%
</t>
    </r>
    <r>
      <rPr>
        <b/>
        <sz val="11"/>
        <color rgb="FF0070C0"/>
        <rFont val="맑은 고딕"/>
        <family val="3"/>
        <charset val="129"/>
        <scheme val="minor"/>
      </rPr>
      <t>3. 발주처 승인 완료 시 40%</t>
    </r>
    <phoneticPr fontId="1" type="noConversion"/>
  </si>
  <si>
    <r>
      <t xml:space="preserve">1. 계약시 30% (105,213,225 KRW)
</t>
    </r>
    <r>
      <rPr>
        <b/>
        <sz val="11"/>
        <rFont val="맑은 고딕"/>
        <family val="3"/>
        <charset val="129"/>
        <scheme val="minor"/>
      </rPr>
      <t xml:space="preserve">2. 제작 후 검사 전 30%
3. 검사 합격 후 납품 시 30%
</t>
    </r>
    <r>
      <rPr>
        <b/>
        <sz val="11"/>
        <color rgb="FF0070C0"/>
        <rFont val="맑은 고딕"/>
        <family val="3"/>
        <charset val="129"/>
        <scheme val="minor"/>
      </rPr>
      <t>4. 고객으로부터 물품대금 수령 후 잔금 10%</t>
    </r>
    <phoneticPr fontId="1" type="noConversion"/>
  </si>
  <si>
    <t>…</t>
    <phoneticPr fontId="1" type="noConversion"/>
  </si>
  <si>
    <t>수주액</t>
    <phoneticPr fontId="1" type="noConversion"/>
  </si>
  <si>
    <t>-</t>
    <phoneticPr fontId="1" type="noConversion"/>
  </si>
  <si>
    <t>매출</t>
    <phoneticPr fontId="1" type="noConversion"/>
  </si>
  <si>
    <t>금액</t>
    <phoneticPr fontId="1" type="noConversion"/>
  </si>
  <si>
    <t>년도별 수주 실적(단위 : 억원)</t>
    <phoneticPr fontId="1" type="noConversion"/>
  </si>
  <si>
    <t>급여</t>
    <phoneticPr fontId="1" type="noConversion"/>
  </si>
  <si>
    <t>구분 상세</t>
    <phoneticPr fontId="1" type="noConversion"/>
  </si>
  <si>
    <t>강남궐</t>
    <phoneticPr fontId="1" type="noConversion"/>
  </si>
  <si>
    <t>계</t>
    <phoneticPr fontId="1" type="noConversion"/>
  </si>
  <si>
    <t>최순섭</t>
    <phoneticPr fontId="1" type="noConversion"/>
  </si>
  <si>
    <t>최성필</t>
    <phoneticPr fontId="1" type="noConversion"/>
  </si>
  <si>
    <t>홍성준</t>
    <phoneticPr fontId="1" type="noConversion"/>
  </si>
  <si>
    <t>개인별 근무기간 상이,
1년 근무 기준 금액으로
산정</t>
    <phoneticPr fontId="1" type="noConversion"/>
  </si>
  <si>
    <t>지출 합계</t>
    <phoneticPr fontId="1" type="noConversion"/>
  </si>
  <si>
    <t>경비</t>
    <phoneticPr fontId="1" type="noConversion"/>
  </si>
  <si>
    <t>1년 경비 1억원 가정</t>
    <phoneticPr fontId="1" type="noConversion"/>
  </si>
  <si>
    <t>손익</t>
    <phoneticPr fontId="1" type="noConversion"/>
  </si>
  <si>
    <t>매출 - 지출</t>
    <phoneticPr fontId="1" type="noConversion"/>
  </si>
  <si>
    <t>매출_완료</t>
    <phoneticPr fontId="1" type="noConversion"/>
  </si>
  <si>
    <t>매출_미수</t>
    <phoneticPr fontId="1" type="noConversion"/>
  </si>
  <si>
    <t>매출_선수</t>
    <phoneticPr fontId="1" type="noConversion"/>
  </si>
  <si>
    <r>
      <rPr>
        <b/>
        <sz val="11"/>
        <rFont val="맑은 고딕"/>
        <family val="3"/>
        <charset val="129"/>
        <scheme val="minor"/>
      </rPr>
      <t>1. 지아이씨 일부 제품 납품 미완료</t>
    </r>
    <r>
      <rPr>
        <b/>
        <sz val="11"/>
        <color rgb="FFFF0000"/>
        <rFont val="맑은 고딕"/>
        <family val="3"/>
        <charset val="129"/>
        <scheme val="minor"/>
      </rPr>
      <t xml:space="preserve">
2. 무한테크 진행사항 확인 필요(입금액 0원)</t>
    </r>
    <phoneticPr fontId="1" type="noConversion"/>
  </si>
  <si>
    <t>2024년 예상 손익(단위 : 억원)</t>
    <phoneticPr fontId="1" type="noConversion"/>
  </si>
  <si>
    <t>2025년 예상 손익(단위 : 억원)</t>
    <phoneticPr fontId="1" type="noConversion"/>
  </si>
  <si>
    <r>
      <t xml:space="preserve">2025년 </t>
    </r>
    <r>
      <rPr>
        <b/>
        <sz val="11"/>
        <color rgb="FFFF0000"/>
        <rFont val="맑은 고딕"/>
        <family val="3"/>
        <charset val="129"/>
        <scheme val="minor"/>
      </rPr>
      <t>누적</t>
    </r>
    <r>
      <rPr>
        <b/>
        <sz val="11"/>
        <color theme="1"/>
        <rFont val="맑은 고딕"/>
        <family val="3"/>
        <charset val="129"/>
        <scheme val="minor"/>
      </rPr>
      <t>예상 손익(단위 : 억원)</t>
    </r>
    <phoneticPr fontId="1" type="noConversion"/>
  </si>
  <si>
    <t>2024~2025년 예상 누적지출 급여</t>
    <phoneticPr fontId="1" type="noConversion"/>
  </si>
  <si>
    <t>2025년 경영 RISK</t>
    <phoneticPr fontId="1" type="noConversion"/>
  </si>
  <si>
    <t>1. 2024년 대비 수주 실적 악화 및 지출비용 증가가 예상되고 있어, 적자 전환의 우려가 있음</t>
    <phoneticPr fontId="1" type="noConversion"/>
  </si>
  <si>
    <t>수주 실적의 50% (가정)</t>
    <phoneticPr fontId="1" type="noConversion"/>
  </si>
  <si>
    <t>각 연도별 수주 실적의 50% (가정)</t>
    <phoneticPr fontId="1" type="noConversion"/>
  </si>
  <si>
    <t>3. 차입경영을 피하기 위해서는 최소 약 4억원 이상의 추가 수주가 필요할 것을로 판단됨</t>
    <phoneticPr fontId="1" type="noConversion"/>
  </si>
  <si>
    <t>2. 매출실적을 수주 실적의 50%로 가정 시, 2025년 추가 수주가 없다면 8개월 이후 차입경영으로 전환 예상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</si>
</sst>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#,##0_ "/>
    <numFmt numFmtId="177" formatCode="[$HKD]\ #,##0.00"/>
    <numFmt numFmtId="178" formatCode="yyyy&quot;년&quot;\ m&quot;월&quot;\ d&quot;일&quot;;@"/>
    <numFmt numFmtId="179" formatCode="#,##0_);[Red]\(#,##0\)"/>
    <numFmt numFmtId="180" formatCode="0.00_ "/>
    <numFmt numFmtId="181" formatCode="_-* #,##0.00_-;\-* #,##0.00_-;_-* &quot;-&quot;_-;_-@_-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2"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10" fontId="6" fillId="0" borderId="1" xfId="0" applyNumberFormat="1" applyFont="1" applyBorder="1">
      <alignment vertical="center"/>
    </xf>
    <xf numFmtId="3" fontId="0" fillId="0" borderId="2" xfId="0" applyNumberFormat="1" applyBorder="1">
      <alignment vertical="center"/>
    </xf>
    <xf numFmtId="3" fontId="6" fillId="0" borderId="2" xfId="0" applyNumberFormat="1" applyFont="1" applyBorder="1">
      <alignment vertical="center"/>
    </xf>
    <xf numFmtId="3" fontId="0" fillId="0" borderId="4" xfId="0" applyNumberFormat="1" applyBorder="1">
      <alignment vertical="center"/>
    </xf>
    <xf numFmtId="3" fontId="6" fillId="0" borderId="4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0" fillId="0" borderId="4" xfId="0" applyNumberFormat="1" applyBorder="1">
      <alignment vertical="center"/>
    </xf>
    <xf numFmtId="10" fontId="6" fillId="0" borderId="4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3" fontId="6" fillId="0" borderId="8" xfId="0" applyNumberFormat="1" applyFont="1" applyBorder="1">
      <alignment vertical="center"/>
    </xf>
    <xf numFmtId="10" fontId="6" fillId="0" borderId="8" xfId="0" applyNumberFormat="1" applyFont="1" applyBorder="1">
      <alignment vertical="center"/>
    </xf>
    <xf numFmtId="0" fontId="6" fillId="0" borderId="8" xfId="0" applyFont="1" applyBorder="1">
      <alignment vertical="center"/>
    </xf>
    <xf numFmtId="3" fontId="6" fillId="0" borderId="0" xfId="0" applyNumberFormat="1" applyFont="1">
      <alignment vertical="center"/>
    </xf>
    <xf numFmtId="0" fontId="6" fillId="0" borderId="9" xfId="0" applyFont="1" applyBorder="1" applyAlignment="1">
      <alignment horizontal="center" vertical="center"/>
    </xf>
    <xf numFmtId="3" fontId="0" fillId="0" borderId="9" xfId="0" applyNumberFormat="1" applyBorder="1">
      <alignment vertical="center"/>
    </xf>
    <xf numFmtId="3" fontId="6" fillId="0" borderId="9" xfId="0" applyNumberFormat="1" applyFont="1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0" fontId="13" fillId="0" borderId="0" xfId="0" applyFont="1">
      <alignment vertical="center"/>
    </xf>
    <xf numFmtId="3" fontId="8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NumberFormat="1" applyFont="1" applyBorder="1" applyAlignment="1">
      <alignment horizontal="center" vertical="center"/>
    </xf>
    <xf numFmtId="0" fontId="7" fillId="2" borderId="0" xfId="0" applyFont="1" applyFill="1">
      <alignment vertical="center"/>
    </xf>
    <xf numFmtId="0" fontId="7" fillId="3" borderId="0" xfId="0" applyFont="1" applyFill="1">
      <alignment vertical="center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0" fontId="7" fillId="4" borderId="0" xfId="0" applyFont="1" applyFill="1" applyAlignment="1">
      <alignment vertical="center" wrapText="1"/>
    </xf>
    <xf numFmtId="0" fontId="7" fillId="0" borderId="1" xfId="0" applyFont="1" applyBorder="1" applyAlignment="1">
      <alignment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9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0" fontId="8" fillId="0" borderId="1" xfId="1" applyNumberFormat="1" applyFont="1" applyBorder="1" applyAlignment="1">
      <alignment horizontal="center" vertical="center" wrapText="1"/>
    </xf>
    <xf numFmtId="10" fontId="8" fillId="3" borderId="1" xfId="1" applyNumberFormat="1" applyFont="1" applyFill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10" fontId="9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8" fillId="0" borderId="1" xfId="0" applyNumberFormat="1" applyFont="1" applyBorder="1" applyAlignment="1">
      <alignment horizontal="left" vertical="center" wrapText="1"/>
    </xf>
    <xf numFmtId="42" fontId="8" fillId="0" borderId="1" xfId="0" applyNumberFormat="1" applyFont="1" applyBorder="1" applyAlignment="1">
      <alignment vertical="center" wrapText="1"/>
    </xf>
    <xf numFmtId="9" fontId="8" fillId="0" borderId="1" xfId="1" applyNumberFormat="1" applyFont="1" applyBorder="1" applyAlignment="1">
      <alignment horizontal="center" vertical="center" wrapText="1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0" fillId="0" borderId="1" xfId="0" applyNumberFormat="1" applyBorder="1" applyAlignment="1">
      <alignment horizontal="center" vertical="center" wrapText="1"/>
    </xf>
    <xf numFmtId="10" fontId="6" fillId="0" borderId="0" xfId="0" applyNumberFormat="1" applyFont="1">
      <alignment vertical="center"/>
    </xf>
    <xf numFmtId="10" fontId="4" fillId="0" borderId="1" xfId="0" applyNumberFormat="1" applyFont="1" applyBorder="1">
      <alignment vertical="center"/>
    </xf>
    <xf numFmtId="10" fontId="8" fillId="4" borderId="1" xfId="1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Fill="1" applyBorder="1" applyAlignment="1">
      <alignment horizontal="center" vertical="center"/>
    </xf>
    <xf numFmtId="180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2" fontId="14" fillId="0" borderId="1" xfId="0" applyNumberFormat="1" applyFont="1" applyFill="1" applyBorder="1" applyAlignment="1">
      <alignment horizontal="center" vertical="center"/>
    </xf>
    <xf numFmtId="181" fontId="14" fillId="0" borderId="1" xfId="0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연간  경영실적  추이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수주 실적(억원)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Sheet1!$B$4:$B$7</c:f>
              <c:strCache>
                <c:ptCount val="4"/>
                <c:pt idx="0">
                  <c:v>2024년</c:v>
                </c:pt>
                <c:pt idx="1">
                  <c:v>2025년</c:v>
                </c:pt>
                <c:pt idx="2">
                  <c:v>2026년</c:v>
                </c:pt>
                <c:pt idx="3">
                  <c:v>2027년</c:v>
                </c:pt>
              </c:strCache>
            </c:strRef>
          </c:cat>
          <c:val>
            <c:numRef>
              <c:f>Sheet1!$C$4:$C$5</c:f>
              <c:numCache>
                <c:formatCode>#,##0.00</c:formatCode>
                <c:ptCount val="2"/>
                <c:pt idx="0">
                  <c:v>12.425749433000002</c:v>
                </c:pt>
                <c:pt idx="1">
                  <c:v>7.1584447569999989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3C-4DBC-8266-5DBB40965D80}"/>
            </c:ext>
          </c:extLst>
        </c:ser>
        <c:ser>
          <c:idx val="1"/>
          <c:order val="1"/>
          <c:tx>
            <c:v>매출 손익(50% 가정)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Sheet1!$B$4:$B$7</c:f>
              <c:strCache>
                <c:ptCount val="4"/>
                <c:pt idx="0">
                  <c:v>2024년</c:v>
                </c:pt>
                <c:pt idx="1">
                  <c:v>2025년</c:v>
                </c:pt>
                <c:pt idx="2">
                  <c:v>2026년</c:v>
                </c:pt>
                <c:pt idx="3">
                  <c:v>2027년</c:v>
                </c:pt>
              </c:strCache>
            </c:strRef>
          </c:cat>
          <c:val>
            <c:numRef>
              <c:f>(Sheet1!$F$12,Sheet1!$F$28)</c:f>
              <c:numCache>
                <c:formatCode>0.00</c:formatCode>
                <c:ptCount val="2"/>
                <c:pt idx="0">
                  <c:v>6.2128747165000009</c:v>
                </c:pt>
                <c:pt idx="1">
                  <c:v>3.5792223784999995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3C-4DBC-8266-5DBB40965D80}"/>
            </c:ext>
          </c:extLst>
        </c:ser>
        <c:ser>
          <c:idx val="2"/>
          <c:order val="2"/>
          <c:tx>
            <c:v>손익(매출-지출)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Sheet1!$B$4:$B$7</c:f>
              <c:strCache>
                <c:ptCount val="4"/>
                <c:pt idx="0">
                  <c:v>2024년</c:v>
                </c:pt>
                <c:pt idx="1">
                  <c:v>2025년</c:v>
                </c:pt>
                <c:pt idx="2">
                  <c:v>2026년</c:v>
                </c:pt>
                <c:pt idx="3">
                  <c:v>2027년</c:v>
                </c:pt>
              </c:strCache>
            </c:strRef>
          </c:cat>
          <c:val>
            <c:numRef>
              <c:f>(Sheet1!$F$24,Sheet1!$F$41)</c:f>
              <c:numCache>
                <c:formatCode>0.00_ </c:formatCode>
                <c:ptCount val="2"/>
                <c:pt idx="0">
                  <c:v>0.94987471650000099</c:v>
                </c:pt>
                <c:pt idx="1">
                  <c:v>-2.8767776215000009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3C-4DBC-8266-5DBB40965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9392880"/>
        <c:axId val="2080278592"/>
      </c:lineChart>
      <c:catAx>
        <c:axId val="136939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0278592"/>
        <c:crosses val="autoZero"/>
        <c:auto val="1"/>
        <c:lblAlgn val="ctr"/>
        <c:lblOffset val="100"/>
        <c:noMultiLvlLbl val="0"/>
      </c:catAx>
      <c:valAx>
        <c:axId val="20802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939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2</xdr:row>
      <xdr:rowOff>28575</xdr:rowOff>
    </xdr:from>
    <xdr:to>
      <xdr:col>17</xdr:col>
      <xdr:colOff>447675</xdr:colOff>
      <xdr:row>20</xdr:row>
      <xdr:rowOff>1905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789B2C0-7289-4D6F-9972-DF6A2DDAE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1022-E1A8-44C3-BE2C-9A07DC546340}">
  <dimension ref="B2:I49"/>
  <sheetViews>
    <sheetView tabSelected="1" workbookViewId="0"/>
  </sheetViews>
  <sheetFormatPr defaultRowHeight="16.5"/>
  <cols>
    <col min="2" max="2" width="10.125" customWidth="1"/>
    <col min="3" max="3" width="9.25" bestFit="1" customWidth="1"/>
    <col min="4" max="6" width="10" bestFit="1" customWidth="1"/>
    <col min="7" max="7" width="42" bestFit="1" customWidth="1"/>
  </cols>
  <sheetData>
    <row r="2" spans="2:7">
      <c r="B2" s="25" t="s">
        <v>196</v>
      </c>
      <c r="C2" s="25"/>
      <c r="D2" s="25"/>
    </row>
    <row r="3" spans="2:7">
      <c r="B3" s="22" t="s">
        <v>25</v>
      </c>
      <c r="C3" s="22" t="s">
        <v>192</v>
      </c>
      <c r="D3" s="22" t="s">
        <v>210</v>
      </c>
      <c r="E3" s="22" t="s">
        <v>211</v>
      </c>
      <c r="F3" s="22" t="s">
        <v>212</v>
      </c>
      <c r="G3" s="22" t="s">
        <v>5</v>
      </c>
    </row>
    <row r="4" spans="2:7" ht="33">
      <c r="B4" s="39" t="s">
        <v>66</v>
      </c>
      <c r="C4" s="123">
        <f>MAX(Total!J:J)/100000000</f>
        <v>12.425749433000002</v>
      </c>
      <c r="D4" s="137">
        <f>SUM(Total!Q:Q)/100000000</f>
        <v>10.005745503</v>
      </c>
      <c r="E4" s="137">
        <v>0</v>
      </c>
      <c r="F4" s="137">
        <v>0</v>
      </c>
      <c r="G4" s="135" t="s">
        <v>213</v>
      </c>
    </row>
    <row r="5" spans="2:7">
      <c r="B5" s="124" t="s">
        <v>65</v>
      </c>
      <c r="C5" s="125">
        <f>MAX(Total!K:K)/100000000</f>
        <v>7.1584447569999989</v>
      </c>
      <c r="D5" s="137">
        <v>0</v>
      </c>
      <c r="E5" s="137">
        <v>0</v>
      </c>
      <c r="F5" s="137">
        <v>0</v>
      </c>
      <c r="G5" s="22"/>
    </row>
    <row r="6" spans="2:7">
      <c r="B6" s="22" t="s">
        <v>64</v>
      </c>
      <c r="C6" s="22" t="s">
        <v>193</v>
      </c>
      <c r="D6" s="137">
        <v>0</v>
      </c>
      <c r="E6" s="137">
        <v>0</v>
      </c>
      <c r="F6" s="137">
        <v>0</v>
      </c>
      <c r="G6" s="22"/>
    </row>
    <row r="7" spans="2:7">
      <c r="B7" s="22" t="s">
        <v>63</v>
      </c>
      <c r="C7" s="22" t="s">
        <v>193</v>
      </c>
      <c r="D7" s="137">
        <v>0</v>
      </c>
      <c r="E7" s="137">
        <v>0</v>
      </c>
      <c r="F7" s="137">
        <v>0</v>
      </c>
      <c r="G7" s="22"/>
    </row>
    <row r="8" spans="2:7">
      <c r="B8" s="22" t="s">
        <v>191</v>
      </c>
      <c r="C8" s="22" t="s">
        <v>193</v>
      </c>
      <c r="D8" s="137">
        <v>0</v>
      </c>
      <c r="E8" s="137">
        <v>0</v>
      </c>
      <c r="F8" s="137">
        <v>0</v>
      </c>
      <c r="G8" s="22"/>
    </row>
    <row r="10" spans="2:7">
      <c r="B10" s="126" t="s">
        <v>214</v>
      </c>
      <c r="E10" s="25"/>
    </row>
    <row r="11" spans="2:7">
      <c r="C11" s="22" t="s">
        <v>25</v>
      </c>
      <c r="D11" s="145" t="s">
        <v>198</v>
      </c>
      <c r="E11" s="143"/>
      <c r="F11" s="22" t="s">
        <v>195</v>
      </c>
      <c r="G11" s="22" t="s">
        <v>5</v>
      </c>
    </row>
    <row r="12" spans="2:7">
      <c r="C12" s="127" t="s">
        <v>194</v>
      </c>
      <c r="D12" s="142" t="s">
        <v>15</v>
      </c>
      <c r="E12" s="143"/>
      <c r="F12" s="128">
        <f>C4*0.5</f>
        <v>6.2128747165000009</v>
      </c>
      <c r="G12" s="127" t="s">
        <v>220</v>
      </c>
    </row>
    <row r="13" spans="2:7">
      <c r="C13" s="146" t="s">
        <v>69</v>
      </c>
      <c r="D13" s="142" t="s">
        <v>205</v>
      </c>
      <c r="E13" s="143"/>
      <c r="F13" s="128">
        <f>SUM(F14,F23)</f>
        <v>5.2629999999999999</v>
      </c>
      <c r="G13" s="127"/>
    </row>
    <row r="14" spans="2:7">
      <c r="C14" s="141"/>
      <c r="D14" s="146" t="s">
        <v>197</v>
      </c>
      <c r="E14" s="127" t="s">
        <v>200</v>
      </c>
      <c r="F14" s="130">
        <f>SUM(F15:F22)</f>
        <v>4.2629999999999999</v>
      </c>
      <c r="G14" s="144" t="s">
        <v>204</v>
      </c>
    </row>
    <row r="15" spans="2:7">
      <c r="C15" s="141"/>
      <c r="D15" s="141"/>
      <c r="E15" s="129" t="s">
        <v>201</v>
      </c>
      <c r="F15" s="2">
        <f>0.01*12</f>
        <v>0.12</v>
      </c>
      <c r="G15" s="140"/>
    </row>
    <row r="16" spans="2:7">
      <c r="C16" s="141"/>
      <c r="D16" s="141"/>
      <c r="E16" s="129" t="s">
        <v>202</v>
      </c>
      <c r="F16" s="2">
        <f t="shared" ref="F16" si="0">0.01*12</f>
        <v>0.12</v>
      </c>
      <c r="G16" s="140"/>
    </row>
    <row r="17" spans="2:9">
      <c r="C17" s="141"/>
      <c r="D17" s="141"/>
      <c r="E17" s="129" t="s">
        <v>199</v>
      </c>
      <c r="F17" s="2">
        <v>0.9</v>
      </c>
      <c r="G17" s="140"/>
    </row>
    <row r="18" spans="2:9">
      <c r="C18" s="141"/>
      <c r="D18" s="141"/>
      <c r="E18" s="129" t="s">
        <v>67</v>
      </c>
      <c r="F18" s="2">
        <v>0.9</v>
      </c>
      <c r="G18" s="140"/>
    </row>
    <row r="19" spans="2:9">
      <c r="C19" s="141"/>
      <c r="D19" s="141"/>
      <c r="E19" s="129" t="s">
        <v>70</v>
      </c>
      <c r="F19" s="2">
        <v>0.9</v>
      </c>
      <c r="G19" s="140"/>
    </row>
    <row r="20" spans="2:9">
      <c r="C20" s="141"/>
      <c r="D20" s="141"/>
      <c r="E20" s="129" t="s">
        <v>62</v>
      </c>
      <c r="F20" s="2">
        <v>0.65</v>
      </c>
      <c r="G20" s="140"/>
    </row>
    <row r="21" spans="2:9">
      <c r="C21" s="141"/>
      <c r="D21" s="141"/>
      <c r="E21" s="129" t="s">
        <v>203</v>
      </c>
      <c r="F21" s="2">
        <f t="shared" ref="F21" si="1">0.01*12</f>
        <v>0.12</v>
      </c>
      <c r="G21" s="140"/>
    </row>
    <row r="22" spans="2:9">
      <c r="C22" s="141"/>
      <c r="D22" s="141"/>
      <c r="E22" s="129" t="s">
        <v>71</v>
      </c>
      <c r="F22" s="2">
        <v>0.55300000000000005</v>
      </c>
      <c r="G22" s="140"/>
      <c r="I22" s="25" t="s">
        <v>68</v>
      </c>
    </row>
    <row r="23" spans="2:9">
      <c r="C23" s="141"/>
      <c r="D23" s="140" t="s">
        <v>206</v>
      </c>
      <c r="E23" s="141"/>
      <c r="F23" s="127">
        <v>1</v>
      </c>
      <c r="G23" s="22" t="s">
        <v>207</v>
      </c>
      <c r="I23" s="85" t="s">
        <v>101</v>
      </c>
    </row>
    <row r="24" spans="2:9">
      <c r="C24" s="134" t="s">
        <v>208</v>
      </c>
      <c r="D24" s="140" t="s">
        <v>209</v>
      </c>
      <c r="E24" s="141"/>
      <c r="F24" s="131">
        <f>F12-F13</f>
        <v>0.94987471650000099</v>
      </c>
      <c r="G24" s="22"/>
      <c r="I24" s="85" t="s">
        <v>108</v>
      </c>
    </row>
    <row r="25" spans="2:9">
      <c r="I25" s="85" t="s">
        <v>102</v>
      </c>
    </row>
    <row r="26" spans="2:9">
      <c r="B26" s="126" t="s">
        <v>215</v>
      </c>
      <c r="E26" s="25"/>
      <c r="I26" t="s">
        <v>103</v>
      </c>
    </row>
    <row r="27" spans="2:9">
      <c r="C27" s="22" t="s">
        <v>25</v>
      </c>
      <c r="D27" s="145" t="s">
        <v>198</v>
      </c>
      <c r="E27" s="143"/>
      <c r="F27" s="22" t="s">
        <v>195</v>
      </c>
      <c r="G27" s="22" t="s">
        <v>5</v>
      </c>
      <c r="I27" t="s">
        <v>106</v>
      </c>
    </row>
    <row r="28" spans="2:9">
      <c r="C28" s="127" t="s">
        <v>194</v>
      </c>
      <c r="D28" s="142" t="s">
        <v>15</v>
      </c>
      <c r="E28" s="143"/>
      <c r="F28" s="128">
        <f>C5*0.5</f>
        <v>3.5792223784999995</v>
      </c>
      <c r="G28" s="127" t="s">
        <v>220</v>
      </c>
      <c r="I28" t="s">
        <v>107</v>
      </c>
    </row>
    <row r="29" spans="2:9">
      <c r="C29" s="146" t="s">
        <v>69</v>
      </c>
      <c r="D29" s="142" t="s">
        <v>205</v>
      </c>
      <c r="E29" s="143"/>
      <c r="F29" s="128">
        <f>SUM(F30,F40)</f>
        <v>6.4560000000000004</v>
      </c>
      <c r="G29" s="127"/>
      <c r="I29" t="s">
        <v>100</v>
      </c>
    </row>
    <row r="30" spans="2:9">
      <c r="C30" s="141"/>
      <c r="D30" s="146" t="s">
        <v>197</v>
      </c>
      <c r="E30" s="127" t="s">
        <v>200</v>
      </c>
      <c r="F30" s="130">
        <f>SUM(F31:F39)</f>
        <v>5.4560000000000004</v>
      </c>
      <c r="G30" s="144" t="s">
        <v>204</v>
      </c>
      <c r="I30" t="s">
        <v>104</v>
      </c>
    </row>
    <row r="31" spans="2:9">
      <c r="C31" s="141"/>
      <c r="D31" s="141"/>
      <c r="E31" s="129" t="s">
        <v>201</v>
      </c>
      <c r="F31" s="2">
        <f>0.01*12</f>
        <v>0.12</v>
      </c>
      <c r="G31" s="140"/>
      <c r="I31" t="s">
        <v>105</v>
      </c>
    </row>
    <row r="32" spans="2:9">
      <c r="C32" s="141"/>
      <c r="D32" s="141"/>
      <c r="E32" s="129" t="s">
        <v>202</v>
      </c>
      <c r="F32" s="2">
        <f t="shared" ref="F32" si="2">0.01*12</f>
        <v>0.12</v>
      </c>
      <c r="G32" s="140"/>
    </row>
    <row r="33" spans="2:9">
      <c r="C33" s="141"/>
      <c r="D33" s="141"/>
      <c r="E33" s="129" t="s">
        <v>199</v>
      </c>
      <c r="F33" s="2">
        <v>0.9</v>
      </c>
      <c r="G33" s="140"/>
      <c r="I33" s="138" t="s">
        <v>218</v>
      </c>
    </row>
    <row r="34" spans="2:9">
      <c r="C34" s="141"/>
      <c r="D34" s="141"/>
      <c r="E34" s="129" t="s">
        <v>67</v>
      </c>
      <c r="F34" s="2">
        <v>0.9</v>
      </c>
      <c r="G34" s="140"/>
      <c r="I34" s="139" t="s">
        <v>219</v>
      </c>
    </row>
    <row r="35" spans="2:9">
      <c r="C35" s="141"/>
      <c r="D35" s="141"/>
      <c r="E35" s="129" t="s">
        <v>70</v>
      </c>
      <c r="F35" s="2">
        <v>0.9</v>
      </c>
      <c r="G35" s="140"/>
      <c r="I35" s="139" t="s">
        <v>223</v>
      </c>
    </row>
    <row r="36" spans="2:9">
      <c r="C36" s="141"/>
      <c r="D36" s="141"/>
      <c r="E36" s="129" t="s">
        <v>72</v>
      </c>
      <c r="F36" s="2">
        <v>0.66300000000000003</v>
      </c>
      <c r="G36" s="140"/>
      <c r="I36" s="139" t="s">
        <v>222</v>
      </c>
    </row>
    <row r="37" spans="2:9">
      <c r="C37" s="141"/>
      <c r="D37" s="141"/>
      <c r="E37" s="129" t="s">
        <v>62</v>
      </c>
      <c r="F37" s="2">
        <v>0.65</v>
      </c>
      <c r="G37" s="140"/>
    </row>
    <row r="38" spans="2:9">
      <c r="C38" s="141"/>
      <c r="D38" s="141"/>
      <c r="E38" s="129" t="s">
        <v>203</v>
      </c>
      <c r="F38" s="2">
        <v>0.65</v>
      </c>
      <c r="G38" s="140"/>
    </row>
    <row r="39" spans="2:9">
      <c r="C39" s="141"/>
      <c r="D39" s="141"/>
      <c r="E39" s="129" t="s">
        <v>71</v>
      </c>
      <c r="F39" s="2">
        <v>0.55300000000000005</v>
      </c>
      <c r="G39" s="140"/>
    </row>
    <row r="40" spans="2:9">
      <c r="C40" s="141"/>
      <c r="D40" s="140" t="s">
        <v>206</v>
      </c>
      <c r="E40" s="141"/>
      <c r="F40" s="127">
        <v>1</v>
      </c>
      <c r="G40" s="22" t="s">
        <v>207</v>
      </c>
    </row>
    <row r="41" spans="2:9">
      <c r="C41" s="133" t="s">
        <v>208</v>
      </c>
      <c r="D41" s="140" t="s">
        <v>209</v>
      </c>
      <c r="E41" s="141"/>
      <c r="F41" s="132">
        <f>F28-F29</f>
        <v>-2.8767776215000009</v>
      </c>
      <c r="G41" s="22"/>
    </row>
    <row r="43" spans="2:9">
      <c r="B43" s="126" t="s">
        <v>216</v>
      </c>
      <c r="E43" s="25"/>
    </row>
    <row r="44" spans="2:9">
      <c r="C44" s="22" t="s">
        <v>25</v>
      </c>
      <c r="D44" s="145" t="s">
        <v>198</v>
      </c>
      <c r="E44" s="143"/>
      <c r="F44" s="22" t="s">
        <v>195</v>
      </c>
      <c r="G44" s="22" t="s">
        <v>5</v>
      </c>
    </row>
    <row r="45" spans="2:9">
      <c r="C45" s="127" t="s">
        <v>194</v>
      </c>
      <c r="D45" s="142" t="s">
        <v>15</v>
      </c>
      <c r="E45" s="143"/>
      <c r="F45" s="128">
        <f>SUM(F12,F28)</f>
        <v>9.7920970950000008</v>
      </c>
      <c r="G45" s="127" t="s">
        <v>221</v>
      </c>
    </row>
    <row r="46" spans="2:9">
      <c r="C46" s="146" t="s">
        <v>69</v>
      </c>
      <c r="D46" s="142" t="s">
        <v>205</v>
      </c>
      <c r="E46" s="143"/>
      <c r="F46" s="128">
        <f>SUM(F13,F29)</f>
        <v>11.719000000000001</v>
      </c>
      <c r="G46" s="127"/>
    </row>
    <row r="47" spans="2:9">
      <c r="C47" s="141"/>
      <c r="D47" s="142" t="s">
        <v>197</v>
      </c>
      <c r="E47" s="143"/>
      <c r="F47" s="128">
        <f>SUM(F14,F30)</f>
        <v>9.7190000000000012</v>
      </c>
      <c r="G47" s="47" t="s">
        <v>217</v>
      </c>
    </row>
    <row r="48" spans="2:9">
      <c r="C48" s="141"/>
      <c r="D48" s="140" t="s">
        <v>206</v>
      </c>
      <c r="E48" s="141"/>
      <c r="F48" s="128">
        <f>SUM(F23,F40)</f>
        <v>2</v>
      </c>
      <c r="G48" s="22" t="s">
        <v>207</v>
      </c>
    </row>
    <row r="49" spans="3:7">
      <c r="C49" s="133" t="s">
        <v>208</v>
      </c>
      <c r="D49" s="140" t="s">
        <v>209</v>
      </c>
      <c r="E49" s="141"/>
      <c r="F49" s="136">
        <f>SUM(F24,F41)</f>
        <v>-1.9269029049999999</v>
      </c>
      <c r="G49" s="22"/>
    </row>
  </sheetData>
  <mergeCells count="23">
    <mergeCell ref="D11:E11"/>
    <mergeCell ref="D12:E12"/>
    <mergeCell ref="D14:D22"/>
    <mergeCell ref="G14:G22"/>
    <mergeCell ref="D13:E13"/>
    <mergeCell ref="C46:C48"/>
    <mergeCell ref="D46:E46"/>
    <mergeCell ref="D48:E48"/>
    <mergeCell ref="D23:E23"/>
    <mergeCell ref="C13:C23"/>
    <mergeCell ref="D24:E24"/>
    <mergeCell ref="D27:E27"/>
    <mergeCell ref="D28:E28"/>
    <mergeCell ref="C29:C40"/>
    <mergeCell ref="D29:E29"/>
    <mergeCell ref="D30:D39"/>
    <mergeCell ref="D49:E49"/>
    <mergeCell ref="D47:E47"/>
    <mergeCell ref="G30:G39"/>
    <mergeCell ref="D40:E40"/>
    <mergeCell ref="D41:E41"/>
    <mergeCell ref="D44:E44"/>
    <mergeCell ref="D45:E4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1"/>
  <sheetViews>
    <sheetView topLeftCell="E1" workbookViewId="0">
      <selection activeCell="Q2" sqref="Q2"/>
    </sheetView>
  </sheetViews>
  <sheetFormatPr defaultRowHeight="16.5"/>
  <cols>
    <col min="1" max="1" width="4" customWidth="1"/>
    <col min="2" max="2" width="16.25" style="7" customWidth="1"/>
    <col min="3" max="3" width="5.25" style="1" bestFit="1" customWidth="1"/>
    <col min="4" max="4" width="15.25" style="52" bestFit="1" customWidth="1"/>
    <col min="5" max="6" width="16.25" bestFit="1" customWidth="1"/>
    <col min="7" max="7" width="15" bestFit="1" customWidth="1"/>
    <col min="8" max="8" width="1.25" customWidth="1"/>
    <col min="9" max="9" width="15" bestFit="1" customWidth="1"/>
    <col min="10" max="11" width="14.875" bestFit="1" customWidth="1"/>
    <col min="12" max="13" width="14.875" customWidth="1"/>
    <col min="14" max="14" width="15" bestFit="1" customWidth="1"/>
    <col min="15" max="15" width="13.75" customWidth="1"/>
    <col min="16" max="16" width="14.75" customWidth="1"/>
    <col min="17" max="17" width="14.625" style="115" bestFit="1" customWidth="1"/>
    <col min="18" max="18" width="15.875" style="118" bestFit="1" customWidth="1"/>
    <col min="19" max="19" width="16.125" style="118" bestFit="1" customWidth="1"/>
  </cols>
  <sheetData>
    <row r="2" spans="2:19">
      <c r="B2" s="46"/>
      <c r="C2" s="34"/>
      <c r="D2" s="48"/>
      <c r="E2" s="145" t="s">
        <v>16</v>
      </c>
      <c r="F2" s="147"/>
      <c r="G2" s="148"/>
      <c r="H2" s="25"/>
      <c r="I2" s="35" t="s">
        <v>20</v>
      </c>
      <c r="J2" s="45"/>
      <c r="K2" s="45"/>
      <c r="L2" s="45"/>
      <c r="M2" s="45"/>
      <c r="N2" s="45"/>
      <c r="O2" s="36"/>
      <c r="P2" s="25"/>
    </row>
    <row r="3" spans="2:19" s="1" customFormat="1">
      <c r="B3" s="47" t="s">
        <v>25</v>
      </c>
      <c r="C3" s="22" t="s">
        <v>13</v>
      </c>
      <c r="D3" s="47" t="s">
        <v>39</v>
      </c>
      <c r="E3" s="22" t="s">
        <v>19</v>
      </c>
      <c r="F3" s="22" t="s">
        <v>17</v>
      </c>
      <c r="G3" s="35" t="s">
        <v>18</v>
      </c>
      <c r="H3" s="75"/>
      <c r="I3" s="36" t="s">
        <v>24</v>
      </c>
      <c r="J3" s="36" t="s">
        <v>28</v>
      </c>
      <c r="K3" s="36" t="s">
        <v>30</v>
      </c>
      <c r="L3" s="36" t="s">
        <v>22</v>
      </c>
      <c r="M3" s="22" t="s">
        <v>14</v>
      </c>
      <c r="N3" s="22" t="s">
        <v>15</v>
      </c>
      <c r="O3" s="22" t="s">
        <v>21</v>
      </c>
      <c r="P3" s="22" t="s">
        <v>5</v>
      </c>
      <c r="Q3" s="100" t="s">
        <v>183</v>
      </c>
      <c r="R3" s="119" t="s">
        <v>184</v>
      </c>
      <c r="S3" s="119" t="s">
        <v>186</v>
      </c>
    </row>
    <row r="4" spans="2:19">
      <c r="B4" s="55" t="s">
        <v>38</v>
      </c>
      <c r="C4" s="2">
        <v>1</v>
      </c>
      <c r="D4" s="49" t="str">
        <f>'1.지아이씨'!D4</f>
        <v>지아이씨</v>
      </c>
      <c r="E4" s="21">
        <f>'1.지아이씨'!M49</f>
        <v>1488279419</v>
      </c>
      <c r="F4" s="21">
        <f>'1.지아이씨'!N49</f>
        <v>1488279419</v>
      </c>
      <c r="G4" s="30">
        <f>'1.지아이씨'!O49</f>
        <v>0</v>
      </c>
      <c r="H4" s="76"/>
      <c r="I4" s="32">
        <f>'1.지아이씨'!P49</f>
        <v>1488279419</v>
      </c>
      <c r="J4" s="32">
        <f>'1.지아이씨'!Q49</f>
        <v>1059434943.3000001</v>
      </c>
      <c r="K4" s="32">
        <f>'1.지아이씨'!R49</f>
        <v>428844475.69999993</v>
      </c>
      <c r="L4" s="37">
        <f>I4/E4</f>
        <v>1</v>
      </c>
      <c r="M4" s="21">
        <f>'1.지아이씨'!S49</f>
        <v>0</v>
      </c>
      <c r="N4" s="21"/>
      <c r="O4" s="28"/>
      <c r="P4" s="20"/>
      <c r="Q4" s="116">
        <f>MAX('1.지아이씨'!U:U)</f>
        <v>828834550.30000007</v>
      </c>
      <c r="R4" s="28">
        <f>$Q4/I4</f>
        <v>0.55690788955269432</v>
      </c>
      <c r="S4" s="28">
        <f>$Q4/J4</f>
        <v>0.78233642900081224</v>
      </c>
    </row>
    <row r="5" spans="2:19">
      <c r="B5" s="56"/>
      <c r="C5" s="2">
        <v>2</v>
      </c>
      <c r="D5" s="49" t="s">
        <v>109</v>
      </c>
      <c r="E5" s="21">
        <f>'2.김포골드라인'!L23</f>
        <v>957811200</v>
      </c>
      <c r="F5" s="21">
        <f>'2.김포골드라인'!M23</f>
        <v>957811200</v>
      </c>
      <c r="G5" s="30"/>
      <c r="H5" s="76"/>
      <c r="I5" s="32"/>
      <c r="J5" s="32"/>
      <c r="K5" s="32"/>
      <c r="L5" s="37"/>
      <c r="M5" s="21"/>
      <c r="N5" s="21"/>
      <c r="O5" s="28"/>
      <c r="P5" s="20"/>
      <c r="Q5" s="116"/>
      <c r="R5" s="28"/>
      <c r="S5" s="28"/>
    </row>
    <row r="6" spans="2:19">
      <c r="B6" s="56"/>
      <c r="C6" s="2">
        <v>3</v>
      </c>
      <c r="D6" s="49" t="s">
        <v>55</v>
      </c>
      <c r="E6" s="21">
        <f>'3.교통공사'!L23</f>
        <v>209154910</v>
      </c>
      <c r="F6" s="21">
        <f>'3.교통공사'!M23</f>
        <v>207254910</v>
      </c>
      <c r="G6" s="30"/>
      <c r="H6" s="76"/>
      <c r="I6" s="32">
        <f>'3.교통공사'!O23</f>
        <v>1900000</v>
      </c>
      <c r="J6" s="32">
        <f>'3.교통공사'!P23</f>
        <v>1900000</v>
      </c>
      <c r="K6" s="32">
        <f>'3.교통공사'!Q23</f>
        <v>0</v>
      </c>
      <c r="L6" s="37">
        <f>I6/E6</f>
        <v>9.0841759344784216E-3</v>
      </c>
      <c r="M6" s="21"/>
      <c r="N6" s="21"/>
      <c r="O6" s="28"/>
      <c r="P6" s="20"/>
      <c r="Q6" s="116">
        <f>MAX('3.교통공사'!T:T)</f>
        <v>1900000</v>
      </c>
      <c r="R6" s="28">
        <f t="shared" ref="R6:R9" si="0">$Q6/I6</f>
        <v>1</v>
      </c>
      <c r="S6" s="28">
        <f t="shared" ref="S6:S9" si="1">$Q6/J6</f>
        <v>1</v>
      </c>
    </row>
    <row r="7" spans="2:19">
      <c r="B7" s="56"/>
      <c r="C7" s="2">
        <v>4</v>
      </c>
      <c r="D7" s="49" t="s">
        <v>46</v>
      </c>
      <c r="E7" s="21">
        <f>'4.실리콘큐브'!N26</f>
        <v>46840000</v>
      </c>
      <c r="F7" s="21">
        <f>'4.실리콘큐브'!O26</f>
        <v>46840000</v>
      </c>
      <c r="G7" s="30"/>
      <c r="H7" s="76"/>
      <c r="I7" s="32">
        <f>'4.실리콘큐브'!Q26</f>
        <v>46840000</v>
      </c>
      <c r="J7" s="32">
        <f>'4.실리콘큐브'!R26</f>
        <v>46840000</v>
      </c>
      <c r="K7" s="32"/>
      <c r="L7" s="37"/>
      <c r="M7" s="21"/>
      <c r="N7" s="21"/>
      <c r="O7" s="28"/>
      <c r="P7" s="20"/>
      <c r="Q7" s="116">
        <f>MAX('4.실리콘큐브'!V:V)</f>
        <v>46840000</v>
      </c>
      <c r="R7" s="28">
        <f t="shared" si="0"/>
        <v>1</v>
      </c>
      <c r="S7" s="28">
        <f t="shared" si="1"/>
        <v>1</v>
      </c>
    </row>
    <row r="8" spans="2:19">
      <c r="B8" s="56"/>
      <c r="C8" s="2">
        <v>5</v>
      </c>
      <c r="D8" s="49" t="s">
        <v>115</v>
      </c>
      <c r="E8" s="21">
        <f>'5.무한테크 (우진산전)'!M3</f>
        <v>20350000</v>
      </c>
      <c r="F8" s="21">
        <f>'5.무한테크 (우진산전)'!N25</f>
        <v>0</v>
      </c>
      <c r="G8" s="30">
        <f>I8</f>
        <v>11400000</v>
      </c>
      <c r="H8" s="76"/>
      <c r="I8" s="32">
        <f>'5.무한테크 (우진산전)'!P25</f>
        <v>11400000</v>
      </c>
      <c r="J8" s="32">
        <f>'5.무한테크 (우진산전)'!Q25</f>
        <v>11400000</v>
      </c>
      <c r="K8" s="32">
        <f>'5.무한테크 (우진산전)'!R25</f>
        <v>0</v>
      </c>
      <c r="L8" s="37">
        <f>I8/E8</f>
        <v>0.56019656019656017</v>
      </c>
      <c r="M8" s="21"/>
      <c r="N8" s="21"/>
      <c r="O8" s="28"/>
      <c r="P8" s="20"/>
      <c r="Q8" s="116">
        <f>MAX('5.무한테크 (우진산전)'!U:U)</f>
        <v>0</v>
      </c>
      <c r="R8" s="28">
        <f t="shared" si="0"/>
        <v>0</v>
      </c>
      <c r="S8" s="121">
        <f t="shared" si="1"/>
        <v>0</v>
      </c>
    </row>
    <row r="9" spans="2:19">
      <c r="B9" s="56"/>
      <c r="C9" s="2">
        <v>6</v>
      </c>
      <c r="D9" s="49" t="s">
        <v>49</v>
      </c>
      <c r="E9" s="21">
        <f>'6.다원시스'!L26</f>
        <v>923145936</v>
      </c>
      <c r="F9" s="21">
        <f>'6.다원시스'!M26</f>
        <v>895178562</v>
      </c>
      <c r="G9" s="30">
        <f>'1.지아이씨'!O49</f>
        <v>0</v>
      </c>
      <c r="H9" s="76"/>
      <c r="I9" s="32">
        <f>'6.다원시스'!O26</f>
        <v>410000000</v>
      </c>
      <c r="J9" s="32">
        <f>'6.다원시스'!P26</f>
        <v>123000000</v>
      </c>
      <c r="K9" s="32">
        <f>'6.다원시스'!Q26</f>
        <v>287000000</v>
      </c>
      <c r="L9" s="37">
        <f>I9/E9</f>
        <v>0.44413346147255311</v>
      </c>
      <c r="M9" s="21">
        <f>'6.다원시스'!R26</f>
        <v>0</v>
      </c>
      <c r="N9" s="21"/>
      <c r="O9" s="28"/>
      <c r="P9" s="20"/>
      <c r="Q9" s="116">
        <f>MAX('6.다원시스'!T:T)</f>
        <v>123000000</v>
      </c>
      <c r="R9" s="28">
        <f t="shared" si="0"/>
        <v>0.3</v>
      </c>
      <c r="S9" s="28">
        <f t="shared" si="1"/>
        <v>1</v>
      </c>
    </row>
    <row r="10" spans="2:19" s="27" customFormat="1">
      <c r="B10" s="56"/>
      <c r="C10" s="2">
        <v>7</v>
      </c>
      <c r="D10" s="50" t="s">
        <v>51</v>
      </c>
      <c r="E10" s="21">
        <f>'7.티랩'!L25</f>
        <v>0</v>
      </c>
      <c r="F10" s="21">
        <f>'7.티랩'!M25</f>
        <v>0</v>
      </c>
      <c r="G10" s="30">
        <f>'7.티랩'!N25</f>
        <v>0</v>
      </c>
      <c r="H10" s="76"/>
      <c r="I10" s="32">
        <f>'7.티랩'!O25</f>
        <v>0</v>
      </c>
      <c r="J10" s="32">
        <f>'7.티랩'!P25</f>
        <v>0</v>
      </c>
      <c r="K10" s="32">
        <f>'7.티랩'!Q25</f>
        <v>0</v>
      </c>
      <c r="L10" s="37" t="e">
        <f>I10/E10</f>
        <v>#DIV/0!</v>
      </c>
      <c r="M10" s="21">
        <f>'7.티랩'!R25</f>
        <v>0</v>
      </c>
      <c r="N10" s="21"/>
      <c r="O10" s="28"/>
      <c r="P10" s="26"/>
      <c r="Q10" s="116"/>
      <c r="R10" s="28"/>
      <c r="S10" s="28"/>
    </row>
    <row r="11" spans="2:19" s="27" customFormat="1">
      <c r="B11" s="56"/>
      <c r="C11" s="2">
        <v>8</v>
      </c>
      <c r="D11" s="50" t="s">
        <v>116</v>
      </c>
      <c r="E11" s="21">
        <f>'8.마루소프트'!L25</f>
        <v>20350000</v>
      </c>
      <c r="F11" s="21">
        <f>'8.마루소프트'!M25</f>
        <v>20350000</v>
      </c>
      <c r="G11" s="30"/>
      <c r="H11" s="76"/>
      <c r="I11" s="32">
        <f>'8.마루소프트'!O25</f>
        <v>0</v>
      </c>
      <c r="J11" s="32">
        <f>'8.마루소프트'!P25</f>
        <v>0</v>
      </c>
      <c r="K11" s="32">
        <f>'8.마루소프트'!Q25</f>
        <v>0</v>
      </c>
      <c r="L11" s="37">
        <f>I11/E11</f>
        <v>0</v>
      </c>
      <c r="M11" s="21"/>
      <c r="N11" s="21"/>
      <c r="O11" s="28"/>
      <c r="P11" s="26"/>
      <c r="Q11" s="116"/>
      <c r="R11" s="28"/>
      <c r="S11" s="28"/>
    </row>
    <row r="12" spans="2:19">
      <c r="B12" s="56"/>
      <c r="C12" s="2">
        <v>9</v>
      </c>
      <c r="D12" s="49" t="s">
        <v>122</v>
      </c>
      <c r="E12" s="21">
        <f>'9.신진금고'!L25</f>
        <v>169299200</v>
      </c>
      <c r="F12" s="21">
        <f>'9.신진금고'!M25</f>
        <v>169299200</v>
      </c>
      <c r="G12" s="30"/>
      <c r="H12" s="76"/>
      <c r="I12" s="32">
        <f>'9.신진금고'!O25</f>
        <v>0</v>
      </c>
      <c r="J12" s="32">
        <f>'9.신진금고'!P25</f>
        <v>0</v>
      </c>
      <c r="K12" s="32">
        <f>'9.신진금고'!Q25</f>
        <v>0</v>
      </c>
      <c r="L12" s="37">
        <f>I12/E12</f>
        <v>0</v>
      </c>
      <c r="M12" s="21"/>
      <c r="N12" s="21"/>
      <c r="O12" s="28"/>
      <c r="P12" s="20"/>
      <c r="Q12" s="116"/>
      <c r="R12" s="28"/>
      <c r="S12" s="28"/>
    </row>
    <row r="13" spans="2:19">
      <c r="B13" s="56"/>
      <c r="C13" s="2"/>
      <c r="D13" s="49"/>
      <c r="E13" s="21"/>
      <c r="F13" s="21"/>
      <c r="G13" s="30"/>
      <c r="H13" s="76"/>
      <c r="I13" s="32"/>
      <c r="J13" s="32"/>
      <c r="K13" s="32"/>
      <c r="L13" s="37"/>
      <c r="M13" s="21"/>
      <c r="N13" s="21"/>
      <c r="O13" s="28"/>
      <c r="P13" s="20"/>
      <c r="Q13" s="116"/>
      <c r="R13" s="28"/>
      <c r="S13" s="28"/>
    </row>
    <row r="14" spans="2:19">
      <c r="B14" s="56"/>
      <c r="C14" s="2"/>
      <c r="D14" s="49"/>
      <c r="E14" s="21"/>
      <c r="F14" s="21"/>
      <c r="G14" s="30"/>
      <c r="H14" s="76"/>
      <c r="I14" s="32"/>
      <c r="J14" s="32"/>
      <c r="K14" s="32"/>
      <c r="L14" s="37"/>
      <c r="M14" s="21"/>
      <c r="N14" s="21"/>
      <c r="O14" s="28"/>
      <c r="P14" s="20"/>
      <c r="Q14" s="116"/>
      <c r="R14" s="28"/>
      <c r="S14" s="28"/>
    </row>
    <row r="15" spans="2:19">
      <c r="B15" s="56"/>
      <c r="C15" s="2"/>
      <c r="D15" s="49"/>
      <c r="E15" s="21"/>
      <c r="F15" s="21"/>
      <c r="G15" s="30"/>
      <c r="H15" s="76"/>
      <c r="I15" s="32"/>
      <c r="J15" s="32"/>
      <c r="K15" s="32"/>
      <c r="L15" s="37"/>
      <c r="M15" s="21"/>
      <c r="N15" s="21"/>
      <c r="O15" s="28"/>
      <c r="P15" s="20"/>
      <c r="Q15" s="116"/>
      <c r="R15" s="28"/>
      <c r="S15" s="28"/>
    </row>
    <row r="16" spans="2:19">
      <c r="B16" s="56"/>
      <c r="C16" s="2"/>
      <c r="D16" s="49"/>
      <c r="E16" s="21"/>
      <c r="F16" s="21"/>
      <c r="G16" s="30"/>
      <c r="H16" s="76"/>
      <c r="I16" s="32"/>
      <c r="J16" s="32"/>
      <c r="K16" s="32"/>
      <c r="L16" s="37"/>
      <c r="M16" s="21"/>
      <c r="N16" s="21"/>
      <c r="O16" s="28"/>
      <c r="P16" s="20"/>
      <c r="Q16" s="116"/>
      <c r="R16" s="28"/>
      <c r="S16" s="28"/>
    </row>
    <row r="17" spans="2:19">
      <c r="B17" s="56"/>
      <c r="C17" s="2"/>
      <c r="D17" s="49"/>
      <c r="E17" s="21"/>
      <c r="F17" s="21"/>
      <c r="G17" s="30"/>
      <c r="H17" s="76"/>
      <c r="I17" s="32"/>
      <c r="J17" s="32"/>
      <c r="K17" s="32"/>
      <c r="L17" s="37"/>
      <c r="M17" s="21"/>
      <c r="N17" s="21"/>
      <c r="O17" s="28"/>
      <c r="P17" s="20"/>
      <c r="Q17" s="116"/>
      <c r="R17" s="28"/>
      <c r="S17" s="28"/>
    </row>
    <row r="18" spans="2:19">
      <c r="B18" s="56"/>
      <c r="C18" s="2"/>
      <c r="D18" s="49"/>
      <c r="E18" s="21"/>
      <c r="F18" s="21"/>
      <c r="G18" s="30"/>
      <c r="H18" s="76"/>
      <c r="I18" s="32"/>
      <c r="J18" s="32"/>
      <c r="K18" s="32"/>
      <c r="L18" s="37"/>
      <c r="M18" s="21"/>
      <c r="N18" s="21"/>
      <c r="O18" s="28"/>
      <c r="P18" s="20"/>
      <c r="Q18" s="116"/>
      <c r="R18" s="28"/>
      <c r="S18" s="28"/>
    </row>
    <row r="19" spans="2:19">
      <c r="B19" s="56"/>
      <c r="C19" s="2"/>
      <c r="D19" s="49"/>
      <c r="E19" s="21"/>
      <c r="F19" s="21"/>
      <c r="G19" s="30"/>
      <c r="H19" s="76"/>
      <c r="I19" s="32"/>
      <c r="J19" s="32"/>
      <c r="K19" s="32"/>
      <c r="L19" s="37"/>
      <c r="M19" s="21"/>
      <c r="N19" s="21"/>
      <c r="O19" s="28"/>
      <c r="P19" s="20"/>
      <c r="Q19" s="116"/>
      <c r="R19" s="28"/>
      <c r="S19" s="28"/>
    </row>
    <row r="20" spans="2:19" s="25" customFormat="1">
      <c r="B20" s="47"/>
      <c r="C20" s="22"/>
      <c r="D20" s="51" t="s">
        <v>26</v>
      </c>
      <c r="E20" s="24">
        <f>SUM(E4:E12)</f>
        <v>3835230665</v>
      </c>
      <c r="F20" s="24">
        <f>SUM(F4:F12)</f>
        <v>3785013291</v>
      </c>
      <c r="G20" s="31">
        <f>SUM(G4:G12)</f>
        <v>11400000</v>
      </c>
      <c r="H20" s="77"/>
      <c r="I20" s="33">
        <f>SUM(I4:I12)</f>
        <v>1958419419</v>
      </c>
      <c r="J20" s="33">
        <f>SUM(J4:J12)</f>
        <v>1242574943.3000002</v>
      </c>
      <c r="K20" s="33">
        <f>SUM(K4:K11)</f>
        <v>715844475.69999993</v>
      </c>
      <c r="L20" s="38">
        <f t="shared" ref="L20" si="2">I20/E20</f>
        <v>0.5106392783287782</v>
      </c>
      <c r="M20" s="24">
        <f>SUM(M4:M12)</f>
        <v>0</v>
      </c>
      <c r="N20" s="24">
        <f>SUM(N4:N12)</f>
        <v>0</v>
      </c>
      <c r="O20" s="29">
        <f>N20/I20</f>
        <v>0</v>
      </c>
      <c r="P20" s="23"/>
      <c r="Q20" s="116"/>
      <c r="R20" s="28"/>
      <c r="S20" s="28"/>
    </row>
    <row r="21" spans="2:19" s="25" customFormat="1">
      <c r="B21" s="68"/>
      <c r="C21" s="69"/>
      <c r="D21" s="70"/>
      <c r="E21" s="71"/>
      <c r="F21" s="71"/>
      <c r="G21" s="71"/>
      <c r="H21" s="74"/>
      <c r="I21" s="71"/>
      <c r="J21" s="71"/>
      <c r="K21" s="71"/>
      <c r="L21" s="72"/>
      <c r="M21" s="71"/>
      <c r="N21" s="71"/>
      <c r="O21" s="72"/>
      <c r="P21" s="73"/>
      <c r="Q21" s="117"/>
      <c r="R21" s="120"/>
      <c r="S21" s="120"/>
    </row>
  </sheetData>
  <mergeCells count="1">
    <mergeCell ref="E2:G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50"/>
  <sheetViews>
    <sheetView zoomScale="85" zoomScaleNormal="85" workbookViewId="0">
      <pane xSplit="11" ySplit="3" topLeftCell="T4" activePane="bottomRight" state="frozen"/>
      <selection pane="topRight" activeCell="L1" sqref="L1"/>
      <selection pane="bottomLeft" activeCell="A4" sqref="A4"/>
      <selection pane="bottomRight" activeCell="U4" sqref="U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0.875" style="7" customWidth="1"/>
    <col min="6" max="6" width="14.875" style="7" bestFit="1" customWidth="1"/>
    <col min="7" max="7" width="9.25" style="1" customWidth="1"/>
    <col min="8" max="8" width="9.125" style="12" customWidth="1"/>
    <col min="9" max="9" width="5.875" style="12" bestFit="1" customWidth="1"/>
    <col min="10" max="10" width="33.25" style="7" customWidth="1"/>
    <col min="11" max="11" width="22.75" style="7" bestFit="1" customWidth="1"/>
    <col min="12" max="12" width="21.5" style="8" bestFit="1" customWidth="1"/>
    <col min="13" max="13" width="15.875" style="8" customWidth="1"/>
    <col min="14" max="16" width="16.125" style="8" customWidth="1"/>
    <col min="17" max="18" width="18.125" style="8" customWidth="1"/>
    <col min="19" max="19" width="16.125" style="8" customWidth="1"/>
    <col min="20" max="20" width="40.125" style="17" bestFit="1" customWidth="1"/>
    <col min="21" max="21" width="16.5" style="99" bestFit="1" customWidth="1"/>
    <col min="22" max="23" width="16.25" style="99" customWidth="1"/>
    <col min="24" max="24" width="44.25" bestFit="1" customWidth="1"/>
    <col min="25" max="26" width="36.625" bestFit="1" customWidth="1"/>
    <col min="27" max="27" width="33.875" bestFit="1" customWidth="1"/>
    <col min="28" max="28" width="11.875" bestFit="1" customWidth="1"/>
    <col min="29" max="32" width="11" bestFit="1" customWidth="1"/>
  </cols>
  <sheetData>
    <row r="2" spans="1:27">
      <c r="B2" s="6"/>
      <c r="C2" s="6"/>
    </row>
    <row r="3" spans="1:27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25</v>
      </c>
      <c r="K3" s="5" t="s">
        <v>33</v>
      </c>
      <c r="L3" s="9" t="s">
        <v>6</v>
      </c>
      <c r="M3" s="9" t="s">
        <v>7</v>
      </c>
      <c r="N3" s="9" t="s">
        <v>10</v>
      </c>
      <c r="O3" s="9" t="s">
        <v>11</v>
      </c>
      <c r="P3" s="9" t="s">
        <v>23</v>
      </c>
      <c r="Q3" s="9" t="s">
        <v>27</v>
      </c>
      <c r="R3" s="9" t="s">
        <v>29</v>
      </c>
      <c r="S3" s="9" t="s">
        <v>61</v>
      </c>
      <c r="T3" s="9" t="s">
        <v>5</v>
      </c>
      <c r="U3" s="100" t="s">
        <v>183</v>
      </c>
      <c r="V3" s="100" t="s">
        <v>184</v>
      </c>
      <c r="W3" s="100" t="s">
        <v>186</v>
      </c>
    </row>
    <row r="4" spans="1:27" s="1" customFormat="1" ht="66">
      <c r="A4" s="1" t="s">
        <v>130</v>
      </c>
      <c r="B4" s="39">
        <v>1</v>
      </c>
      <c r="C4" s="39" t="s">
        <v>34</v>
      </c>
      <c r="D4" s="40" t="s">
        <v>35</v>
      </c>
      <c r="E4" s="40" t="s">
        <v>36</v>
      </c>
      <c r="F4" s="40"/>
      <c r="G4" s="39">
        <v>240409</v>
      </c>
      <c r="H4" s="58" t="s">
        <v>37</v>
      </c>
      <c r="I4" s="58"/>
      <c r="J4" s="58" t="s">
        <v>135</v>
      </c>
      <c r="K4" s="40" t="s">
        <v>129</v>
      </c>
      <c r="L4" s="59"/>
      <c r="M4" s="41">
        <v>423083700</v>
      </c>
      <c r="N4" s="41">
        <f t="shared" ref="N4:N32" si="0">M4</f>
        <v>423083700</v>
      </c>
      <c r="O4" s="41"/>
      <c r="P4" s="41">
        <f t="shared" ref="P4:P33" si="1">N4</f>
        <v>423083700</v>
      </c>
      <c r="Q4" s="41">
        <f>P4</f>
        <v>423083700</v>
      </c>
      <c r="R4" s="41"/>
      <c r="S4" s="41"/>
      <c r="T4" s="96" t="s">
        <v>172</v>
      </c>
      <c r="U4" s="101">
        <v>310664307</v>
      </c>
      <c r="V4" s="104">
        <f>$U4/P4</f>
        <v>0.73428569098738616</v>
      </c>
      <c r="W4" s="105">
        <f>$U4/Q4</f>
        <v>0.73428569098738616</v>
      </c>
      <c r="X4" s="97" t="s">
        <v>176</v>
      </c>
      <c r="Y4" s="97" t="s">
        <v>175</v>
      </c>
      <c r="Z4" s="97" t="s">
        <v>174</v>
      </c>
      <c r="AA4" s="93" t="s">
        <v>171</v>
      </c>
    </row>
    <row r="5" spans="1:27" s="42" customFormat="1">
      <c r="A5" s="1" t="s">
        <v>130</v>
      </c>
      <c r="B5" s="39">
        <v>2</v>
      </c>
      <c r="C5" s="39" t="s">
        <v>34</v>
      </c>
      <c r="D5" s="40" t="s">
        <v>35</v>
      </c>
      <c r="E5" s="40" t="s">
        <v>40</v>
      </c>
      <c r="F5" s="40"/>
      <c r="G5" s="39">
        <v>240409</v>
      </c>
      <c r="H5" s="58" t="s">
        <v>41</v>
      </c>
      <c r="I5" s="58" t="s">
        <v>87</v>
      </c>
      <c r="J5" s="40" t="s">
        <v>131</v>
      </c>
      <c r="K5" s="40">
        <v>1</v>
      </c>
      <c r="L5" s="59"/>
      <c r="M5" s="41">
        <v>270000</v>
      </c>
      <c r="N5" s="41">
        <f t="shared" si="0"/>
        <v>270000</v>
      </c>
      <c r="O5" s="41"/>
      <c r="P5" s="41">
        <f t="shared" si="1"/>
        <v>270000</v>
      </c>
      <c r="Q5" s="41">
        <f>P5</f>
        <v>270000</v>
      </c>
      <c r="R5" s="60"/>
      <c r="S5" s="41"/>
      <c r="T5" s="40"/>
      <c r="U5" s="101">
        <f>P5</f>
        <v>270000</v>
      </c>
      <c r="V5" s="104">
        <f>$U5/P5</f>
        <v>1</v>
      </c>
      <c r="W5" s="104">
        <f>$U5/Q5</f>
        <v>1</v>
      </c>
      <c r="X5" s="92" t="s">
        <v>173</v>
      </c>
      <c r="Y5" s="92" t="s">
        <v>170</v>
      </c>
    </row>
    <row r="6" spans="1:27" s="42" customFormat="1">
      <c r="B6" s="39"/>
      <c r="C6" s="39"/>
      <c r="D6" s="40"/>
      <c r="E6" s="40"/>
      <c r="F6" s="40"/>
      <c r="G6" s="39"/>
      <c r="H6" s="58" t="s">
        <v>41</v>
      </c>
      <c r="I6" s="58" t="s">
        <v>88</v>
      </c>
      <c r="J6" s="40" t="s">
        <v>132</v>
      </c>
      <c r="K6" s="40">
        <v>1</v>
      </c>
      <c r="L6" s="59"/>
      <c r="M6" s="41">
        <v>900000</v>
      </c>
      <c r="N6" s="41">
        <f t="shared" si="0"/>
        <v>900000</v>
      </c>
      <c r="O6" s="41"/>
      <c r="P6" s="41">
        <f t="shared" ref="P6:P8" si="2">N6</f>
        <v>900000</v>
      </c>
      <c r="Q6" s="41">
        <f t="shared" ref="Q6:Q8" si="3">P6</f>
        <v>900000</v>
      </c>
      <c r="R6" s="60"/>
      <c r="S6" s="41"/>
      <c r="T6" s="40"/>
      <c r="U6" s="101">
        <f t="shared" ref="U6:U8" si="4">P6</f>
        <v>900000</v>
      </c>
      <c r="V6" s="104">
        <f t="shared" ref="V6:V8" si="5">U6/$P6</f>
        <v>1</v>
      </c>
      <c r="W6" s="104">
        <f t="shared" ref="W6:W8" si="6">U6/$Q6</f>
        <v>1</v>
      </c>
    </row>
    <row r="7" spans="1:27" s="42" customFormat="1">
      <c r="B7" s="39"/>
      <c r="C7" s="39"/>
      <c r="D7" s="40"/>
      <c r="E7" s="40"/>
      <c r="F7" s="40"/>
      <c r="G7" s="39"/>
      <c r="H7" s="58" t="s">
        <v>41</v>
      </c>
      <c r="I7" s="58" t="s">
        <v>89</v>
      </c>
      <c r="J7" s="40" t="s">
        <v>133</v>
      </c>
      <c r="K7" s="40">
        <v>1</v>
      </c>
      <c r="L7" s="59"/>
      <c r="M7" s="41">
        <v>1386000</v>
      </c>
      <c r="N7" s="41">
        <f t="shared" si="0"/>
        <v>1386000</v>
      </c>
      <c r="O7" s="41"/>
      <c r="P7" s="41">
        <f t="shared" si="2"/>
        <v>1386000</v>
      </c>
      <c r="Q7" s="41">
        <f t="shared" si="3"/>
        <v>1386000</v>
      </c>
      <c r="R7" s="60"/>
      <c r="S7" s="41"/>
      <c r="T7" s="40"/>
      <c r="U7" s="101">
        <f t="shared" si="4"/>
        <v>1386000</v>
      </c>
      <c r="V7" s="104">
        <f t="shared" si="5"/>
        <v>1</v>
      </c>
      <c r="W7" s="104">
        <f t="shared" si="6"/>
        <v>1</v>
      </c>
    </row>
    <row r="8" spans="1:27" s="42" customFormat="1">
      <c r="B8" s="39"/>
      <c r="C8" s="39"/>
      <c r="D8" s="40"/>
      <c r="E8" s="40"/>
      <c r="F8" s="40"/>
      <c r="G8" s="39"/>
      <c r="H8" s="58" t="s">
        <v>41</v>
      </c>
      <c r="I8" s="58" t="s">
        <v>90</v>
      </c>
      <c r="J8" s="40" t="s">
        <v>134</v>
      </c>
      <c r="K8" s="40">
        <v>1</v>
      </c>
      <c r="L8" s="59"/>
      <c r="M8" s="41">
        <v>1386000</v>
      </c>
      <c r="N8" s="41">
        <f t="shared" si="0"/>
        <v>1386000</v>
      </c>
      <c r="O8" s="41"/>
      <c r="P8" s="41">
        <f t="shared" si="2"/>
        <v>1386000</v>
      </c>
      <c r="Q8" s="41">
        <f t="shared" si="3"/>
        <v>1386000</v>
      </c>
      <c r="R8" s="60"/>
      <c r="S8" s="41"/>
      <c r="T8" s="40"/>
      <c r="U8" s="101">
        <f t="shared" si="4"/>
        <v>1386000</v>
      </c>
      <c r="V8" s="104">
        <f t="shared" si="5"/>
        <v>1</v>
      </c>
      <c r="W8" s="104">
        <f t="shared" si="6"/>
        <v>1</v>
      </c>
    </row>
    <row r="9" spans="1:27" s="42" customFormat="1" ht="66">
      <c r="B9" s="54">
        <v>3</v>
      </c>
      <c r="C9" s="54" t="s">
        <v>34</v>
      </c>
      <c r="D9" s="53" t="s">
        <v>35</v>
      </c>
      <c r="E9" s="53" t="s">
        <v>42</v>
      </c>
      <c r="F9" s="53"/>
      <c r="G9" s="54">
        <v>240524</v>
      </c>
      <c r="H9" s="65" t="s">
        <v>43</v>
      </c>
      <c r="I9" s="65"/>
      <c r="J9" s="53" t="s">
        <v>136</v>
      </c>
      <c r="K9" s="53" t="s">
        <v>137</v>
      </c>
      <c r="L9" s="66"/>
      <c r="M9" s="67">
        <v>350710750</v>
      </c>
      <c r="N9" s="67">
        <f t="shared" si="0"/>
        <v>350710750</v>
      </c>
      <c r="O9" s="67"/>
      <c r="P9" s="67">
        <f t="shared" si="1"/>
        <v>350710750</v>
      </c>
      <c r="Q9" s="41">
        <f>P9*0.3</f>
        <v>105213225</v>
      </c>
      <c r="R9" s="84">
        <f>P9*0.7</f>
        <v>245497524.99999997</v>
      </c>
      <c r="S9" s="67"/>
      <c r="T9" s="90" t="s">
        <v>190</v>
      </c>
      <c r="U9" s="101">
        <v>105213225</v>
      </c>
      <c r="V9" s="104">
        <f>U9/$P9</f>
        <v>0.3</v>
      </c>
      <c r="W9" s="104">
        <f>U9/$Q9</f>
        <v>1</v>
      </c>
      <c r="X9" s="93" t="s">
        <v>178</v>
      </c>
    </row>
    <row r="10" spans="1:27" s="42" customFormat="1">
      <c r="A10" s="1" t="s">
        <v>130</v>
      </c>
      <c r="B10" s="39">
        <v>4</v>
      </c>
      <c r="C10" s="39" t="s">
        <v>34</v>
      </c>
      <c r="D10" s="40" t="s">
        <v>35</v>
      </c>
      <c r="E10" s="40" t="s">
        <v>44</v>
      </c>
      <c r="F10" s="40"/>
      <c r="G10" s="39">
        <v>240524</v>
      </c>
      <c r="H10" s="58" t="s">
        <v>45</v>
      </c>
      <c r="I10" s="58" t="s">
        <v>87</v>
      </c>
      <c r="J10" s="40" t="s">
        <v>139</v>
      </c>
      <c r="K10" s="40">
        <v>82</v>
      </c>
      <c r="L10" s="59"/>
      <c r="M10" s="41">
        <v>35260000</v>
      </c>
      <c r="N10" s="41">
        <f t="shared" si="0"/>
        <v>35260000</v>
      </c>
      <c r="O10" s="41"/>
      <c r="P10" s="41">
        <f t="shared" si="1"/>
        <v>35260000</v>
      </c>
      <c r="Q10" s="41">
        <f>P10</f>
        <v>35260000</v>
      </c>
      <c r="R10" s="41"/>
      <c r="S10" s="41"/>
      <c r="T10" s="40" t="s">
        <v>161</v>
      </c>
      <c r="U10" s="101">
        <f>P10*0.7</f>
        <v>24682000</v>
      </c>
      <c r="V10" s="104">
        <f>$U10/P10</f>
        <v>0.7</v>
      </c>
      <c r="W10" s="105">
        <f>$U10/Q10</f>
        <v>0.7</v>
      </c>
      <c r="X10" s="93" t="s">
        <v>179</v>
      </c>
      <c r="Y10" s="94"/>
    </row>
    <row r="11" spans="1:27" s="42" customFormat="1">
      <c r="B11" s="39"/>
      <c r="C11" s="39"/>
      <c r="D11" s="40"/>
      <c r="E11" s="40"/>
      <c r="F11" s="40"/>
      <c r="G11" s="39"/>
      <c r="H11" s="58"/>
      <c r="I11" s="58" t="s">
        <v>88</v>
      </c>
      <c r="J11" s="40" t="s">
        <v>140</v>
      </c>
      <c r="K11" s="40">
        <v>82</v>
      </c>
      <c r="L11" s="59"/>
      <c r="M11" s="41">
        <v>27060000</v>
      </c>
      <c r="N11" s="41">
        <f t="shared" si="0"/>
        <v>27060000</v>
      </c>
      <c r="O11" s="41"/>
      <c r="P11" s="41">
        <f t="shared" si="1"/>
        <v>27060000</v>
      </c>
      <c r="Q11" s="41">
        <f>P11</f>
        <v>27060000</v>
      </c>
      <c r="R11" s="41"/>
      <c r="S11" s="41"/>
      <c r="T11" s="44" t="s">
        <v>162</v>
      </c>
      <c r="U11" s="101">
        <f t="shared" ref="U11:U19" si="7">P11*0.7</f>
        <v>18942000</v>
      </c>
      <c r="V11" s="104">
        <f t="shared" ref="V11:V19" si="8">$U11/P11</f>
        <v>0.7</v>
      </c>
      <c r="W11" s="105">
        <f t="shared" ref="W11:W19" si="9">$U11/Q11</f>
        <v>0.7</v>
      </c>
    </row>
    <row r="12" spans="1:27" s="42" customFormat="1">
      <c r="B12" s="39"/>
      <c r="C12" s="39"/>
      <c r="D12" s="40"/>
      <c r="E12" s="40"/>
      <c r="F12" s="40"/>
      <c r="G12" s="39"/>
      <c r="H12" s="58"/>
      <c r="I12" s="58" t="s">
        <v>89</v>
      </c>
      <c r="J12" s="40" t="s">
        <v>141</v>
      </c>
      <c r="K12" s="40">
        <v>82</v>
      </c>
      <c r="L12" s="59"/>
      <c r="M12" s="41">
        <v>27060000</v>
      </c>
      <c r="N12" s="41">
        <f t="shared" si="0"/>
        <v>27060000</v>
      </c>
      <c r="O12" s="41"/>
      <c r="P12" s="41">
        <f t="shared" ref="P12:P19" si="10">N12</f>
        <v>27060000</v>
      </c>
      <c r="Q12" s="41">
        <f t="shared" ref="Q12:Q19" si="11">P12</f>
        <v>27060000</v>
      </c>
      <c r="R12" s="41"/>
      <c r="S12" s="41"/>
      <c r="T12" s="40"/>
      <c r="U12" s="101">
        <f t="shared" si="7"/>
        <v>18942000</v>
      </c>
      <c r="V12" s="104">
        <f t="shared" si="8"/>
        <v>0.7</v>
      </c>
      <c r="W12" s="105">
        <f t="shared" si="9"/>
        <v>0.7</v>
      </c>
    </row>
    <row r="13" spans="1:27" s="42" customFormat="1">
      <c r="B13" s="39"/>
      <c r="C13" s="39"/>
      <c r="D13" s="40"/>
      <c r="E13" s="40"/>
      <c r="F13" s="40"/>
      <c r="G13" s="39"/>
      <c r="H13" s="58"/>
      <c r="I13" s="58" t="s">
        <v>90</v>
      </c>
      <c r="J13" s="40" t="s">
        <v>142</v>
      </c>
      <c r="K13" s="40">
        <v>82</v>
      </c>
      <c r="L13" s="59"/>
      <c r="M13" s="41">
        <v>15580000</v>
      </c>
      <c r="N13" s="41">
        <f t="shared" si="0"/>
        <v>15580000</v>
      </c>
      <c r="O13" s="41"/>
      <c r="P13" s="41">
        <f t="shared" si="10"/>
        <v>15580000</v>
      </c>
      <c r="Q13" s="41">
        <f t="shared" si="11"/>
        <v>15580000</v>
      </c>
      <c r="R13" s="41"/>
      <c r="S13" s="41"/>
      <c r="T13" s="40"/>
      <c r="U13" s="101">
        <f t="shared" si="7"/>
        <v>10906000</v>
      </c>
      <c r="V13" s="104">
        <f t="shared" si="8"/>
        <v>0.7</v>
      </c>
      <c r="W13" s="105">
        <f t="shared" si="9"/>
        <v>0.7</v>
      </c>
    </row>
    <row r="14" spans="1:27" s="42" customFormat="1">
      <c r="B14" s="39"/>
      <c r="C14" s="39"/>
      <c r="D14" s="40"/>
      <c r="E14" s="40"/>
      <c r="F14" s="40"/>
      <c r="G14" s="39"/>
      <c r="H14" s="58"/>
      <c r="I14" s="58" t="s">
        <v>91</v>
      </c>
      <c r="J14" s="40" t="s">
        <v>138</v>
      </c>
      <c r="K14" s="40">
        <v>82</v>
      </c>
      <c r="L14" s="59"/>
      <c r="M14" s="41">
        <v>27060000</v>
      </c>
      <c r="N14" s="41">
        <f t="shared" si="0"/>
        <v>27060000</v>
      </c>
      <c r="O14" s="41"/>
      <c r="P14" s="41">
        <f t="shared" si="10"/>
        <v>27060000</v>
      </c>
      <c r="Q14" s="41">
        <f t="shared" si="11"/>
        <v>27060000</v>
      </c>
      <c r="R14" s="41"/>
      <c r="S14" s="41"/>
      <c r="T14" s="40"/>
      <c r="U14" s="101">
        <f t="shared" si="7"/>
        <v>18942000</v>
      </c>
      <c r="V14" s="104">
        <f t="shared" si="8"/>
        <v>0.7</v>
      </c>
      <c r="W14" s="105">
        <f t="shared" si="9"/>
        <v>0.7</v>
      </c>
    </row>
    <row r="15" spans="1:27" s="42" customFormat="1">
      <c r="B15" s="39"/>
      <c r="C15" s="39"/>
      <c r="D15" s="40"/>
      <c r="E15" s="40"/>
      <c r="F15" s="40"/>
      <c r="G15" s="39"/>
      <c r="H15" s="58"/>
      <c r="I15" s="58" t="s">
        <v>92</v>
      </c>
      <c r="J15" s="40" t="s">
        <v>143</v>
      </c>
      <c r="K15" s="40">
        <v>51</v>
      </c>
      <c r="L15" s="59"/>
      <c r="M15" s="41">
        <v>16830000</v>
      </c>
      <c r="N15" s="41">
        <f t="shared" si="0"/>
        <v>16830000</v>
      </c>
      <c r="O15" s="41"/>
      <c r="P15" s="41">
        <f t="shared" si="10"/>
        <v>16830000</v>
      </c>
      <c r="Q15" s="41">
        <f t="shared" si="11"/>
        <v>16830000</v>
      </c>
      <c r="R15" s="41"/>
      <c r="S15" s="41"/>
      <c r="T15" s="40"/>
      <c r="U15" s="101">
        <f t="shared" si="7"/>
        <v>11781000</v>
      </c>
      <c r="V15" s="104">
        <f t="shared" si="8"/>
        <v>0.7</v>
      </c>
      <c r="W15" s="105">
        <f t="shared" si="9"/>
        <v>0.7</v>
      </c>
    </row>
    <row r="16" spans="1:27" s="42" customFormat="1">
      <c r="B16" s="39"/>
      <c r="C16" s="39"/>
      <c r="D16" s="40"/>
      <c r="E16" s="40"/>
      <c r="F16" s="40"/>
      <c r="G16" s="39"/>
      <c r="H16" s="58"/>
      <c r="I16" s="58" t="s">
        <v>93</v>
      </c>
      <c r="J16" s="40" t="s">
        <v>144</v>
      </c>
      <c r="K16" s="40">
        <v>41</v>
      </c>
      <c r="L16" s="59"/>
      <c r="M16" s="41">
        <v>22550000</v>
      </c>
      <c r="N16" s="41">
        <f t="shared" si="0"/>
        <v>22550000</v>
      </c>
      <c r="O16" s="41"/>
      <c r="P16" s="41">
        <f t="shared" si="10"/>
        <v>22550000</v>
      </c>
      <c r="Q16" s="41">
        <f t="shared" si="11"/>
        <v>22550000</v>
      </c>
      <c r="R16" s="41"/>
      <c r="S16" s="41"/>
      <c r="T16" s="40"/>
      <c r="U16" s="101">
        <f t="shared" si="7"/>
        <v>15784999.999999998</v>
      </c>
      <c r="V16" s="104">
        <f t="shared" si="8"/>
        <v>0.7</v>
      </c>
      <c r="W16" s="105">
        <f t="shared" si="9"/>
        <v>0.7</v>
      </c>
    </row>
    <row r="17" spans="2:25" s="42" customFormat="1">
      <c r="B17" s="39"/>
      <c r="C17" s="39"/>
      <c r="D17" s="40"/>
      <c r="E17" s="40"/>
      <c r="F17" s="40"/>
      <c r="G17" s="39"/>
      <c r="H17" s="58"/>
      <c r="I17" s="58" t="s">
        <v>94</v>
      </c>
      <c r="J17" s="40" t="s">
        <v>145</v>
      </c>
      <c r="K17" s="40">
        <v>41</v>
      </c>
      <c r="L17" s="59"/>
      <c r="M17" s="41">
        <v>2050000</v>
      </c>
      <c r="N17" s="41">
        <f t="shared" si="0"/>
        <v>2050000</v>
      </c>
      <c r="O17" s="41"/>
      <c r="P17" s="41">
        <f t="shared" si="10"/>
        <v>2050000</v>
      </c>
      <c r="Q17" s="41">
        <f t="shared" si="11"/>
        <v>2050000</v>
      </c>
      <c r="R17" s="41"/>
      <c r="S17" s="41"/>
      <c r="T17" s="40"/>
      <c r="U17" s="101">
        <f t="shared" si="7"/>
        <v>1435000</v>
      </c>
      <c r="V17" s="104">
        <f t="shared" si="8"/>
        <v>0.7</v>
      </c>
      <c r="W17" s="105">
        <f t="shared" si="9"/>
        <v>0.7</v>
      </c>
    </row>
    <row r="18" spans="2:25" s="42" customFormat="1">
      <c r="B18" s="39"/>
      <c r="C18" s="39"/>
      <c r="D18" s="40"/>
      <c r="E18" s="40"/>
      <c r="F18" s="40"/>
      <c r="G18" s="39"/>
      <c r="H18" s="58"/>
      <c r="I18" s="58" t="s">
        <v>95</v>
      </c>
      <c r="J18" s="40" t="s">
        <v>146</v>
      </c>
      <c r="K18" s="40">
        <v>21</v>
      </c>
      <c r="L18" s="59"/>
      <c r="M18" s="41">
        <v>12180000</v>
      </c>
      <c r="N18" s="41">
        <f t="shared" si="0"/>
        <v>12180000</v>
      </c>
      <c r="O18" s="41"/>
      <c r="P18" s="41">
        <f t="shared" si="10"/>
        <v>12180000</v>
      </c>
      <c r="Q18" s="41">
        <f t="shared" si="11"/>
        <v>12180000</v>
      </c>
      <c r="R18" s="41"/>
      <c r="S18" s="41"/>
      <c r="T18" s="40"/>
      <c r="U18" s="101">
        <f t="shared" si="7"/>
        <v>8526000</v>
      </c>
      <c r="V18" s="104">
        <f t="shared" si="8"/>
        <v>0.7</v>
      </c>
      <c r="W18" s="105">
        <f t="shared" si="9"/>
        <v>0.7</v>
      </c>
    </row>
    <row r="19" spans="2:25" s="42" customFormat="1">
      <c r="B19" s="39"/>
      <c r="C19" s="39"/>
      <c r="D19" s="40"/>
      <c r="E19" s="40"/>
      <c r="F19" s="40"/>
      <c r="G19" s="39"/>
      <c r="H19" s="58"/>
      <c r="I19" s="58" t="s">
        <v>96</v>
      </c>
      <c r="J19" s="40" t="s">
        <v>147</v>
      </c>
      <c r="K19" s="40">
        <v>21</v>
      </c>
      <c r="L19" s="59"/>
      <c r="M19" s="41">
        <v>12180000</v>
      </c>
      <c r="N19" s="41">
        <f t="shared" si="0"/>
        <v>12180000</v>
      </c>
      <c r="O19" s="41"/>
      <c r="P19" s="41">
        <f t="shared" si="10"/>
        <v>12180000</v>
      </c>
      <c r="Q19" s="41">
        <f t="shared" si="11"/>
        <v>12180000</v>
      </c>
      <c r="R19" s="41"/>
      <c r="S19" s="41"/>
      <c r="T19" s="40"/>
      <c r="U19" s="101">
        <f t="shared" si="7"/>
        <v>8526000</v>
      </c>
      <c r="V19" s="104">
        <f t="shared" si="8"/>
        <v>0.7</v>
      </c>
      <c r="W19" s="105">
        <f t="shared" si="9"/>
        <v>0.7</v>
      </c>
    </row>
    <row r="20" spans="2:25" s="42" customFormat="1">
      <c r="B20" s="39">
        <v>5</v>
      </c>
      <c r="C20" s="39" t="s">
        <v>34</v>
      </c>
      <c r="D20" s="40" t="s">
        <v>35</v>
      </c>
      <c r="E20" s="40" t="s">
        <v>73</v>
      </c>
      <c r="F20" s="40"/>
      <c r="G20" s="39">
        <v>240913</v>
      </c>
      <c r="H20" s="65" t="s">
        <v>74</v>
      </c>
      <c r="I20" s="58" t="s">
        <v>87</v>
      </c>
      <c r="J20" s="40" t="s">
        <v>148</v>
      </c>
      <c r="K20" s="40">
        <v>51</v>
      </c>
      <c r="L20" s="59"/>
      <c r="M20" s="41">
        <v>46610077</v>
      </c>
      <c r="N20" s="41">
        <f t="shared" si="0"/>
        <v>46610077</v>
      </c>
      <c r="O20" s="41"/>
      <c r="P20" s="41">
        <f t="shared" si="1"/>
        <v>46610077</v>
      </c>
      <c r="Q20" s="41">
        <f>P20*0.7</f>
        <v>32627053.899999999</v>
      </c>
      <c r="R20" s="67">
        <f>P20*0.3</f>
        <v>13983023.1</v>
      </c>
      <c r="S20" s="41"/>
      <c r="T20" s="40" t="s">
        <v>161</v>
      </c>
      <c r="U20" s="101">
        <f>Q20</f>
        <v>32627053.899999999</v>
      </c>
      <c r="V20" s="104">
        <f t="shared" ref="V20:V42" si="12">U20/$P20</f>
        <v>0.7</v>
      </c>
      <c r="W20" s="104">
        <f t="shared" ref="W20:W31" si="13">U20/$Q20</f>
        <v>1</v>
      </c>
      <c r="X20" s="92" t="s">
        <v>169</v>
      </c>
      <c r="Y20" s="93" t="s">
        <v>168</v>
      </c>
    </row>
    <row r="21" spans="2:25" s="42" customFormat="1">
      <c r="B21" s="39"/>
      <c r="C21" s="39"/>
      <c r="D21" s="40"/>
      <c r="E21" s="40"/>
      <c r="F21" s="40"/>
      <c r="G21" s="39"/>
      <c r="H21" s="65"/>
      <c r="I21" s="58" t="s">
        <v>88</v>
      </c>
      <c r="J21" s="40" t="s">
        <v>149</v>
      </c>
      <c r="K21" s="40">
        <v>51</v>
      </c>
      <c r="L21" s="59"/>
      <c r="M21" s="41">
        <v>33882518</v>
      </c>
      <c r="N21" s="41">
        <f t="shared" si="0"/>
        <v>33882518</v>
      </c>
      <c r="O21" s="41"/>
      <c r="P21" s="41">
        <f t="shared" si="1"/>
        <v>33882518</v>
      </c>
      <c r="Q21" s="41">
        <f t="shared" ref="Q21:Q31" si="14">P21*0.7</f>
        <v>23717762.599999998</v>
      </c>
      <c r="R21" s="67">
        <f t="shared" ref="R21:R31" si="15">P21*0.3</f>
        <v>10164755.4</v>
      </c>
      <c r="S21" s="41"/>
      <c r="T21" s="53" t="s">
        <v>162</v>
      </c>
      <c r="U21" s="101">
        <f t="shared" ref="U21:U31" si="16">Q21</f>
        <v>23717762.599999998</v>
      </c>
      <c r="V21" s="104">
        <f t="shared" si="12"/>
        <v>0.7</v>
      </c>
      <c r="W21" s="104">
        <f t="shared" si="13"/>
        <v>1</v>
      </c>
    </row>
    <row r="22" spans="2:25" s="42" customFormat="1">
      <c r="B22" s="39"/>
      <c r="C22" s="39"/>
      <c r="D22" s="40"/>
      <c r="E22" s="40"/>
      <c r="F22" s="40"/>
      <c r="G22" s="39"/>
      <c r="H22" s="65"/>
      <c r="I22" s="58" t="s">
        <v>89</v>
      </c>
      <c r="J22" s="40" t="s">
        <v>150</v>
      </c>
      <c r="K22" s="40">
        <v>51</v>
      </c>
      <c r="L22" s="59"/>
      <c r="M22" s="41">
        <v>31138841</v>
      </c>
      <c r="N22" s="41">
        <f t="shared" si="0"/>
        <v>31138841</v>
      </c>
      <c r="O22" s="41"/>
      <c r="P22" s="41">
        <f t="shared" si="1"/>
        <v>31138841</v>
      </c>
      <c r="Q22" s="41">
        <f t="shared" si="14"/>
        <v>21797188.699999999</v>
      </c>
      <c r="R22" s="67">
        <f t="shared" si="15"/>
        <v>9341652.2999999989</v>
      </c>
      <c r="S22" s="41"/>
      <c r="T22" s="40"/>
      <c r="U22" s="101">
        <f t="shared" si="16"/>
        <v>21797188.699999999</v>
      </c>
      <c r="V22" s="104">
        <f t="shared" si="12"/>
        <v>0.7</v>
      </c>
      <c r="W22" s="104">
        <f t="shared" si="13"/>
        <v>1</v>
      </c>
    </row>
    <row r="23" spans="2:25" s="42" customFormat="1">
      <c r="B23" s="39"/>
      <c r="C23" s="39"/>
      <c r="D23" s="40"/>
      <c r="E23" s="40"/>
      <c r="F23" s="40"/>
      <c r="G23" s="39"/>
      <c r="H23" s="65"/>
      <c r="I23" s="58" t="s">
        <v>90</v>
      </c>
      <c r="J23" s="40" t="s">
        <v>151</v>
      </c>
      <c r="K23" s="40">
        <v>51</v>
      </c>
      <c r="L23" s="59"/>
      <c r="M23" s="41">
        <v>26181518</v>
      </c>
      <c r="N23" s="41">
        <f t="shared" si="0"/>
        <v>26181518</v>
      </c>
      <c r="O23" s="41"/>
      <c r="P23" s="41">
        <f t="shared" si="1"/>
        <v>26181518</v>
      </c>
      <c r="Q23" s="41">
        <f t="shared" si="14"/>
        <v>18327062.599999998</v>
      </c>
      <c r="R23" s="67">
        <f t="shared" si="15"/>
        <v>7854455.3999999994</v>
      </c>
      <c r="S23" s="41"/>
      <c r="T23" s="40"/>
      <c r="U23" s="101">
        <f t="shared" si="16"/>
        <v>18327062.599999998</v>
      </c>
      <c r="V23" s="104">
        <f t="shared" si="12"/>
        <v>0.7</v>
      </c>
      <c r="W23" s="104">
        <f t="shared" si="13"/>
        <v>1</v>
      </c>
    </row>
    <row r="24" spans="2:25" s="42" customFormat="1">
      <c r="B24" s="39"/>
      <c r="C24" s="39"/>
      <c r="D24" s="40"/>
      <c r="E24" s="40"/>
      <c r="F24" s="40"/>
      <c r="G24" s="39"/>
      <c r="H24" s="65"/>
      <c r="I24" s="58" t="s">
        <v>91</v>
      </c>
      <c r="J24" s="40" t="s">
        <v>152</v>
      </c>
      <c r="K24" s="40">
        <v>51</v>
      </c>
      <c r="L24" s="59"/>
      <c r="M24" s="41">
        <v>31408809</v>
      </c>
      <c r="N24" s="41">
        <f t="shared" si="0"/>
        <v>31408809</v>
      </c>
      <c r="O24" s="41"/>
      <c r="P24" s="41">
        <f t="shared" si="1"/>
        <v>31408809</v>
      </c>
      <c r="Q24" s="41">
        <f t="shared" si="14"/>
        <v>21986166.299999997</v>
      </c>
      <c r="R24" s="67">
        <f t="shared" si="15"/>
        <v>9422642.6999999993</v>
      </c>
      <c r="S24" s="41"/>
      <c r="T24" s="40"/>
      <c r="U24" s="101">
        <f t="shared" si="16"/>
        <v>21986166.299999997</v>
      </c>
      <c r="V24" s="104">
        <f t="shared" si="12"/>
        <v>0.7</v>
      </c>
      <c r="W24" s="104">
        <f t="shared" si="13"/>
        <v>1</v>
      </c>
    </row>
    <row r="25" spans="2:25" s="42" customFormat="1">
      <c r="B25" s="39"/>
      <c r="C25" s="39"/>
      <c r="D25" s="40"/>
      <c r="E25" s="40"/>
      <c r="F25" s="40"/>
      <c r="G25" s="39"/>
      <c r="H25" s="65"/>
      <c r="I25" s="58" t="s">
        <v>92</v>
      </c>
      <c r="J25" s="40" t="s">
        <v>153</v>
      </c>
      <c r="K25" s="40">
        <v>51</v>
      </c>
      <c r="L25" s="59"/>
      <c r="M25" s="41">
        <v>14739000</v>
      </c>
      <c r="N25" s="41">
        <f t="shared" si="0"/>
        <v>14739000</v>
      </c>
      <c r="O25" s="41"/>
      <c r="P25" s="41">
        <f t="shared" si="1"/>
        <v>14739000</v>
      </c>
      <c r="Q25" s="41">
        <f t="shared" si="14"/>
        <v>10317300</v>
      </c>
      <c r="R25" s="67">
        <f t="shared" si="15"/>
        <v>4421700</v>
      </c>
      <c r="S25" s="41"/>
      <c r="T25" s="40"/>
      <c r="U25" s="101">
        <f t="shared" si="16"/>
        <v>10317300</v>
      </c>
      <c r="V25" s="104">
        <f t="shared" si="12"/>
        <v>0.7</v>
      </c>
      <c r="W25" s="104">
        <f t="shared" si="13"/>
        <v>1</v>
      </c>
    </row>
    <row r="26" spans="2:25" s="42" customFormat="1">
      <c r="B26" s="39"/>
      <c r="C26" s="39"/>
      <c r="D26" s="40"/>
      <c r="E26" s="40"/>
      <c r="F26" s="40"/>
      <c r="G26" s="39"/>
      <c r="H26" s="65"/>
      <c r="I26" s="58" t="s">
        <v>93</v>
      </c>
      <c r="J26" s="40" t="s">
        <v>154</v>
      </c>
      <c r="K26" s="40">
        <v>102</v>
      </c>
      <c r="L26" s="59"/>
      <c r="M26" s="41">
        <v>34578000</v>
      </c>
      <c r="N26" s="41">
        <f t="shared" si="0"/>
        <v>34578000</v>
      </c>
      <c r="O26" s="41"/>
      <c r="P26" s="41">
        <f t="shared" si="1"/>
        <v>34578000</v>
      </c>
      <c r="Q26" s="41">
        <f t="shared" si="14"/>
        <v>24204600</v>
      </c>
      <c r="R26" s="67">
        <f t="shared" si="15"/>
        <v>10373400</v>
      </c>
      <c r="S26" s="41"/>
      <c r="T26" s="40"/>
      <c r="U26" s="101">
        <f t="shared" si="16"/>
        <v>24204600</v>
      </c>
      <c r="V26" s="104">
        <f t="shared" si="12"/>
        <v>0.7</v>
      </c>
      <c r="W26" s="104">
        <f t="shared" si="13"/>
        <v>1</v>
      </c>
    </row>
    <row r="27" spans="2:25" s="42" customFormat="1">
      <c r="B27" s="39"/>
      <c r="C27" s="39"/>
      <c r="D27" s="40"/>
      <c r="E27" s="40"/>
      <c r="F27" s="40"/>
      <c r="G27" s="39"/>
      <c r="H27" s="65"/>
      <c r="I27" s="58" t="s">
        <v>94</v>
      </c>
      <c r="J27" s="40" t="s">
        <v>155</v>
      </c>
      <c r="K27" s="40">
        <v>51</v>
      </c>
      <c r="L27" s="59"/>
      <c r="M27" s="41">
        <v>24214341</v>
      </c>
      <c r="N27" s="41">
        <f t="shared" si="0"/>
        <v>24214341</v>
      </c>
      <c r="O27" s="41"/>
      <c r="P27" s="41">
        <f t="shared" si="1"/>
        <v>24214341</v>
      </c>
      <c r="Q27" s="41">
        <f t="shared" si="14"/>
        <v>16950038.699999999</v>
      </c>
      <c r="R27" s="67">
        <f t="shared" si="15"/>
        <v>7264302.2999999998</v>
      </c>
      <c r="S27" s="41"/>
      <c r="T27" s="40"/>
      <c r="U27" s="101">
        <f t="shared" si="16"/>
        <v>16950038.699999999</v>
      </c>
      <c r="V27" s="104">
        <f t="shared" si="12"/>
        <v>0.7</v>
      </c>
      <c r="W27" s="104">
        <f t="shared" si="13"/>
        <v>1</v>
      </c>
    </row>
    <row r="28" spans="2:25" s="42" customFormat="1">
      <c r="B28" s="39"/>
      <c r="C28" s="39"/>
      <c r="D28" s="40"/>
      <c r="E28" s="40"/>
      <c r="F28" s="40"/>
      <c r="G28" s="39"/>
      <c r="H28" s="65"/>
      <c r="I28" s="58" t="s">
        <v>95</v>
      </c>
      <c r="J28" s="40" t="s">
        <v>156</v>
      </c>
      <c r="K28" s="40">
        <v>51</v>
      </c>
      <c r="L28" s="59"/>
      <c r="M28" s="41">
        <v>15300000</v>
      </c>
      <c r="N28" s="41">
        <f t="shared" si="0"/>
        <v>15300000</v>
      </c>
      <c r="O28" s="41"/>
      <c r="P28" s="41">
        <f t="shared" si="1"/>
        <v>15300000</v>
      </c>
      <c r="Q28" s="41">
        <f t="shared" si="14"/>
        <v>10710000</v>
      </c>
      <c r="R28" s="67">
        <f t="shared" si="15"/>
        <v>4590000</v>
      </c>
      <c r="S28" s="41"/>
      <c r="T28" s="40"/>
      <c r="U28" s="101">
        <f t="shared" si="16"/>
        <v>10710000</v>
      </c>
      <c r="V28" s="104">
        <f t="shared" si="12"/>
        <v>0.7</v>
      </c>
      <c r="W28" s="104">
        <f t="shared" si="13"/>
        <v>1</v>
      </c>
    </row>
    <row r="29" spans="2:25" s="42" customFormat="1">
      <c r="B29" s="39"/>
      <c r="C29" s="39"/>
      <c r="D29" s="40"/>
      <c r="E29" s="40"/>
      <c r="F29" s="40"/>
      <c r="G29" s="39"/>
      <c r="H29" s="65"/>
      <c r="I29" s="58" t="s">
        <v>96</v>
      </c>
      <c r="J29" s="40" t="s">
        <v>157</v>
      </c>
      <c r="K29" s="40">
        <v>51</v>
      </c>
      <c r="L29" s="59"/>
      <c r="M29" s="41">
        <v>24156125</v>
      </c>
      <c r="N29" s="41">
        <f t="shared" si="0"/>
        <v>24156125</v>
      </c>
      <c r="O29" s="41"/>
      <c r="P29" s="41">
        <f t="shared" si="1"/>
        <v>24156125</v>
      </c>
      <c r="Q29" s="41">
        <f t="shared" si="14"/>
        <v>16909287.5</v>
      </c>
      <c r="R29" s="67">
        <f t="shared" si="15"/>
        <v>7246837.5</v>
      </c>
      <c r="S29" s="41"/>
      <c r="T29" s="40"/>
      <c r="U29" s="101">
        <f t="shared" si="16"/>
        <v>16909287.5</v>
      </c>
      <c r="V29" s="104">
        <f t="shared" si="12"/>
        <v>0.7</v>
      </c>
      <c r="W29" s="104">
        <f t="shared" si="13"/>
        <v>1</v>
      </c>
    </row>
    <row r="30" spans="2:25" s="42" customFormat="1">
      <c r="B30" s="39"/>
      <c r="C30" s="39"/>
      <c r="D30" s="40"/>
      <c r="E30" s="40"/>
      <c r="F30" s="40"/>
      <c r="G30" s="39"/>
      <c r="H30" s="65"/>
      <c r="I30" s="58" t="s">
        <v>97</v>
      </c>
      <c r="J30" s="40" t="s">
        <v>158</v>
      </c>
      <c r="K30" s="40">
        <v>51</v>
      </c>
      <c r="L30" s="59"/>
      <c r="M30" s="41">
        <v>21685863</v>
      </c>
      <c r="N30" s="41">
        <f t="shared" si="0"/>
        <v>21685863</v>
      </c>
      <c r="O30" s="41"/>
      <c r="P30" s="41">
        <f t="shared" si="1"/>
        <v>21685863</v>
      </c>
      <c r="Q30" s="41">
        <f t="shared" si="14"/>
        <v>15180104.1</v>
      </c>
      <c r="R30" s="67">
        <f t="shared" si="15"/>
        <v>6505758.8999999994</v>
      </c>
      <c r="S30" s="41"/>
      <c r="T30" s="40"/>
      <c r="U30" s="101">
        <f t="shared" si="16"/>
        <v>15180104.1</v>
      </c>
      <c r="V30" s="104">
        <f t="shared" si="12"/>
        <v>0.7</v>
      </c>
      <c r="W30" s="104">
        <f t="shared" si="13"/>
        <v>1</v>
      </c>
    </row>
    <row r="31" spans="2:25" s="42" customFormat="1">
      <c r="B31" s="39"/>
      <c r="C31" s="39"/>
      <c r="D31" s="40"/>
      <c r="E31" s="40"/>
      <c r="F31" s="40"/>
      <c r="G31" s="39"/>
      <c r="H31" s="65"/>
      <c r="I31" s="58" t="s">
        <v>160</v>
      </c>
      <c r="J31" s="40" t="s">
        <v>159</v>
      </c>
      <c r="K31" s="40">
        <v>51</v>
      </c>
      <c r="L31" s="59"/>
      <c r="M31" s="41">
        <v>47120077</v>
      </c>
      <c r="N31" s="41">
        <f t="shared" si="0"/>
        <v>47120077</v>
      </c>
      <c r="O31" s="41"/>
      <c r="P31" s="41">
        <f t="shared" si="1"/>
        <v>47120077</v>
      </c>
      <c r="Q31" s="41">
        <f t="shared" si="14"/>
        <v>32984053.899999999</v>
      </c>
      <c r="R31" s="67">
        <f t="shared" si="15"/>
        <v>14136023.1</v>
      </c>
      <c r="S31" s="41"/>
      <c r="T31" s="40"/>
      <c r="U31" s="101">
        <f t="shared" si="16"/>
        <v>32984053.899999999</v>
      </c>
      <c r="V31" s="104">
        <f t="shared" si="12"/>
        <v>0.7</v>
      </c>
      <c r="W31" s="104">
        <f t="shared" si="13"/>
        <v>1</v>
      </c>
    </row>
    <row r="32" spans="2:25" s="42" customFormat="1">
      <c r="B32" s="39">
        <v>6</v>
      </c>
      <c r="C32" s="39" t="s">
        <v>34</v>
      </c>
      <c r="D32" s="40" t="s">
        <v>35</v>
      </c>
      <c r="E32" s="40" t="s">
        <v>75</v>
      </c>
      <c r="F32" s="40"/>
      <c r="G32" s="39">
        <v>240923</v>
      </c>
      <c r="H32" s="58" t="s">
        <v>98</v>
      </c>
      <c r="I32" s="58" t="s">
        <v>87</v>
      </c>
      <c r="J32" s="40" t="s">
        <v>76</v>
      </c>
      <c r="K32" s="40">
        <v>10</v>
      </c>
      <c r="L32" s="59"/>
      <c r="M32" s="41">
        <f>291760*K32</f>
        <v>2917600</v>
      </c>
      <c r="N32" s="41">
        <f t="shared" si="0"/>
        <v>2917600</v>
      </c>
      <c r="O32" s="41"/>
      <c r="P32" s="41">
        <f t="shared" si="1"/>
        <v>2917600</v>
      </c>
      <c r="Q32" s="41">
        <f>P32</f>
        <v>2917600</v>
      </c>
      <c r="R32" s="41"/>
      <c r="S32" s="41"/>
      <c r="T32" s="40"/>
      <c r="U32" s="101">
        <v>0</v>
      </c>
      <c r="V32" s="104">
        <f t="shared" si="12"/>
        <v>0</v>
      </c>
      <c r="W32" s="122">
        <f t="shared" ref="W32:W41" si="17">U32/$Q32</f>
        <v>0</v>
      </c>
    </row>
    <row r="33" spans="2:29" s="42" customFormat="1">
      <c r="B33" s="39"/>
      <c r="C33" s="39"/>
      <c r="D33" s="40"/>
      <c r="E33" s="40"/>
      <c r="F33" s="40"/>
      <c r="G33" s="39"/>
      <c r="H33" s="58" t="s">
        <v>98</v>
      </c>
      <c r="I33" s="58" t="s">
        <v>88</v>
      </c>
      <c r="J33" s="40" t="s">
        <v>77</v>
      </c>
      <c r="K33" s="40">
        <v>10</v>
      </c>
      <c r="L33" s="59"/>
      <c r="M33" s="41">
        <f>818880*K33</f>
        <v>8188800</v>
      </c>
      <c r="N33" s="41">
        <f t="shared" ref="N33:N42" si="18">M33</f>
        <v>8188800</v>
      </c>
      <c r="O33" s="41"/>
      <c r="P33" s="41">
        <f t="shared" si="1"/>
        <v>8188800</v>
      </c>
      <c r="Q33" s="41">
        <f>P33</f>
        <v>8188800</v>
      </c>
      <c r="R33" s="41"/>
      <c r="S33" s="41"/>
      <c r="T33" s="40"/>
      <c r="U33" s="101">
        <v>0</v>
      </c>
      <c r="V33" s="104">
        <f t="shared" si="12"/>
        <v>0</v>
      </c>
      <c r="W33" s="122">
        <f t="shared" si="17"/>
        <v>0</v>
      </c>
    </row>
    <row r="34" spans="2:29" s="42" customFormat="1" ht="33">
      <c r="B34" s="43"/>
      <c r="C34" s="43"/>
      <c r="D34" s="44"/>
      <c r="E34" s="44"/>
      <c r="F34" s="44"/>
      <c r="G34" s="43"/>
      <c r="H34" s="58" t="s">
        <v>98</v>
      </c>
      <c r="I34" s="58" t="s">
        <v>89</v>
      </c>
      <c r="J34" s="40" t="s">
        <v>78</v>
      </c>
      <c r="K34" s="40">
        <v>20</v>
      </c>
      <c r="L34" s="63"/>
      <c r="M34" s="41">
        <f>938410*K34</f>
        <v>18768200</v>
      </c>
      <c r="N34" s="41">
        <f t="shared" si="18"/>
        <v>18768200</v>
      </c>
      <c r="O34" s="19"/>
      <c r="P34" s="41">
        <f t="shared" ref="P34:P42" si="19">N34</f>
        <v>18768200</v>
      </c>
      <c r="Q34" s="41">
        <f>P34</f>
        <v>18768200</v>
      </c>
      <c r="R34" s="19"/>
      <c r="S34" s="19"/>
      <c r="T34" s="44"/>
      <c r="U34" s="101">
        <v>0</v>
      </c>
      <c r="V34" s="104">
        <f t="shared" si="12"/>
        <v>0</v>
      </c>
      <c r="W34" s="122">
        <f t="shared" si="17"/>
        <v>0</v>
      </c>
    </row>
    <row r="35" spans="2:29" s="42" customFormat="1">
      <c r="B35" s="43"/>
      <c r="C35" s="43"/>
      <c r="D35" s="44"/>
      <c r="E35" s="44"/>
      <c r="F35" s="44"/>
      <c r="G35" s="43"/>
      <c r="H35" s="58" t="s">
        <v>98</v>
      </c>
      <c r="I35" s="58" t="s">
        <v>90</v>
      </c>
      <c r="J35" s="40" t="s">
        <v>79</v>
      </c>
      <c r="K35" s="40">
        <v>10</v>
      </c>
      <c r="L35" s="63"/>
      <c r="M35" s="41">
        <f>187450*K35</f>
        <v>1874500</v>
      </c>
      <c r="N35" s="41">
        <f t="shared" si="18"/>
        <v>1874500</v>
      </c>
      <c r="O35" s="19"/>
      <c r="P35" s="41">
        <f t="shared" si="19"/>
        <v>1874500</v>
      </c>
      <c r="Q35" s="41">
        <f t="shared" ref="Q35:Q40" si="20">P35</f>
        <v>1874500</v>
      </c>
      <c r="R35" s="19"/>
      <c r="S35" s="19"/>
      <c r="T35" s="44"/>
      <c r="U35" s="101">
        <v>0</v>
      </c>
      <c r="V35" s="104">
        <f t="shared" si="12"/>
        <v>0</v>
      </c>
      <c r="W35" s="122">
        <f t="shared" si="17"/>
        <v>0</v>
      </c>
    </row>
    <row r="36" spans="2:29" s="42" customFormat="1">
      <c r="B36" s="43"/>
      <c r="C36" s="43"/>
      <c r="D36" s="44"/>
      <c r="E36" s="44"/>
      <c r="F36" s="44"/>
      <c r="G36" s="43"/>
      <c r="H36" s="58" t="s">
        <v>98</v>
      </c>
      <c r="I36" s="58" t="s">
        <v>91</v>
      </c>
      <c r="J36" s="40" t="s">
        <v>80</v>
      </c>
      <c r="K36" s="40">
        <v>10</v>
      </c>
      <c r="L36" s="63"/>
      <c r="M36" s="41">
        <f>224480*K36</f>
        <v>2244800</v>
      </c>
      <c r="N36" s="41">
        <f t="shared" si="18"/>
        <v>2244800</v>
      </c>
      <c r="O36" s="19"/>
      <c r="P36" s="41">
        <f t="shared" si="19"/>
        <v>2244800</v>
      </c>
      <c r="Q36" s="41">
        <f t="shared" si="20"/>
        <v>2244800</v>
      </c>
      <c r="R36" s="19"/>
      <c r="S36" s="19"/>
      <c r="T36" s="44"/>
      <c r="U36" s="101">
        <v>0</v>
      </c>
      <c r="V36" s="104">
        <f t="shared" si="12"/>
        <v>0</v>
      </c>
      <c r="W36" s="122">
        <f t="shared" si="17"/>
        <v>0</v>
      </c>
    </row>
    <row r="37" spans="2:29" s="42" customFormat="1">
      <c r="B37" s="43"/>
      <c r="C37" s="43"/>
      <c r="D37" s="44"/>
      <c r="E37" s="44"/>
      <c r="F37" s="44"/>
      <c r="G37" s="43"/>
      <c r="H37" s="58" t="s">
        <v>98</v>
      </c>
      <c r="I37" s="58" t="s">
        <v>92</v>
      </c>
      <c r="J37" s="40" t="s">
        <v>81</v>
      </c>
      <c r="K37" s="40">
        <v>10</v>
      </c>
      <c r="L37" s="63"/>
      <c r="M37" s="41">
        <f>936830*K37</f>
        <v>9368300</v>
      </c>
      <c r="N37" s="41">
        <f t="shared" si="18"/>
        <v>9368300</v>
      </c>
      <c r="O37" s="19"/>
      <c r="P37" s="41">
        <f t="shared" si="19"/>
        <v>9368300</v>
      </c>
      <c r="Q37" s="41">
        <f t="shared" si="20"/>
        <v>9368300</v>
      </c>
      <c r="R37" s="19"/>
      <c r="S37" s="19"/>
      <c r="T37" s="44"/>
      <c r="U37" s="101">
        <f>Q37</f>
        <v>9368300</v>
      </c>
      <c r="V37" s="104">
        <f t="shared" si="12"/>
        <v>1</v>
      </c>
      <c r="W37" s="104">
        <f t="shared" si="17"/>
        <v>1</v>
      </c>
      <c r="X37" s="92" t="s">
        <v>169</v>
      </c>
      <c r="Y37" s="93" t="s">
        <v>164</v>
      </c>
      <c r="Z37" s="94"/>
    </row>
    <row r="38" spans="2:29" s="42" customFormat="1">
      <c r="B38" s="39"/>
      <c r="C38" s="39"/>
      <c r="D38" s="40"/>
      <c r="E38" s="40"/>
      <c r="F38" s="40"/>
      <c r="G38" s="39"/>
      <c r="H38" s="58" t="s">
        <v>98</v>
      </c>
      <c r="I38" s="58" t="s">
        <v>93</v>
      </c>
      <c r="J38" s="40" t="s">
        <v>82</v>
      </c>
      <c r="K38" s="40">
        <v>10</v>
      </c>
      <c r="L38" s="59"/>
      <c r="M38" s="41">
        <f>1035220*K38</f>
        <v>10352200</v>
      </c>
      <c r="N38" s="41">
        <f t="shared" si="18"/>
        <v>10352200</v>
      </c>
      <c r="O38" s="41"/>
      <c r="P38" s="41">
        <f t="shared" si="19"/>
        <v>10352200</v>
      </c>
      <c r="Q38" s="41">
        <f t="shared" si="20"/>
        <v>10352200</v>
      </c>
      <c r="R38" s="41"/>
      <c r="S38" s="41"/>
      <c r="T38" s="40"/>
      <c r="U38" s="101">
        <f>Q38*0.5</f>
        <v>5176100</v>
      </c>
      <c r="V38" s="104">
        <f t="shared" si="12"/>
        <v>0.5</v>
      </c>
      <c r="W38" s="105">
        <f t="shared" si="17"/>
        <v>0.5</v>
      </c>
      <c r="X38" s="93" t="s">
        <v>166</v>
      </c>
      <c r="AC38" s="95"/>
    </row>
    <row r="39" spans="2:29" s="42" customFormat="1">
      <c r="B39" s="43"/>
      <c r="C39" s="43"/>
      <c r="D39" s="44"/>
      <c r="E39" s="44"/>
      <c r="F39" s="44"/>
      <c r="G39" s="43"/>
      <c r="H39" s="65" t="s">
        <v>99</v>
      </c>
      <c r="I39" s="65" t="s">
        <v>94</v>
      </c>
      <c r="J39" s="53" t="s">
        <v>83</v>
      </c>
      <c r="K39" s="53">
        <v>10</v>
      </c>
      <c r="L39" s="66"/>
      <c r="M39" s="67">
        <f>3233680*K39</f>
        <v>32336800</v>
      </c>
      <c r="N39" s="67">
        <f t="shared" si="18"/>
        <v>32336800</v>
      </c>
      <c r="O39" s="67"/>
      <c r="P39" s="67">
        <f t="shared" si="19"/>
        <v>32336800</v>
      </c>
      <c r="Q39" s="41"/>
      <c r="R39" s="67">
        <f>P39</f>
        <v>32336800</v>
      </c>
      <c r="S39" s="67"/>
      <c r="T39" s="44"/>
      <c r="U39" s="101">
        <v>0</v>
      </c>
      <c r="V39" s="104">
        <f t="shared" si="12"/>
        <v>0</v>
      </c>
      <c r="W39" s="108" t="e">
        <f t="shared" si="17"/>
        <v>#DIV/0!</v>
      </c>
      <c r="AB39" s="94"/>
      <c r="AC39" s="95"/>
    </row>
    <row r="40" spans="2:29" s="42" customFormat="1">
      <c r="B40" s="43"/>
      <c r="C40" s="43"/>
      <c r="D40" s="44"/>
      <c r="E40" s="44"/>
      <c r="F40" s="44"/>
      <c r="G40" s="43"/>
      <c r="H40" s="58" t="s">
        <v>98</v>
      </c>
      <c r="I40" s="58" t="s">
        <v>95</v>
      </c>
      <c r="J40" s="40" t="s">
        <v>84</v>
      </c>
      <c r="K40" s="40">
        <v>10</v>
      </c>
      <c r="L40" s="63"/>
      <c r="M40" s="41">
        <f>2058600*K40</f>
        <v>20586000</v>
      </c>
      <c r="N40" s="41">
        <f t="shared" si="18"/>
        <v>20586000</v>
      </c>
      <c r="O40" s="19"/>
      <c r="P40" s="41">
        <f t="shared" si="19"/>
        <v>20586000</v>
      </c>
      <c r="Q40" s="41">
        <f t="shared" si="20"/>
        <v>20586000</v>
      </c>
      <c r="R40" s="19"/>
      <c r="S40" s="19"/>
      <c r="T40" s="44"/>
      <c r="U40" s="101">
        <f>Q40*0.5</f>
        <v>10293000</v>
      </c>
      <c r="V40" s="104">
        <f t="shared" si="12"/>
        <v>0.5</v>
      </c>
      <c r="W40" s="104">
        <f t="shared" si="17"/>
        <v>0.5</v>
      </c>
      <c r="X40" s="93" t="s">
        <v>165</v>
      </c>
      <c r="Y40" s="93" t="s">
        <v>167</v>
      </c>
    </row>
    <row r="41" spans="2:29" s="42" customFormat="1">
      <c r="B41" s="43"/>
      <c r="C41" s="43"/>
      <c r="D41" s="44"/>
      <c r="E41" s="44"/>
      <c r="F41" s="44"/>
      <c r="G41" s="43"/>
      <c r="H41" s="58" t="s">
        <v>99</v>
      </c>
      <c r="I41" s="58" t="s">
        <v>96</v>
      </c>
      <c r="J41" s="40" t="s">
        <v>85</v>
      </c>
      <c r="K41" s="40">
        <v>10</v>
      </c>
      <c r="L41" s="59"/>
      <c r="M41" s="41">
        <f>937500*K41</f>
        <v>9375000</v>
      </c>
      <c r="N41" s="41">
        <f t="shared" si="18"/>
        <v>9375000</v>
      </c>
      <c r="O41" s="41"/>
      <c r="P41" s="41">
        <f t="shared" si="19"/>
        <v>9375000</v>
      </c>
      <c r="Q41" s="41">
        <f>P41</f>
        <v>9375000</v>
      </c>
      <c r="S41" s="67"/>
      <c r="T41" s="44"/>
      <c r="U41" s="101">
        <v>0</v>
      </c>
      <c r="V41" s="104">
        <f t="shared" si="12"/>
        <v>0</v>
      </c>
      <c r="W41" s="122">
        <f t="shared" si="17"/>
        <v>0</v>
      </c>
    </row>
    <row r="42" spans="2:29" s="42" customFormat="1">
      <c r="B42" s="43"/>
      <c r="C42" s="43"/>
      <c r="D42" s="44"/>
      <c r="E42" s="44"/>
      <c r="F42" s="44"/>
      <c r="G42" s="43"/>
      <c r="H42" s="65" t="s">
        <v>98</v>
      </c>
      <c r="I42" s="65" t="s">
        <v>97</v>
      </c>
      <c r="J42" s="53" t="s">
        <v>86</v>
      </c>
      <c r="K42" s="53">
        <v>20</v>
      </c>
      <c r="L42" s="66"/>
      <c r="M42" s="67">
        <f>2285280*K42</f>
        <v>45705600</v>
      </c>
      <c r="N42" s="67">
        <f t="shared" si="18"/>
        <v>45705600</v>
      </c>
      <c r="O42" s="67"/>
      <c r="P42" s="67">
        <f t="shared" si="19"/>
        <v>45705600</v>
      </c>
      <c r="R42" s="67">
        <f>P42</f>
        <v>45705600</v>
      </c>
      <c r="S42" s="19"/>
      <c r="T42" s="44"/>
      <c r="U42" s="101">
        <v>0</v>
      </c>
      <c r="V42" s="104">
        <f t="shared" si="12"/>
        <v>0</v>
      </c>
      <c r="W42" s="108" t="e">
        <f t="shared" ref="W42" si="21">U42/$Q42</f>
        <v>#DIV/0!</v>
      </c>
    </row>
    <row r="43" spans="2:29" s="42" customFormat="1">
      <c r="B43" s="43"/>
      <c r="C43" s="43"/>
      <c r="D43" s="44"/>
      <c r="E43" s="44"/>
      <c r="F43" s="44"/>
      <c r="G43" s="43"/>
      <c r="H43" s="62"/>
      <c r="I43" s="62"/>
      <c r="J43" s="44"/>
      <c r="K43" s="44"/>
      <c r="L43" s="63"/>
      <c r="M43" s="19"/>
      <c r="N43" s="19"/>
      <c r="O43" s="19"/>
      <c r="P43" s="19"/>
      <c r="Q43" s="19"/>
      <c r="R43" s="19"/>
      <c r="S43" s="19"/>
      <c r="T43" s="44"/>
      <c r="U43" s="103"/>
      <c r="V43" s="103"/>
      <c r="W43" s="103"/>
    </row>
    <row r="44" spans="2:29" s="42" customFormat="1">
      <c r="B44" s="43"/>
      <c r="C44" s="43"/>
      <c r="D44" s="44"/>
      <c r="E44" s="44"/>
      <c r="F44" s="44"/>
      <c r="G44" s="43"/>
      <c r="H44" s="62"/>
      <c r="I44" s="62"/>
      <c r="J44" s="44"/>
      <c r="K44" s="44"/>
      <c r="L44" s="63"/>
      <c r="M44" s="19"/>
      <c r="N44" s="19"/>
      <c r="O44" s="19"/>
      <c r="P44" s="19"/>
      <c r="Q44" s="19"/>
      <c r="R44" s="19"/>
      <c r="S44" s="19"/>
      <c r="T44" s="44"/>
      <c r="U44" s="103"/>
      <c r="V44" s="103"/>
      <c r="W44" s="103"/>
    </row>
    <row r="45" spans="2:29" s="42" customFormat="1">
      <c r="B45" s="43"/>
      <c r="C45" s="43"/>
      <c r="D45" s="44"/>
      <c r="E45" s="44"/>
      <c r="F45" s="44"/>
      <c r="G45" s="43"/>
      <c r="H45" s="62"/>
      <c r="I45" s="62"/>
      <c r="J45" s="44"/>
      <c r="K45" s="44"/>
      <c r="L45" s="63"/>
      <c r="M45" s="19"/>
      <c r="N45" s="19"/>
      <c r="O45" s="19"/>
      <c r="P45" s="19"/>
      <c r="Q45" s="19"/>
      <c r="R45" s="19"/>
      <c r="S45" s="19"/>
      <c r="T45" s="44"/>
      <c r="U45" s="103"/>
      <c r="V45" s="103"/>
      <c r="W45" s="103"/>
    </row>
    <row r="46" spans="2:29" s="42" customFormat="1">
      <c r="B46" s="43"/>
      <c r="C46" s="43"/>
      <c r="D46" s="44"/>
      <c r="E46" s="44"/>
      <c r="F46" s="44"/>
      <c r="G46" s="43"/>
      <c r="H46" s="62"/>
      <c r="I46" s="62"/>
      <c r="J46" s="44"/>
      <c r="K46" s="44"/>
      <c r="L46" s="63"/>
      <c r="M46" s="19"/>
      <c r="N46" s="19"/>
      <c r="O46" s="19"/>
      <c r="P46" s="19"/>
      <c r="Q46" s="19"/>
      <c r="R46" s="19"/>
      <c r="S46" s="19"/>
      <c r="T46" s="44"/>
      <c r="U46" s="103"/>
      <c r="V46" s="103"/>
      <c r="W46" s="103"/>
    </row>
    <row r="47" spans="2:29" s="42" customFormat="1">
      <c r="B47" s="43"/>
      <c r="C47" s="43"/>
      <c r="D47" s="44"/>
      <c r="E47" s="44"/>
      <c r="F47" s="44"/>
      <c r="G47" s="43"/>
      <c r="H47" s="62"/>
      <c r="I47" s="62"/>
      <c r="J47" s="44"/>
      <c r="K47" s="44"/>
      <c r="L47" s="63"/>
      <c r="M47" s="19"/>
      <c r="N47" s="19"/>
      <c r="O47" s="19"/>
      <c r="P47" s="19"/>
      <c r="Q47" s="19"/>
      <c r="R47" s="19"/>
      <c r="S47" s="19"/>
      <c r="T47" s="44"/>
      <c r="U47" s="103"/>
      <c r="V47" s="103"/>
      <c r="W47" s="103"/>
    </row>
    <row r="48" spans="2:29" s="42" customFormat="1">
      <c r="B48" s="43"/>
      <c r="C48" s="43"/>
      <c r="D48" s="44"/>
      <c r="E48" s="44"/>
      <c r="F48" s="44"/>
      <c r="G48" s="43"/>
      <c r="H48" s="62"/>
      <c r="I48" s="62"/>
      <c r="J48" s="44"/>
      <c r="K48" s="44"/>
      <c r="L48" s="63"/>
      <c r="M48" s="19"/>
      <c r="N48" s="19"/>
      <c r="O48" s="19"/>
      <c r="P48" s="19"/>
      <c r="Q48" s="19"/>
      <c r="R48" s="19"/>
      <c r="S48" s="19"/>
      <c r="T48" s="44"/>
      <c r="U48" s="103"/>
      <c r="V48" s="103"/>
      <c r="W48" s="103"/>
    </row>
    <row r="49" spans="2:23">
      <c r="B49" s="2"/>
      <c r="C49" s="149" t="s">
        <v>12</v>
      </c>
      <c r="D49" s="150"/>
      <c r="E49" s="150"/>
      <c r="F49" s="150"/>
      <c r="G49" s="150"/>
      <c r="H49" s="150"/>
      <c r="I49" s="150"/>
      <c r="J49" s="57"/>
      <c r="K49" s="57"/>
      <c r="L49" s="11">
        <f>SUM(L4:L48)</f>
        <v>0</v>
      </c>
      <c r="M49" s="16">
        <f>SUM(M4:M48)</f>
        <v>1488279419</v>
      </c>
      <c r="N49" s="10">
        <f>SUM(N4:N48)</f>
        <v>1488279419</v>
      </c>
      <c r="O49" s="10"/>
      <c r="P49" s="16">
        <f>SUM(P4:P48)</f>
        <v>1488279419</v>
      </c>
      <c r="Q49" s="16">
        <f>SUM(Q4:Q48)</f>
        <v>1059434943.3000001</v>
      </c>
      <c r="R49" s="16">
        <f>SUM(R4:R48)</f>
        <v>428844475.69999993</v>
      </c>
      <c r="S49" s="16">
        <f>SUM(S4:S48)</f>
        <v>0</v>
      </c>
      <c r="T49" s="9"/>
      <c r="U49" s="106">
        <f>SUM(U4:U48)</f>
        <v>828834550.30000007</v>
      </c>
      <c r="V49" s="104">
        <f t="shared" ref="V49" si="22">U49/$P49</f>
        <v>0.55690788955269432</v>
      </c>
      <c r="W49" s="105">
        <f t="shared" ref="W49" si="23">U49/$Q49</f>
        <v>0.78233642900081224</v>
      </c>
    </row>
    <row r="50" spans="2:23">
      <c r="M50" s="15"/>
      <c r="O50" s="13"/>
      <c r="P50" s="14"/>
      <c r="Q50" s="14"/>
      <c r="R50" s="14"/>
      <c r="S50" s="18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2288-55C1-4CD4-AD9E-F7C43E203E90}">
  <dimension ref="B2:S24"/>
  <sheetViews>
    <sheetView workbookViewId="0"/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6" style="7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38.625" style="12" customWidth="1"/>
    <col min="10" max="10" width="11" style="7" customWidth="1"/>
    <col min="11" max="11" width="21.5" style="8" bestFit="1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5.625" style="17" bestFit="1" customWidth="1"/>
    <col min="20" max="20" width="17.25" customWidth="1"/>
  </cols>
  <sheetData>
    <row r="2" spans="2:19">
      <c r="B2" s="6"/>
      <c r="C2" s="6"/>
    </row>
    <row r="3" spans="2:19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33</v>
      </c>
      <c r="K3" s="9" t="s">
        <v>6</v>
      </c>
      <c r="L3" s="9" t="s">
        <v>7</v>
      </c>
      <c r="M3" s="9" t="s">
        <v>10</v>
      </c>
      <c r="N3" s="9" t="s">
        <v>11</v>
      </c>
      <c r="O3" s="9" t="s">
        <v>23</v>
      </c>
      <c r="P3" s="9" t="s">
        <v>27</v>
      </c>
      <c r="Q3" s="9" t="s">
        <v>29</v>
      </c>
      <c r="R3" s="9" t="s">
        <v>61</v>
      </c>
      <c r="S3" s="9" t="s">
        <v>5</v>
      </c>
    </row>
    <row r="4" spans="2:19" s="83" customFormat="1">
      <c r="B4" s="22">
        <v>1</v>
      </c>
      <c r="C4" s="22" t="s">
        <v>34</v>
      </c>
      <c r="D4" s="47" t="s">
        <v>109</v>
      </c>
      <c r="E4" s="47">
        <v>202410041</v>
      </c>
      <c r="F4" s="47"/>
      <c r="G4" s="22">
        <v>241004</v>
      </c>
      <c r="H4" s="80" t="s">
        <v>110</v>
      </c>
      <c r="I4" s="16" t="s">
        <v>111</v>
      </c>
      <c r="J4" s="81"/>
      <c r="K4" s="82"/>
      <c r="L4" s="16">
        <v>957811200</v>
      </c>
      <c r="M4" s="16">
        <f>L4</f>
        <v>957811200</v>
      </c>
      <c r="N4" s="16"/>
      <c r="O4" s="16"/>
      <c r="P4" s="16"/>
      <c r="Q4" s="16"/>
      <c r="R4" s="16"/>
      <c r="S4" s="16"/>
    </row>
    <row r="5" spans="2:19" s="42" customFormat="1">
      <c r="B5" s="43"/>
      <c r="C5" s="43"/>
      <c r="D5" s="44"/>
      <c r="E5" s="44"/>
      <c r="F5" s="44"/>
      <c r="G5" s="43"/>
      <c r="H5" s="65"/>
      <c r="I5" s="65"/>
      <c r="J5" s="53"/>
      <c r="K5" s="66"/>
      <c r="L5" s="67"/>
      <c r="M5" s="67"/>
      <c r="N5" s="67"/>
      <c r="O5" s="67"/>
      <c r="P5" s="67"/>
      <c r="Q5" s="67"/>
      <c r="R5" s="67"/>
      <c r="S5" s="53"/>
    </row>
    <row r="6" spans="2:19" s="42" customFormat="1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>
      <c r="B7" s="39"/>
      <c r="C7" s="39"/>
      <c r="D7" s="40"/>
      <c r="E7" s="40"/>
      <c r="F7" s="40"/>
      <c r="G7" s="39"/>
      <c r="H7" s="61"/>
      <c r="I7" s="58"/>
      <c r="J7" s="40"/>
      <c r="K7" s="59"/>
      <c r="L7" s="41"/>
      <c r="M7" s="41"/>
      <c r="N7" s="41"/>
      <c r="O7" s="41"/>
      <c r="P7" s="41"/>
      <c r="Q7" s="41"/>
      <c r="R7" s="41"/>
      <c r="S7" s="40"/>
    </row>
    <row r="8" spans="2:19" s="42" customFormat="1">
      <c r="B8" s="43"/>
      <c r="C8" s="43"/>
      <c r="D8" s="44"/>
      <c r="E8" s="44"/>
      <c r="F8" s="44"/>
      <c r="G8" s="43"/>
      <c r="H8" s="62"/>
      <c r="I8" s="62"/>
      <c r="J8" s="44"/>
      <c r="K8" s="63"/>
      <c r="L8" s="19"/>
      <c r="M8" s="19"/>
      <c r="N8" s="19"/>
      <c r="O8" s="19"/>
      <c r="P8" s="19"/>
      <c r="Q8" s="19"/>
      <c r="R8" s="19"/>
      <c r="S8" s="44"/>
    </row>
    <row r="9" spans="2:19" s="42" customFormat="1">
      <c r="B9" s="43"/>
      <c r="C9" s="43"/>
      <c r="D9" s="44"/>
      <c r="E9" s="44"/>
      <c r="F9" s="44"/>
      <c r="G9" s="43"/>
      <c r="H9" s="62"/>
      <c r="I9" s="62"/>
      <c r="J9" s="44"/>
      <c r="K9" s="63"/>
      <c r="L9" s="19"/>
      <c r="M9" s="19"/>
      <c r="N9" s="19"/>
      <c r="O9" s="19"/>
      <c r="P9" s="19"/>
      <c r="Q9" s="19"/>
      <c r="R9" s="19"/>
      <c r="S9" s="44"/>
    </row>
    <row r="10" spans="2:19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39"/>
      <c r="C12" s="39"/>
      <c r="D12" s="40"/>
      <c r="E12" s="40"/>
      <c r="F12" s="40"/>
      <c r="G12" s="39"/>
      <c r="H12" s="58"/>
      <c r="I12" s="58"/>
      <c r="J12" s="40"/>
      <c r="K12" s="59"/>
      <c r="L12" s="41"/>
      <c r="M12" s="41"/>
      <c r="N12" s="41"/>
      <c r="O12" s="41"/>
      <c r="P12" s="41"/>
      <c r="Q12" s="41"/>
      <c r="R12" s="41"/>
      <c r="S12" s="40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63"/>
      <c r="L14" s="19"/>
      <c r="M14" s="19"/>
      <c r="N14" s="19"/>
      <c r="O14" s="19"/>
      <c r="P14" s="19"/>
      <c r="Q14" s="19"/>
      <c r="R14" s="19"/>
      <c r="S14" s="44"/>
    </row>
    <row r="15" spans="2:19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>
      <c r="B23" s="2"/>
      <c r="C23" s="149" t="s">
        <v>12</v>
      </c>
      <c r="D23" s="150"/>
      <c r="E23" s="150"/>
      <c r="F23" s="150"/>
      <c r="G23" s="150"/>
      <c r="H23" s="150"/>
      <c r="I23" s="150"/>
      <c r="J23" s="57"/>
      <c r="K23" s="11"/>
      <c r="L23" s="16">
        <f>SUM(L4:L22)</f>
        <v>957811200</v>
      </c>
      <c r="M23" s="10">
        <f>SUM(M4:M22)</f>
        <v>957811200</v>
      </c>
      <c r="N23" s="10"/>
      <c r="O23" s="16">
        <f>SUM(O4:O22)</f>
        <v>0</v>
      </c>
      <c r="P23" s="16">
        <f>SUM(P4:P22)</f>
        <v>0</v>
      </c>
      <c r="Q23" s="16">
        <f>SUM(Q4:Q22)</f>
        <v>0</v>
      </c>
      <c r="R23" s="16">
        <f>SUM(R4:R22)</f>
        <v>0</v>
      </c>
      <c r="S23" s="9"/>
    </row>
    <row r="24" spans="2:19">
      <c r="L24" s="15"/>
      <c r="N24" s="13"/>
      <c r="O24" s="14"/>
      <c r="P24" s="14"/>
      <c r="Q24" s="14"/>
      <c r="R24" s="18"/>
    </row>
  </sheetData>
  <mergeCells count="1">
    <mergeCell ref="C23:I2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B949-D677-4E2F-92FA-809AB42C3220}">
  <dimension ref="B2:X24"/>
  <sheetViews>
    <sheetView topLeftCell="K1" zoomScaleNormal="100" workbookViewId="0">
      <selection activeCell="V23" sqref="V23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12.25" style="7" customWidth="1"/>
    <col min="6" max="6" width="14.875" style="7" bestFit="1" customWidth="1"/>
    <col min="7" max="7" width="10.75" style="1" customWidth="1"/>
    <col min="8" max="8" width="10.75" style="12" customWidth="1"/>
    <col min="9" max="9" width="33.625" style="12" customWidth="1"/>
    <col min="10" max="10" width="11" style="7" customWidth="1"/>
    <col min="11" max="11" width="18.125" style="8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13.375" style="17" bestFit="1" customWidth="1"/>
    <col min="20" max="20" width="13.375" style="99" customWidth="1"/>
    <col min="21" max="21" width="15.875" style="17" bestFit="1" customWidth="1"/>
    <col min="22" max="22" width="16.125" style="17" bestFit="1" customWidth="1"/>
    <col min="23" max="23" width="35.5" bestFit="1" customWidth="1"/>
    <col min="24" max="24" width="23.5" bestFit="1" customWidth="1"/>
  </cols>
  <sheetData>
    <row r="2" spans="2:24">
      <c r="B2" s="6"/>
      <c r="C2" s="6"/>
    </row>
    <row r="3" spans="2:24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33</v>
      </c>
      <c r="K3" s="9" t="s">
        <v>6</v>
      </c>
      <c r="L3" s="9" t="s">
        <v>7</v>
      </c>
      <c r="M3" s="9" t="s">
        <v>10</v>
      </c>
      <c r="N3" s="9" t="s">
        <v>11</v>
      </c>
      <c r="O3" s="9" t="s">
        <v>23</v>
      </c>
      <c r="P3" s="9" t="s">
        <v>27</v>
      </c>
      <c r="Q3" s="9" t="s">
        <v>29</v>
      </c>
      <c r="R3" s="9" t="s">
        <v>61</v>
      </c>
      <c r="S3" s="9" t="s">
        <v>5</v>
      </c>
      <c r="T3" s="100" t="s">
        <v>183</v>
      </c>
      <c r="U3" s="100" t="s">
        <v>184</v>
      </c>
      <c r="V3" s="100" t="s">
        <v>186</v>
      </c>
    </row>
    <row r="4" spans="2:24" s="87" customFormat="1">
      <c r="B4" s="43">
        <v>1</v>
      </c>
      <c r="C4" s="43" t="s">
        <v>34</v>
      </c>
      <c r="D4" s="44" t="s">
        <v>55</v>
      </c>
      <c r="E4" s="44">
        <v>202408114</v>
      </c>
      <c r="F4" s="44"/>
      <c r="G4" s="43">
        <v>240509</v>
      </c>
      <c r="H4" s="62" t="s">
        <v>50</v>
      </c>
      <c r="I4" s="19" t="s">
        <v>56</v>
      </c>
      <c r="J4" s="78"/>
      <c r="K4" s="63"/>
      <c r="L4" s="19">
        <v>207254910</v>
      </c>
      <c r="M4" s="19">
        <f>L4</f>
        <v>207254910</v>
      </c>
      <c r="N4" s="19"/>
      <c r="O4" s="19"/>
      <c r="P4" s="19"/>
      <c r="Q4" s="19"/>
      <c r="R4" s="19"/>
      <c r="S4" s="19"/>
      <c r="T4" s="107"/>
      <c r="U4" s="19"/>
      <c r="V4" s="19"/>
    </row>
    <row r="5" spans="2:24" s="42" customFormat="1">
      <c r="B5" s="41">
        <v>2</v>
      </c>
      <c r="C5" s="41" t="s">
        <v>34</v>
      </c>
      <c r="D5" s="41" t="s">
        <v>55</v>
      </c>
      <c r="E5" s="91">
        <v>202411031</v>
      </c>
      <c r="F5" s="41"/>
      <c r="G5" s="91">
        <v>241029</v>
      </c>
      <c r="H5" s="41" t="s">
        <v>117</v>
      </c>
      <c r="I5" s="41" t="s">
        <v>118</v>
      </c>
      <c r="J5" s="41"/>
      <c r="K5" s="41"/>
      <c r="L5" s="41">
        <v>1900000</v>
      </c>
      <c r="M5" s="41"/>
      <c r="N5" s="16"/>
      <c r="O5" s="41">
        <f>L5</f>
        <v>1900000</v>
      </c>
      <c r="P5" s="41">
        <f>O5</f>
        <v>1900000</v>
      </c>
      <c r="Q5" s="19"/>
      <c r="R5" s="19"/>
      <c r="S5" s="89" t="s">
        <v>185</v>
      </c>
      <c r="T5" s="106">
        <v>1900000</v>
      </c>
      <c r="U5" s="104">
        <f>$T5/O5</f>
        <v>1</v>
      </c>
      <c r="V5" s="104">
        <f>$T5/P5</f>
        <v>1</v>
      </c>
      <c r="W5" s="92" t="s">
        <v>173</v>
      </c>
      <c r="X5" s="92" t="s">
        <v>182</v>
      </c>
    </row>
    <row r="6" spans="2:24" s="42" customFormat="1">
      <c r="B6" s="43"/>
      <c r="C6" s="43"/>
      <c r="D6" s="44"/>
      <c r="E6" s="44"/>
      <c r="F6" s="44"/>
      <c r="G6" s="43"/>
      <c r="H6" s="62"/>
      <c r="I6" s="62"/>
      <c r="J6" s="44"/>
      <c r="K6" s="63"/>
      <c r="L6" s="19"/>
      <c r="M6" s="19"/>
      <c r="N6" s="19"/>
      <c r="O6" s="19"/>
      <c r="P6" s="19"/>
      <c r="Q6" s="19"/>
      <c r="R6" s="19"/>
      <c r="S6" s="44"/>
      <c r="T6" s="107"/>
      <c r="U6" s="19"/>
      <c r="V6" s="19"/>
    </row>
    <row r="7" spans="2:24" s="42" customFormat="1">
      <c r="B7" s="43"/>
      <c r="C7" s="43"/>
      <c r="D7" s="44"/>
      <c r="E7" s="44"/>
      <c r="F7" s="44"/>
      <c r="G7" s="43"/>
      <c r="H7" s="88"/>
      <c r="I7" s="62"/>
      <c r="J7" s="44"/>
      <c r="K7" s="63"/>
      <c r="L7" s="19"/>
      <c r="M7" s="19"/>
      <c r="N7" s="19"/>
      <c r="O7" s="19"/>
      <c r="P7" s="19"/>
      <c r="Q7" s="19"/>
      <c r="R7" s="19"/>
      <c r="S7" s="44"/>
      <c r="T7" s="107"/>
      <c r="U7" s="19"/>
      <c r="V7" s="19"/>
    </row>
    <row r="8" spans="2:24" s="42" customFormat="1">
      <c r="B8" s="43"/>
      <c r="C8" s="43"/>
      <c r="D8" s="44"/>
      <c r="E8" s="44"/>
      <c r="F8" s="44"/>
      <c r="G8" s="43"/>
      <c r="H8" s="62"/>
      <c r="I8" s="62"/>
      <c r="J8" s="44"/>
      <c r="K8" s="63"/>
      <c r="L8" s="19"/>
      <c r="M8" s="19"/>
      <c r="N8" s="19"/>
      <c r="O8" s="19"/>
      <c r="P8" s="19"/>
      <c r="Q8" s="19"/>
      <c r="R8" s="19"/>
      <c r="S8" s="44"/>
      <c r="T8" s="107"/>
      <c r="U8" s="19"/>
      <c r="V8" s="19"/>
    </row>
    <row r="9" spans="2:24" s="42" customFormat="1">
      <c r="B9" s="43"/>
      <c r="C9" s="43"/>
      <c r="D9" s="44"/>
      <c r="E9" s="44"/>
      <c r="F9" s="44"/>
      <c r="G9" s="43"/>
      <c r="H9" s="62"/>
      <c r="I9" s="62"/>
      <c r="J9" s="44"/>
      <c r="K9" s="63"/>
      <c r="L9" s="19"/>
      <c r="M9" s="19"/>
      <c r="N9" s="19"/>
      <c r="O9" s="19"/>
      <c r="P9" s="19"/>
      <c r="Q9" s="19"/>
      <c r="R9" s="19"/>
      <c r="S9" s="44"/>
      <c r="T9" s="107"/>
      <c r="U9" s="19"/>
      <c r="V9" s="19"/>
    </row>
    <row r="10" spans="2:24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  <c r="T10" s="107"/>
      <c r="U10" s="19"/>
      <c r="V10" s="19"/>
    </row>
    <row r="11" spans="2:24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  <c r="T11" s="107"/>
      <c r="U11" s="19"/>
      <c r="V11" s="19"/>
    </row>
    <row r="12" spans="2:24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  <c r="T12" s="107"/>
      <c r="U12" s="19"/>
      <c r="V12" s="19"/>
    </row>
    <row r="13" spans="2:24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  <c r="T13" s="107"/>
      <c r="U13" s="19"/>
      <c r="V13" s="19"/>
    </row>
    <row r="14" spans="2:24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63"/>
      <c r="L14" s="19"/>
      <c r="M14" s="19"/>
      <c r="N14" s="19"/>
      <c r="O14" s="19"/>
      <c r="P14" s="19"/>
      <c r="Q14" s="19"/>
      <c r="R14" s="19"/>
      <c r="S14" s="44"/>
      <c r="T14" s="107"/>
      <c r="U14" s="19"/>
      <c r="V14" s="19"/>
    </row>
    <row r="15" spans="2:24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  <c r="T15" s="107"/>
      <c r="U15" s="19"/>
      <c r="V15" s="19"/>
    </row>
    <row r="16" spans="2:24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  <c r="T16" s="107"/>
      <c r="U16" s="19"/>
      <c r="V16" s="19"/>
    </row>
    <row r="17" spans="2:22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  <c r="T17" s="107"/>
      <c r="U17" s="19"/>
      <c r="V17" s="19"/>
    </row>
    <row r="18" spans="2:22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  <c r="T18" s="107"/>
      <c r="U18" s="19"/>
      <c r="V18" s="19"/>
    </row>
    <row r="19" spans="2:22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  <c r="T19" s="107"/>
      <c r="U19" s="19"/>
      <c r="V19" s="19"/>
    </row>
    <row r="20" spans="2:22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  <c r="T20" s="107"/>
      <c r="U20" s="19"/>
      <c r="V20" s="19"/>
    </row>
    <row r="21" spans="2:22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  <c r="T21" s="107"/>
      <c r="U21" s="19"/>
      <c r="V21" s="19"/>
    </row>
    <row r="22" spans="2:22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  <c r="T22" s="107"/>
      <c r="U22" s="19"/>
      <c r="V22" s="19"/>
    </row>
    <row r="23" spans="2:22">
      <c r="B23" s="2"/>
      <c r="C23" s="149" t="s">
        <v>12</v>
      </c>
      <c r="D23" s="150"/>
      <c r="E23" s="150"/>
      <c r="F23" s="150"/>
      <c r="G23" s="150"/>
      <c r="H23" s="150"/>
      <c r="I23" s="150"/>
      <c r="J23" s="57"/>
      <c r="K23" s="11">
        <f>SUM(K4:K22)</f>
        <v>0</v>
      </c>
      <c r="L23" s="16">
        <f>SUM(L4:L22)</f>
        <v>209154910</v>
      </c>
      <c r="M23" s="10">
        <f>SUM(M4:M22)</f>
        <v>207254910</v>
      </c>
      <c r="N23" s="10"/>
      <c r="O23" s="16">
        <f>SUM(O4:O22)</f>
        <v>1900000</v>
      </c>
      <c r="P23" s="16">
        <f>SUM(P4:P22)</f>
        <v>1900000</v>
      </c>
      <c r="Q23" s="16">
        <f>SUM(Q4:Q22)</f>
        <v>0</v>
      </c>
      <c r="R23" s="16">
        <f>SUM(R4:R22)</f>
        <v>0</v>
      </c>
      <c r="S23" s="9"/>
      <c r="T23" s="106">
        <f>SUM(T5:T22)</f>
        <v>1900000</v>
      </c>
      <c r="U23" s="104">
        <f>$T23/O23</f>
        <v>1</v>
      </c>
      <c r="V23" s="104">
        <f>$T23/P23</f>
        <v>1</v>
      </c>
    </row>
    <row r="24" spans="2:22">
      <c r="L24" s="15"/>
      <c r="N24" s="13"/>
      <c r="O24" s="14"/>
      <c r="P24" s="14"/>
      <c r="Q24" s="14"/>
      <c r="R24" s="18"/>
    </row>
  </sheetData>
  <mergeCells count="1">
    <mergeCell ref="C23:I2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CCE3-59A9-49C9-A7A9-DD883987F014}">
  <dimension ref="B2:Z27"/>
  <sheetViews>
    <sheetView zoomScale="85" zoomScaleNormal="85" workbookViewId="0">
      <pane xSplit="9" ySplit="3" topLeftCell="S4" activePane="bottomRight" state="frozen"/>
      <selection pane="topRight" activeCell="J1" sqref="J1"/>
      <selection pane="bottomLeft" activeCell="A4" sqref="A4"/>
      <selection pane="bottomRight" activeCell="V3" sqref="V3:X26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18.5" style="12" customWidth="1"/>
    <col min="10" max="11" width="33.25" style="7" customWidth="1"/>
    <col min="12" max="12" width="11" style="7" customWidth="1"/>
    <col min="13" max="13" width="21.5" style="8" bestFit="1" customWidth="1"/>
    <col min="14" max="14" width="15.875" style="8" customWidth="1"/>
    <col min="15" max="17" width="16.125" style="8" customWidth="1"/>
    <col min="18" max="19" width="18.125" style="8" customWidth="1"/>
    <col min="20" max="20" width="16.125" style="8" customWidth="1"/>
    <col min="21" max="21" width="22.875" style="17" bestFit="1" customWidth="1"/>
    <col min="22" max="22" width="15.25" style="17" bestFit="1" customWidth="1"/>
    <col min="23" max="23" width="15.875" style="17" bestFit="1" customWidth="1"/>
    <col min="24" max="24" width="16.125" bestFit="1" customWidth="1"/>
    <col min="25" max="25" width="35.5" bestFit="1" customWidth="1"/>
    <col min="26" max="26" width="23.5" bestFit="1" customWidth="1"/>
  </cols>
  <sheetData>
    <row r="2" spans="2:26">
      <c r="B2" s="6"/>
      <c r="C2" s="6"/>
    </row>
    <row r="3" spans="2:26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1</v>
      </c>
      <c r="K3" s="5" t="s">
        <v>25</v>
      </c>
      <c r="L3" s="5" t="s">
        <v>33</v>
      </c>
      <c r="M3" s="9" t="s">
        <v>6</v>
      </c>
      <c r="N3" s="9" t="s">
        <v>7</v>
      </c>
      <c r="O3" s="9" t="s">
        <v>10</v>
      </c>
      <c r="P3" s="9" t="s">
        <v>11</v>
      </c>
      <c r="Q3" s="9" t="s">
        <v>23</v>
      </c>
      <c r="R3" s="9" t="s">
        <v>27</v>
      </c>
      <c r="S3" s="9" t="s">
        <v>29</v>
      </c>
      <c r="T3" s="9" t="s">
        <v>61</v>
      </c>
      <c r="U3" s="9" t="s">
        <v>5</v>
      </c>
      <c r="V3" s="100" t="s">
        <v>183</v>
      </c>
      <c r="W3" s="100" t="s">
        <v>184</v>
      </c>
      <c r="X3" s="100" t="s">
        <v>186</v>
      </c>
    </row>
    <row r="4" spans="2:26" s="1" customFormat="1">
      <c r="B4" s="39">
        <v>1</v>
      </c>
      <c r="C4" s="39" t="s">
        <v>34</v>
      </c>
      <c r="D4" s="40" t="s">
        <v>46</v>
      </c>
      <c r="E4" s="40" t="s">
        <v>48</v>
      </c>
      <c r="F4" s="40"/>
      <c r="G4" s="39"/>
      <c r="H4" s="58"/>
      <c r="I4" s="58" t="s">
        <v>54</v>
      </c>
      <c r="J4" s="58" t="s">
        <v>47</v>
      </c>
      <c r="K4" s="58" t="s">
        <v>47</v>
      </c>
      <c r="L4" s="64"/>
      <c r="M4" s="59"/>
      <c r="N4" s="41">
        <v>46840000</v>
      </c>
      <c r="O4" s="41">
        <f>N4</f>
        <v>46840000</v>
      </c>
      <c r="P4" s="41"/>
      <c r="Q4" s="41">
        <f>O4</f>
        <v>46840000</v>
      </c>
      <c r="R4" s="41">
        <f>Q4</f>
        <v>46840000</v>
      </c>
      <c r="S4" s="41"/>
      <c r="T4" s="41"/>
      <c r="U4" s="89" t="s">
        <v>187</v>
      </c>
      <c r="V4" s="106">
        <v>46840000</v>
      </c>
      <c r="W4" s="104">
        <f>$V4/Q4</f>
        <v>1</v>
      </c>
      <c r="X4" s="104">
        <f>$V4/R4</f>
        <v>1</v>
      </c>
      <c r="Y4" s="92" t="s">
        <v>173</v>
      </c>
      <c r="Z4" s="92" t="s">
        <v>177</v>
      </c>
    </row>
    <row r="5" spans="2:26" s="42" customFormat="1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59"/>
      <c r="N5" s="41"/>
      <c r="O5" s="41"/>
      <c r="P5" s="41"/>
      <c r="Q5" s="41"/>
      <c r="R5" s="41"/>
      <c r="S5" s="60"/>
      <c r="T5" s="41"/>
      <c r="U5" s="40"/>
      <c r="V5" s="106"/>
      <c r="W5" s="104"/>
      <c r="X5" s="104"/>
    </row>
    <row r="6" spans="2:26" s="42" customFormat="1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59"/>
      <c r="N6" s="41"/>
      <c r="O6" s="41"/>
      <c r="P6" s="41"/>
      <c r="Q6" s="41"/>
      <c r="R6" s="41"/>
      <c r="S6" s="60"/>
      <c r="T6" s="41"/>
      <c r="U6" s="40"/>
      <c r="V6" s="107"/>
      <c r="W6" s="19"/>
      <c r="X6" s="19"/>
    </row>
    <row r="7" spans="2:26" s="42" customFormat="1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59"/>
      <c r="N7" s="41"/>
      <c r="O7" s="41"/>
      <c r="P7" s="41"/>
      <c r="Q7" s="41"/>
      <c r="R7" s="41"/>
      <c r="S7" s="41"/>
      <c r="T7" s="41"/>
      <c r="U7" s="40"/>
      <c r="V7" s="107"/>
      <c r="W7" s="19"/>
      <c r="X7" s="19"/>
    </row>
    <row r="8" spans="2:26" s="42" customFormat="1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66"/>
      <c r="N8" s="67"/>
      <c r="O8" s="67"/>
      <c r="P8" s="67"/>
      <c r="Q8" s="67"/>
      <c r="R8" s="67"/>
      <c r="S8" s="67"/>
      <c r="T8" s="67"/>
      <c r="U8" s="53"/>
      <c r="V8" s="107"/>
      <c r="W8" s="19"/>
      <c r="X8" s="19"/>
    </row>
    <row r="9" spans="2:26" s="42" customFormat="1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59"/>
      <c r="N9" s="41"/>
      <c r="O9" s="41"/>
      <c r="P9" s="41"/>
      <c r="Q9" s="41"/>
      <c r="R9" s="41"/>
      <c r="S9" s="41"/>
      <c r="T9" s="41"/>
      <c r="U9" s="40"/>
      <c r="V9" s="107"/>
      <c r="W9" s="19"/>
      <c r="X9" s="19"/>
    </row>
    <row r="10" spans="2:26" s="42" customFormat="1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59"/>
      <c r="N10" s="41"/>
      <c r="O10" s="41"/>
      <c r="P10" s="41"/>
      <c r="Q10" s="41"/>
      <c r="R10" s="41"/>
      <c r="S10" s="41"/>
      <c r="T10" s="41"/>
      <c r="U10" s="40"/>
      <c r="V10" s="107"/>
      <c r="W10" s="19"/>
      <c r="X10" s="19"/>
    </row>
    <row r="11" spans="2:26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63"/>
      <c r="N11" s="19"/>
      <c r="O11" s="19"/>
      <c r="P11" s="19"/>
      <c r="Q11" s="19"/>
      <c r="R11" s="19"/>
      <c r="S11" s="19"/>
      <c r="T11" s="19"/>
      <c r="U11" s="44"/>
      <c r="V11" s="107"/>
      <c r="W11" s="19"/>
      <c r="X11" s="19"/>
    </row>
    <row r="12" spans="2:26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63"/>
      <c r="N12" s="19"/>
      <c r="O12" s="19"/>
      <c r="P12" s="19"/>
      <c r="Q12" s="19"/>
      <c r="R12" s="19"/>
      <c r="S12" s="19"/>
      <c r="T12" s="19"/>
      <c r="U12" s="44"/>
      <c r="V12" s="107"/>
      <c r="W12" s="19"/>
      <c r="X12" s="19"/>
    </row>
    <row r="13" spans="2:26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63"/>
      <c r="N13" s="19"/>
      <c r="O13" s="19"/>
      <c r="P13" s="19"/>
      <c r="Q13" s="19"/>
      <c r="R13" s="19"/>
      <c r="S13" s="19"/>
      <c r="T13" s="19"/>
      <c r="U13" s="44"/>
      <c r="V13" s="107"/>
      <c r="W13" s="19"/>
      <c r="X13" s="19"/>
    </row>
    <row r="14" spans="2:26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63"/>
      <c r="N14" s="19"/>
      <c r="O14" s="19"/>
      <c r="P14" s="19"/>
      <c r="Q14" s="19"/>
      <c r="R14" s="19"/>
      <c r="S14" s="19"/>
      <c r="T14" s="19"/>
      <c r="U14" s="44"/>
      <c r="V14" s="107"/>
      <c r="W14" s="19"/>
      <c r="X14" s="19"/>
    </row>
    <row r="15" spans="2:26" s="42" customFormat="1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59"/>
      <c r="N15" s="41"/>
      <c r="O15" s="41"/>
      <c r="P15" s="41"/>
      <c r="Q15" s="41"/>
      <c r="R15" s="41"/>
      <c r="S15" s="41"/>
      <c r="T15" s="41"/>
      <c r="U15" s="40"/>
      <c r="V15" s="107"/>
      <c r="W15" s="19"/>
      <c r="X15" s="19"/>
    </row>
    <row r="16" spans="2:26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63"/>
      <c r="N16" s="19"/>
      <c r="O16" s="19"/>
      <c r="P16" s="19"/>
      <c r="Q16" s="19"/>
      <c r="R16" s="19"/>
      <c r="S16" s="19"/>
      <c r="T16" s="19"/>
      <c r="U16" s="44"/>
      <c r="V16" s="107"/>
      <c r="W16" s="19"/>
      <c r="X16" s="19"/>
    </row>
    <row r="17" spans="2:24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63"/>
      <c r="N17" s="19"/>
      <c r="O17" s="19"/>
      <c r="P17" s="19"/>
      <c r="Q17" s="19"/>
      <c r="R17" s="19"/>
      <c r="S17" s="19"/>
      <c r="T17" s="19"/>
      <c r="U17" s="44"/>
      <c r="V17" s="107"/>
      <c r="W17" s="19"/>
      <c r="X17" s="19"/>
    </row>
    <row r="18" spans="2:24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63"/>
      <c r="N18" s="19"/>
      <c r="O18" s="19"/>
      <c r="P18" s="19"/>
      <c r="Q18" s="19"/>
      <c r="R18" s="19"/>
      <c r="S18" s="19"/>
      <c r="T18" s="19"/>
      <c r="U18" s="44"/>
      <c r="V18" s="107"/>
      <c r="W18" s="19"/>
      <c r="X18" s="19"/>
    </row>
    <row r="19" spans="2:24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63"/>
      <c r="N19" s="19"/>
      <c r="O19" s="19"/>
      <c r="P19" s="19"/>
      <c r="Q19" s="19"/>
      <c r="R19" s="19"/>
      <c r="S19" s="19"/>
      <c r="T19" s="19"/>
      <c r="U19" s="44"/>
      <c r="V19" s="107"/>
      <c r="W19" s="19"/>
      <c r="X19" s="19"/>
    </row>
    <row r="20" spans="2:24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63"/>
      <c r="N20" s="19"/>
      <c r="O20" s="19"/>
      <c r="P20" s="19"/>
      <c r="Q20" s="19"/>
      <c r="R20" s="19"/>
      <c r="S20" s="19"/>
      <c r="T20" s="19"/>
      <c r="U20" s="44"/>
      <c r="V20" s="107"/>
      <c r="W20" s="19"/>
      <c r="X20" s="19"/>
    </row>
    <row r="21" spans="2:24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63"/>
      <c r="N21" s="19"/>
      <c r="O21" s="19"/>
      <c r="P21" s="19"/>
      <c r="Q21" s="19"/>
      <c r="R21" s="19"/>
      <c r="S21" s="19"/>
      <c r="T21" s="19"/>
      <c r="U21" s="44"/>
      <c r="V21" s="107"/>
      <c r="W21" s="19"/>
      <c r="X21" s="19"/>
    </row>
    <row r="22" spans="2:24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63"/>
      <c r="N22" s="19"/>
      <c r="O22" s="19"/>
      <c r="P22" s="19"/>
      <c r="Q22" s="19"/>
      <c r="R22" s="19"/>
      <c r="S22" s="19"/>
      <c r="T22" s="19"/>
      <c r="U22" s="44"/>
      <c r="V22" s="107"/>
      <c r="W22" s="19"/>
      <c r="X22" s="19"/>
    </row>
    <row r="23" spans="2:24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63"/>
      <c r="N23" s="19"/>
      <c r="O23" s="19"/>
      <c r="P23" s="19"/>
      <c r="Q23" s="19"/>
      <c r="R23" s="19"/>
      <c r="S23" s="19"/>
      <c r="T23" s="19"/>
      <c r="U23" s="44"/>
      <c r="V23" s="107"/>
      <c r="W23" s="19"/>
      <c r="X23" s="19"/>
    </row>
    <row r="24" spans="2:24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63"/>
      <c r="N24" s="19"/>
      <c r="O24" s="19"/>
      <c r="P24" s="19"/>
      <c r="Q24" s="19"/>
      <c r="R24" s="19"/>
      <c r="S24" s="19"/>
      <c r="T24" s="19"/>
      <c r="U24" s="44"/>
      <c r="V24" s="107"/>
      <c r="W24" s="19"/>
      <c r="X24" s="19"/>
    </row>
    <row r="25" spans="2:24" s="42" customFormat="1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63"/>
      <c r="N25" s="19"/>
      <c r="O25" s="19"/>
      <c r="P25" s="19"/>
      <c r="Q25" s="19"/>
      <c r="R25" s="19"/>
      <c r="S25" s="19"/>
      <c r="T25" s="19"/>
      <c r="U25" s="44"/>
      <c r="V25" s="107"/>
      <c r="W25" s="19"/>
      <c r="X25" s="19"/>
    </row>
    <row r="26" spans="2:24">
      <c r="B26" s="2"/>
      <c r="C26" s="149" t="s">
        <v>12</v>
      </c>
      <c r="D26" s="150"/>
      <c r="E26" s="150"/>
      <c r="F26" s="150"/>
      <c r="G26" s="150"/>
      <c r="H26" s="150"/>
      <c r="I26" s="150"/>
      <c r="J26" s="143"/>
      <c r="K26" s="57"/>
      <c r="L26" s="57"/>
      <c r="M26" s="11">
        <f>SUM(M4:M25)</f>
        <v>0</v>
      </c>
      <c r="N26" s="16">
        <f>SUM(N4:N25)</f>
        <v>46840000</v>
      </c>
      <c r="O26" s="10">
        <f>SUM(O4:O25)</f>
        <v>46840000</v>
      </c>
      <c r="P26" s="10"/>
      <c r="Q26" s="16">
        <f>SUM(Q4:Q25)</f>
        <v>46840000</v>
      </c>
      <c r="R26" s="16">
        <f>SUM(R4:R25)</f>
        <v>46840000</v>
      </c>
      <c r="S26" s="16">
        <f>SUM(S4:S25)</f>
        <v>0</v>
      </c>
      <c r="T26" s="16">
        <f>SUM(T4:T25)</f>
        <v>0</v>
      </c>
      <c r="U26" s="9"/>
      <c r="V26" s="106">
        <f>SUM(V4:V25)</f>
        <v>46840000</v>
      </c>
      <c r="W26" s="104">
        <f>$V26/Q26</f>
        <v>1</v>
      </c>
      <c r="X26" s="104">
        <f>$V26/R26</f>
        <v>1</v>
      </c>
    </row>
    <row r="27" spans="2:24">
      <c r="N27" s="15"/>
      <c r="P27" s="13"/>
      <c r="Q27" s="14"/>
      <c r="R27" s="14"/>
      <c r="S27" s="14"/>
      <c r="T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2A77-F454-4743-B3C1-8206B8E63335}">
  <dimension ref="B2:W26"/>
  <sheetViews>
    <sheetView zoomScaleNormal="100" workbookViewId="0">
      <pane xSplit="9" ySplit="2" topLeftCell="R3" activePane="bottomRight" state="frozen"/>
      <selection pane="topRight" activeCell="J1" sqref="J1"/>
      <selection pane="bottomLeft" activeCell="A4" sqref="A4"/>
      <selection pane="bottomRight" activeCell="U2" sqref="U2:W2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14.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0" width="33.25" style="7" customWidth="1"/>
    <col min="11" max="11" width="11" style="7" customWidth="1"/>
    <col min="12" max="12" width="14.375" style="8" bestFit="1" customWidth="1"/>
    <col min="13" max="13" width="15.875" style="8" customWidth="1"/>
    <col min="14" max="16" width="16.125" style="8" customWidth="1"/>
    <col min="17" max="18" width="18.125" style="8" customWidth="1"/>
    <col min="19" max="19" width="16.125" style="8" customWidth="1"/>
    <col min="20" max="20" width="12.75" style="17" customWidth="1"/>
    <col min="21" max="21" width="17.25" customWidth="1"/>
    <col min="22" max="22" width="15.875" bestFit="1" customWidth="1"/>
    <col min="23" max="23" width="16.125" bestFit="1" customWidth="1"/>
  </cols>
  <sheetData>
    <row r="2" spans="2:23" s="1" customFormat="1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1</v>
      </c>
      <c r="K2" s="5" t="s">
        <v>33</v>
      </c>
      <c r="L2" s="9" t="s">
        <v>6</v>
      </c>
      <c r="M2" s="9" t="s">
        <v>7</v>
      </c>
      <c r="N2" s="9" t="s">
        <v>10</v>
      </c>
      <c r="O2" s="9" t="s">
        <v>11</v>
      </c>
      <c r="P2" s="9" t="s">
        <v>23</v>
      </c>
      <c r="Q2" s="9" t="s">
        <v>27</v>
      </c>
      <c r="R2" s="9" t="s">
        <v>29</v>
      </c>
      <c r="S2" s="9" t="s">
        <v>61</v>
      </c>
      <c r="T2" s="9" t="s">
        <v>5</v>
      </c>
      <c r="U2" s="100" t="s">
        <v>183</v>
      </c>
      <c r="V2" s="100" t="s">
        <v>184</v>
      </c>
      <c r="W2" s="100" t="s">
        <v>186</v>
      </c>
    </row>
    <row r="3" spans="2:23" s="1" customFormat="1">
      <c r="B3" s="40">
        <v>1</v>
      </c>
      <c r="C3" s="40" t="s">
        <v>34</v>
      </c>
      <c r="D3" s="40" t="s">
        <v>112</v>
      </c>
      <c r="E3" s="40">
        <v>202409271</v>
      </c>
      <c r="F3" s="40"/>
      <c r="G3" s="40">
        <v>240927</v>
      </c>
      <c r="H3" s="40" t="s">
        <v>113</v>
      </c>
      <c r="I3" s="40" t="s">
        <v>114</v>
      </c>
      <c r="J3" s="40"/>
      <c r="K3" s="40">
        <v>10</v>
      </c>
      <c r="L3" s="40"/>
      <c r="M3" s="86">
        <v>20350000</v>
      </c>
      <c r="N3" s="86"/>
      <c r="O3" s="86">
        <f>M3</f>
        <v>20350000</v>
      </c>
      <c r="P3" s="86">
        <v>11400000</v>
      </c>
      <c r="Q3" s="86">
        <v>11400000</v>
      </c>
      <c r="R3" s="86"/>
      <c r="S3" s="86"/>
      <c r="T3" s="86"/>
      <c r="U3" s="106">
        <v>0</v>
      </c>
      <c r="V3" s="104">
        <f>$U3/P3</f>
        <v>0</v>
      </c>
      <c r="W3" s="104">
        <f>$U3/Q3</f>
        <v>0</v>
      </c>
    </row>
    <row r="4" spans="2:23" s="42" customFormat="1">
      <c r="B4" s="39"/>
      <c r="C4" s="39"/>
      <c r="D4" s="40"/>
      <c r="E4" s="40"/>
      <c r="F4" s="40"/>
      <c r="G4" s="39"/>
      <c r="H4" s="58"/>
      <c r="I4" s="58"/>
      <c r="J4" s="40"/>
      <c r="K4" s="40"/>
      <c r="L4" s="59"/>
      <c r="M4" s="41"/>
      <c r="N4" s="41"/>
      <c r="O4" s="41"/>
      <c r="P4" s="41"/>
      <c r="Q4" s="41"/>
      <c r="R4" s="60"/>
      <c r="S4" s="41"/>
      <c r="T4" s="40"/>
      <c r="U4" s="106"/>
      <c r="V4" s="104"/>
      <c r="W4" s="104"/>
    </row>
    <row r="5" spans="2:23" s="42" customFormat="1">
      <c r="B5" s="39"/>
      <c r="C5" s="39"/>
      <c r="D5" s="40"/>
      <c r="E5" s="40"/>
      <c r="F5" s="40"/>
      <c r="G5" s="39"/>
      <c r="H5" s="58"/>
      <c r="I5" s="58"/>
      <c r="J5" s="40"/>
      <c r="K5" s="40"/>
      <c r="L5" s="59"/>
      <c r="M5" s="41"/>
      <c r="N5" s="41"/>
      <c r="O5" s="41"/>
      <c r="P5" s="41"/>
      <c r="Q5" s="41"/>
      <c r="R5" s="60"/>
      <c r="S5" s="41"/>
      <c r="T5" s="40"/>
      <c r="U5" s="107"/>
      <c r="V5" s="19"/>
      <c r="W5" s="19"/>
    </row>
    <row r="6" spans="2:23" s="42" customFormat="1">
      <c r="B6" s="39"/>
      <c r="C6" s="39"/>
      <c r="D6" s="40"/>
      <c r="E6" s="40"/>
      <c r="F6" s="40"/>
      <c r="G6" s="39"/>
      <c r="H6" s="58"/>
      <c r="I6" s="58"/>
      <c r="J6" s="40"/>
      <c r="K6" s="40"/>
      <c r="L6" s="59"/>
      <c r="M6" s="41"/>
      <c r="N6" s="41"/>
      <c r="O6" s="41"/>
      <c r="P6" s="41"/>
      <c r="Q6" s="41"/>
      <c r="R6" s="41"/>
      <c r="S6" s="41"/>
      <c r="T6" s="40"/>
      <c r="U6" s="107"/>
      <c r="V6" s="19"/>
      <c r="W6" s="19"/>
    </row>
    <row r="7" spans="2:23" s="42" customFormat="1">
      <c r="B7" s="43"/>
      <c r="C7" s="43"/>
      <c r="D7" s="44"/>
      <c r="E7" s="44"/>
      <c r="F7" s="44"/>
      <c r="G7" s="43"/>
      <c r="H7" s="65"/>
      <c r="I7" s="65"/>
      <c r="J7" s="53"/>
      <c r="K7" s="53"/>
      <c r="L7" s="66"/>
      <c r="M7" s="67"/>
      <c r="N7" s="67"/>
      <c r="O7" s="67"/>
      <c r="P7" s="67"/>
      <c r="Q7" s="67"/>
      <c r="R7" s="67"/>
      <c r="S7" s="67"/>
      <c r="T7" s="53"/>
      <c r="U7" s="107"/>
      <c r="V7" s="19"/>
      <c r="W7" s="19"/>
    </row>
    <row r="8" spans="2:23" s="42" customFormat="1">
      <c r="B8" s="39"/>
      <c r="C8" s="39"/>
      <c r="D8" s="40"/>
      <c r="E8" s="40"/>
      <c r="F8" s="40"/>
      <c r="G8" s="39"/>
      <c r="H8" s="58"/>
      <c r="I8" s="58"/>
      <c r="J8" s="40"/>
      <c r="K8" s="40"/>
      <c r="L8" s="59"/>
      <c r="M8" s="41"/>
      <c r="N8" s="41"/>
      <c r="O8" s="41"/>
      <c r="P8" s="41"/>
      <c r="Q8" s="41"/>
      <c r="R8" s="41"/>
      <c r="S8" s="41"/>
      <c r="T8" s="40"/>
      <c r="U8" s="107"/>
      <c r="V8" s="19"/>
      <c r="W8" s="19"/>
    </row>
    <row r="9" spans="2:23" s="42" customFormat="1">
      <c r="B9" s="39"/>
      <c r="C9" s="39"/>
      <c r="D9" s="40"/>
      <c r="E9" s="40"/>
      <c r="F9" s="40"/>
      <c r="G9" s="39"/>
      <c r="H9" s="61"/>
      <c r="I9" s="58"/>
      <c r="J9" s="40"/>
      <c r="K9" s="40"/>
      <c r="L9" s="59"/>
      <c r="M9" s="41"/>
      <c r="N9" s="41"/>
      <c r="O9" s="41"/>
      <c r="P9" s="41"/>
      <c r="Q9" s="41"/>
      <c r="R9" s="41"/>
      <c r="S9" s="41"/>
      <c r="T9" s="40"/>
      <c r="U9" s="107"/>
      <c r="V9" s="19"/>
      <c r="W9" s="19"/>
    </row>
    <row r="10" spans="2:23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44"/>
      <c r="L10" s="63"/>
      <c r="M10" s="19"/>
      <c r="N10" s="19"/>
      <c r="O10" s="19"/>
      <c r="P10" s="19"/>
      <c r="Q10" s="19"/>
      <c r="R10" s="19"/>
      <c r="S10" s="19"/>
      <c r="T10" s="44"/>
      <c r="U10" s="107"/>
      <c r="V10" s="19"/>
      <c r="W10" s="19"/>
    </row>
    <row r="11" spans="2:23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63"/>
      <c r="M11" s="19"/>
      <c r="N11" s="19"/>
      <c r="O11" s="19"/>
      <c r="P11" s="19"/>
      <c r="Q11" s="19"/>
      <c r="R11" s="19"/>
      <c r="S11" s="19"/>
      <c r="T11" s="44"/>
      <c r="U11" s="107"/>
      <c r="V11" s="19"/>
      <c r="W11" s="19"/>
    </row>
    <row r="12" spans="2:23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63"/>
      <c r="M12" s="19"/>
      <c r="N12" s="19"/>
      <c r="O12" s="19"/>
      <c r="P12" s="19"/>
      <c r="Q12" s="19"/>
      <c r="R12" s="19"/>
      <c r="S12" s="19"/>
      <c r="T12" s="44"/>
      <c r="U12" s="107"/>
      <c r="V12" s="19"/>
      <c r="W12" s="19"/>
    </row>
    <row r="13" spans="2:23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63"/>
      <c r="M13" s="19"/>
      <c r="N13" s="19"/>
      <c r="O13" s="19"/>
      <c r="P13" s="19"/>
      <c r="Q13" s="19"/>
      <c r="R13" s="19"/>
      <c r="S13" s="19"/>
      <c r="T13" s="44"/>
      <c r="U13" s="107"/>
      <c r="V13" s="19"/>
      <c r="W13" s="19"/>
    </row>
    <row r="14" spans="2:23" s="42" customFormat="1">
      <c r="B14" s="39"/>
      <c r="C14" s="39"/>
      <c r="D14" s="40"/>
      <c r="E14" s="40"/>
      <c r="F14" s="40"/>
      <c r="G14" s="39"/>
      <c r="H14" s="58"/>
      <c r="I14" s="58"/>
      <c r="J14" s="40"/>
      <c r="K14" s="40"/>
      <c r="L14" s="59"/>
      <c r="M14" s="41"/>
      <c r="N14" s="41"/>
      <c r="O14" s="41"/>
      <c r="P14" s="41"/>
      <c r="Q14" s="41"/>
      <c r="R14" s="41"/>
      <c r="S14" s="41"/>
      <c r="T14" s="40"/>
      <c r="U14" s="107"/>
      <c r="V14" s="19"/>
      <c r="W14" s="19"/>
    </row>
    <row r="15" spans="2:23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44"/>
      <c r="L15" s="63"/>
      <c r="M15" s="19"/>
      <c r="N15" s="19"/>
      <c r="O15" s="19"/>
      <c r="P15" s="19"/>
      <c r="Q15" s="19"/>
      <c r="R15" s="19"/>
      <c r="S15" s="19"/>
      <c r="T15" s="44"/>
      <c r="U15" s="107"/>
      <c r="V15" s="19"/>
      <c r="W15" s="19"/>
    </row>
    <row r="16" spans="2:23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63"/>
      <c r="M16" s="19"/>
      <c r="N16" s="19"/>
      <c r="O16" s="19"/>
      <c r="P16" s="19"/>
      <c r="Q16" s="19"/>
      <c r="R16" s="19"/>
      <c r="S16" s="19"/>
      <c r="T16" s="44"/>
      <c r="U16" s="107"/>
      <c r="V16" s="19"/>
      <c r="W16" s="19"/>
    </row>
    <row r="17" spans="2:23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63"/>
      <c r="M17" s="19"/>
      <c r="N17" s="19"/>
      <c r="O17" s="19"/>
      <c r="P17" s="19"/>
      <c r="Q17" s="19"/>
      <c r="R17" s="19"/>
      <c r="S17" s="19"/>
      <c r="T17" s="44"/>
      <c r="U17" s="107"/>
      <c r="V17" s="19"/>
      <c r="W17" s="19"/>
    </row>
    <row r="18" spans="2:23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63"/>
      <c r="M18" s="19"/>
      <c r="N18" s="19"/>
      <c r="O18" s="19"/>
      <c r="P18" s="19"/>
      <c r="Q18" s="19"/>
      <c r="R18" s="19"/>
      <c r="S18" s="19"/>
      <c r="T18" s="44"/>
      <c r="U18" s="107"/>
      <c r="V18" s="19"/>
      <c r="W18" s="19"/>
    </row>
    <row r="19" spans="2:23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63"/>
      <c r="M19" s="19"/>
      <c r="N19" s="19"/>
      <c r="O19" s="19"/>
      <c r="P19" s="19"/>
      <c r="Q19" s="19"/>
      <c r="R19" s="19"/>
      <c r="S19" s="19"/>
      <c r="T19" s="44"/>
      <c r="U19" s="107"/>
      <c r="V19" s="19"/>
      <c r="W19" s="19"/>
    </row>
    <row r="20" spans="2:23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63"/>
      <c r="M20" s="19"/>
      <c r="N20" s="19"/>
      <c r="O20" s="19"/>
      <c r="P20" s="19"/>
      <c r="Q20" s="19"/>
      <c r="R20" s="19"/>
      <c r="S20" s="19"/>
      <c r="T20" s="44"/>
      <c r="U20" s="107"/>
      <c r="V20" s="19"/>
      <c r="W20" s="19"/>
    </row>
    <row r="21" spans="2:23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63"/>
      <c r="M21" s="19"/>
      <c r="N21" s="19"/>
      <c r="O21" s="19"/>
      <c r="P21" s="19"/>
      <c r="Q21" s="19"/>
      <c r="R21" s="19"/>
      <c r="S21" s="19"/>
      <c r="T21" s="44"/>
      <c r="U21" s="107"/>
      <c r="V21" s="19"/>
      <c r="W21" s="19"/>
    </row>
    <row r="22" spans="2:23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63"/>
      <c r="M22" s="19"/>
      <c r="N22" s="19"/>
      <c r="O22" s="19"/>
      <c r="P22" s="19"/>
      <c r="Q22" s="19"/>
      <c r="R22" s="19"/>
      <c r="S22" s="19"/>
      <c r="T22" s="44"/>
      <c r="U22" s="107"/>
      <c r="V22" s="19"/>
      <c r="W22" s="19"/>
    </row>
    <row r="23" spans="2:23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63"/>
      <c r="M23" s="19"/>
      <c r="N23" s="19"/>
      <c r="O23" s="19"/>
      <c r="P23" s="19"/>
      <c r="Q23" s="19"/>
      <c r="R23" s="19"/>
      <c r="S23" s="19"/>
      <c r="T23" s="44"/>
      <c r="U23" s="107"/>
      <c r="V23" s="19"/>
      <c r="W23" s="19"/>
    </row>
    <row r="24" spans="2:23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63"/>
      <c r="M24" s="19"/>
      <c r="N24" s="19"/>
      <c r="O24" s="19"/>
      <c r="P24" s="19"/>
      <c r="Q24" s="19"/>
      <c r="R24" s="19"/>
      <c r="S24" s="19"/>
      <c r="T24" s="44"/>
      <c r="U24" s="107"/>
      <c r="V24" s="19"/>
      <c r="W24" s="19"/>
    </row>
    <row r="25" spans="2:23">
      <c r="B25" s="2"/>
      <c r="C25" s="149" t="s">
        <v>12</v>
      </c>
      <c r="D25" s="150"/>
      <c r="E25" s="150"/>
      <c r="F25" s="150"/>
      <c r="G25" s="150"/>
      <c r="H25" s="150"/>
      <c r="I25" s="150"/>
      <c r="J25" s="143"/>
      <c r="K25" s="57"/>
      <c r="L25" s="11">
        <f t="shared" ref="L25:S25" si="0">SUM(L3:L24)</f>
        <v>0</v>
      </c>
      <c r="M25" s="16">
        <f t="shared" si="0"/>
        <v>20350000</v>
      </c>
      <c r="N25" s="10">
        <f t="shared" si="0"/>
        <v>0</v>
      </c>
      <c r="O25" s="10">
        <f t="shared" si="0"/>
        <v>20350000</v>
      </c>
      <c r="P25" s="16">
        <f t="shared" si="0"/>
        <v>11400000</v>
      </c>
      <c r="Q25" s="16">
        <f t="shared" si="0"/>
        <v>11400000</v>
      </c>
      <c r="R25" s="16">
        <f t="shared" si="0"/>
        <v>0</v>
      </c>
      <c r="S25" s="16">
        <f t="shared" si="0"/>
        <v>0</v>
      </c>
      <c r="T25" s="9"/>
      <c r="U25" s="106">
        <f>SUM(U3:U24)</f>
        <v>0</v>
      </c>
      <c r="V25" s="104">
        <f>$U25/P25</f>
        <v>0</v>
      </c>
      <c r="W25" s="104">
        <f>$U25/Q25</f>
        <v>0</v>
      </c>
    </row>
    <row r="26" spans="2:23">
      <c r="M26" s="15"/>
      <c r="O26" s="13"/>
      <c r="P26" s="14"/>
      <c r="Q26" s="14"/>
      <c r="R26" s="14"/>
      <c r="S26" s="18"/>
    </row>
  </sheetData>
  <mergeCells count="1">
    <mergeCell ref="C25:J25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0B0F-D364-499C-AF7D-BBDEA65A1EDA}">
  <dimension ref="B2:W27"/>
  <sheetViews>
    <sheetView topLeftCell="O1" zoomScale="85" zoomScaleNormal="85" workbookViewId="0">
      <selection activeCell="T4" sqref="T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4.125" style="7" bestFit="1" customWidth="1"/>
    <col min="6" max="6" width="9.5" style="7" bestFit="1" customWidth="1"/>
    <col min="7" max="7" width="10.75" style="1" customWidth="1"/>
    <col min="8" max="8" width="10.75" style="12" customWidth="1"/>
    <col min="9" max="9" width="39.125" style="12" bestFit="1" customWidth="1"/>
    <col min="10" max="10" width="5.25" style="7" bestFit="1" customWidth="1"/>
    <col min="11" max="11" width="14.375" style="8" bestFit="1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57.375" style="17" bestFit="1" customWidth="1"/>
    <col min="20" max="20" width="15" style="99" bestFit="1" customWidth="1"/>
    <col min="21" max="21" width="15.875" style="17" bestFit="1" customWidth="1"/>
    <col min="22" max="22" width="16.125" bestFit="1" customWidth="1"/>
    <col min="23" max="23" width="49.125" bestFit="1" customWidth="1"/>
  </cols>
  <sheetData>
    <row r="2" spans="2:23">
      <c r="B2" s="6"/>
      <c r="C2" s="6"/>
    </row>
    <row r="3" spans="2:23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33</v>
      </c>
      <c r="K3" s="9" t="s">
        <v>6</v>
      </c>
      <c r="L3" s="9" t="s">
        <v>7</v>
      </c>
      <c r="M3" s="9" t="s">
        <v>10</v>
      </c>
      <c r="N3" s="9" t="s">
        <v>11</v>
      </c>
      <c r="O3" s="9" t="s">
        <v>23</v>
      </c>
      <c r="P3" s="9" t="s">
        <v>27</v>
      </c>
      <c r="Q3" s="9" t="s">
        <v>29</v>
      </c>
      <c r="R3" s="9" t="s">
        <v>61</v>
      </c>
      <c r="S3" s="9" t="s">
        <v>5</v>
      </c>
      <c r="T3" s="100" t="s">
        <v>183</v>
      </c>
      <c r="U3" s="100" t="s">
        <v>184</v>
      </c>
      <c r="V3" s="100" t="s">
        <v>186</v>
      </c>
    </row>
    <row r="4" spans="2:23" s="1" customFormat="1" ht="66">
      <c r="B4" s="39">
        <v>1</v>
      </c>
      <c r="C4" s="39" t="s">
        <v>34</v>
      </c>
      <c r="D4" s="40" t="s">
        <v>49</v>
      </c>
      <c r="E4" s="40" t="s">
        <v>57</v>
      </c>
      <c r="F4" s="40"/>
      <c r="G4" s="39">
        <v>240611</v>
      </c>
      <c r="H4" s="65" t="s">
        <v>58</v>
      </c>
      <c r="I4" s="41" t="s">
        <v>163</v>
      </c>
      <c r="J4" s="64"/>
      <c r="K4" s="59"/>
      <c r="L4" s="41">
        <v>270843306</v>
      </c>
      <c r="M4" s="41">
        <f>L4</f>
        <v>270843306</v>
      </c>
      <c r="N4" s="41"/>
      <c r="O4" s="41">
        <v>270000000</v>
      </c>
      <c r="P4" s="41">
        <v>81000000</v>
      </c>
      <c r="Q4" s="67">
        <f>O4-P4</f>
        <v>189000000</v>
      </c>
      <c r="R4" s="41"/>
      <c r="S4" s="109" t="s">
        <v>188</v>
      </c>
      <c r="T4" s="112">
        <v>81000000</v>
      </c>
      <c r="U4" s="114">
        <f>$T4/O4</f>
        <v>0.3</v>
      </c>
      <c r="V4" s="114">
        <f>$T4/P4</f>
        <v>1</v>
      </c>
      <c r="W4" s="93" t="s">
        <v>181</v>
      </c>
    </row>
    <row r="5" spans="2:23" s="42" customFormat="1" ht="49.5">
      <c r="B5" s="39">
        <v>2</v>
      </c>
      <c r="C5" s="39" t="s">
        <v>34</v>
      </c>
      <c r="D5" s="40" t="s">
        <v>49</v>
      </c>
      <c r="E5" s="40" t="s">
        <v>59</v>
      </c>
      <c r="F5" s="40"/>
      <c r="G5" s="39">
        <v>240829</v>
      </c>
      <c r="H5" s="65" t="s">
        <v>60</v>
      </c>
      <c r="I5" s="40" t="s">
        <v>52</v>
      </c>
      <c r="J5" s="40"/>
      <c r="K5" s="59"/>
      <c r="L5" s="41">
        <v>156423296</v>
      </c>
      <c r="M5" s="41">
        <f>L5</f>
        <v>156423296</v>
      </c>
      <c r="N5" s="41"/>
      <c r="O5" s="41">
        <v>140000000</v>
      </c>
      <c r="P5" s="41">
        <v>42000000</v>
      </c>
      <c r="Q5" s="84">
        <f>O5-P5</f>
        <v>98000000</v>
      </c>
      <c r="R5" s="41"/>
      <c r="S5" s="98" t="s">
        <v>189</v>
      </c>
      <c r="T5" s="113">
        <v>42000000</v>
      </c>
      <c r="U5" s="114">
        <f>$T5/O5</f>
        <v>0.3</v>
      </c>
      <c r="V5" s="114">
        <f>$T5/P5</f>
        <v>1</v>
      </c>
      <c r="W5" s="93" t="s">
        <v>180</v>
      </c>
    </row>
    <row r="6" spans="2:23" s="42" customFormat="1">
      <c r="B6" s="43">
        <v>3</v>
      </c>
      <c r="C6" s="43" t="s">
        <v>34</v>
      </c>
      <c r="D6" s="44" t="s">
        <v>49</v>
      </c>
      <c r="E6" s="44"/>
      <c r="F6" s="44"/>
      <c r="G6" s="43">
        <v>240812</v>
      </c>
      <c r="H6" s="62" t="s">
        <v>53</v>
      </c>
      <c r="I6" s="44" t="s">
        <v>119</v>
      </c>
      <c r="J6" s="44"/>
      <c r="K6" s="63"/>
      <c r="L6" s="19">
        <v>349398820</v>
      </c>
      <c r="M6" s="19">
        <f>L6</f>
        <v>349398820</v>
      </c>
      <c r="N6" s="19"/>
      <c r="O6" s="19"/>
      <c r="P6" s="19"/>
      <c r="Q6" s="79"/>
      <c r="R6" s="19"/>
      <c r="S6" s="44"/>
      <c r="T6" s="103"/>
      <c r="U6" s="44"/>
      <c r="V6" s="110"/>
    </row>
    <row r="7" spans="2:23" s="42" customFormat="1">
      <c r="B7" s="43">
        <v>4</v>
      </c>
      <c r="C7" s="43" t="s">
        <v>34</v>
      </c>
      <c r="D7" s="44" t="s">
        <v>49</v>
      </c>
      <c r="E7" s="44"/>
      <c r="F7" s="44"/>
      <c r="G7" s="43">
        <v>241118</v>
      </c>
      <c r="H7" s="62" t="s">
        <v>128</v>
      </c>
      <c r="I7" s="44" t="s">
        <v>120</v>
      </c>
      <c r="J7" s="44"/>
      <c r="K7" s="63"/>
      <c r="L7" s="19">
        <v>118513140</v>
      </c>
      <c r="M7" s="19">
        <f>L7</f>
        <v>118513140</v>
      </c>
      <c r="N7" s="19"/>
      <c r="O7" s="19"/>
      <c r="P7" s="19"/>
      <c r="Q7" s="19"/>
      <c r="R7" s="19"/>
      <c r="S7" s="44"/>
      <c r="T7" s="103"/>
      <c r="U7" s="44"/>
      <c r="V7" s="110"/>
    </row>
    <row r="8" spans="2:23" s="42" customFormat="1">
      <c r="B8" s="43">
        <v>5</v>
      </c>
      <c r="C8" s="43" t="s">
        <v>34</v>
      </c>
      <c r="D8" s="44" t="s">
        <v>49</v>
      </c>
      <c r="E8" s="44"/>
      <c r="F8" s="44"/>
      <c r="G8" s="43">
        <v>241118</v>
      </c>
      <c r="H8" s="43" t="s">
        <v>126</v>
      </c>
      <c r="I8" s="43" t="s">
        <v>127</v>
      </c>
      <c r="J8" s="53"/>
      <c r="K8" s="66"/>
      <c r="L8" s="19">
        <v>27967374</v>
      </c>
      <c r="M8" s="67"/>
      <c r="N8" s="19">
        <v>27967374</v>
      </c>
      <c r="O8" s="67"/>
      <c r="P8" s="67"/>
      <c r="Q8" s="67"/>
      <c r="R8" s="67"/>
      <c r="S8" s="53"/>
      <c r="T8" s="102"/>
      <c r="U8" s="53"/>
      <c r="V8" s="110"/>
    </row>
    <row r="9" spans="2:23" s="42" customFormat="1">
      <c r="B9" s="39"/>
      <c r="C9" s="39"/>
      <c r="D9" s="40"/>
      <c r="E9" s="40"/>
      <c r="F9" s="40"/>
      <c r="G9" s="39"/>
      <c r="H9" s="58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  <c r="T9" s="101"/>
      <c r="U9" s="40"/>
      <c r="V9" s="111"/>
    </row>
    <row r="10" spans="2:23" s="42" customFormat="1">
      <c r="B10" s="39"/>
      <c r="C10" s="39"/>
      <c r="D10" s="40"/>
      <c r="E10" s="40"/>
      <c r="F10" s="40"/>
      <c r="G10" s="39"/>
      <c r="H10" s="61"/>
      <c r="I10" s="58"/>
      <c r="J10" s="40"/>
      <c r="K10" s="59"/>
      <c r="L10" s="41"/>
      <c r="M10" s="41"/>
      <c r="N10" s="41"/>
      <c r="O10" s="41"/>
      <c r="P10" s="41"/>
      <c r="Q10" s="41"/>
      <c r="R10" s="41"/>
      <c r="S10" s="40"/>
      <c r="T10" s="101"/>
      <c r="U10" s="40"/>
      <c r="V10" s="111"/>
    </row>
    <row r="11" spans="2:23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  <c r="T11" s="103"/>
      <c r="U11" s="44"/>
      <c r="V11" s="111"/>
    </row>
    <row r="12" spans="2:23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  <c r="T12" s="103"/>
      <c r="U12" s="44"/>
      <c r="V12" s="111"/>
    </row>
    <row r="13" spans="2:23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  <c r="T13" s="103"/>
      <c r="U13" s="44"/>
      <c r="V13" s="111"/>
    </row>
    <row r="14" spans="2:23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63"/>
      <c r="L14" s="19"/>
      <c r="M14" s="19"/>
      <c r="N14" s="19"/>
      <c r="O14" s="19"/>
      <c r="P14" s="19"/>
      <c r="Q14" s="19"/>
      <c r="R14" s="19"/>
      <c r="S14" s="44"/>
      <c r="T14" s="103"/>
      <c r="U14" s="44"/>
      <c r="V14" s="111"/>
    </row>
    <row r="15" spans="2:23" s="42" customFormat="1">
      <c r="B15" s="39"/>
      <c r="C15" s="39"/>
      <c r="D15" s="40"/>
      <c r="E15" s="40"/>
      <c r="F15" s="40"/>
      <c r="G15" s="39"/>
      <c r="H15" s="58"/>
      <c r="I15" s="58"/>
      <c r="J15" s="40"/>
      <c r="K15" s="59"/>
      <c r="L15" s="41"/>
      <c r="M15" s="41"/>
      <c r="N15" s="41"/>
      <c r="O15" s="41"/>
      <c r="P15" s="41"/>
      <c r="Q15" s="41"/>
      <c r="R15" s="41"/>
      <c r="S15" s="40"/>
      <c r="T15" s="101"/>
      <c r="U15" s="40"/>
      <c r="V15" s="111"/>
    </row>
    <row r="16" spans="2:23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  <c r="T16" s="103"/>
      <c r="U16" s="44"/>
      <c r="V16" s="111"/>
    </row>
    <row r="17" spans="2:22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  <c r="T17" s="103"/>
      <c r="U17" s="44"/>
      <c r="V17" s="111"/>
    </row>
    <row r="18" spans="2:22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  <c r="T18" s="103"/>
      <c r="U18" s="44"/>
      <c r="V18" s="111"/>
    </row>
    <row r="19" spans="2:22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  <c r="T19" s="103"/>
      <c r="U19" s="44"/>
      <c r="V19" s="111"/>
    </row>
    <row r="20" spans="2:22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  <c r="T20" s="103"/>
      <c r="U20" s="44"/>
      <c r="V20" s="111"/>
    </row>
    <row r="21" spans="2:22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  <c r="T21" s="103"/>
      <c r="U21" s="44"/>
      <c r="V21" s="111"/>
    </row>
    <row r="22" spans="2:22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  <c r="T22" s="103"/>
      <c r="U22" s="44"/>
      <c r="V22" s="111"/>
    </row>
    <row r="23" spans="2:22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  <c r="T23" s="103"/>
      <c r="U23" s="44"/>
      <c r="V23" s="111"/>
    </row>
    <row r="24" spans="2:22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  <c r="T24" s="103"/>
      <c r="U24" s="44"/>
      <c r="V24" s="111"/>
    </row>
    <row r="25" spans="2:22" s="42" customFormat="1">
      <c r="B25" s="43"/>
      <c r="C25" s="43"/>
      <c r="D25" s="44"/>
      <c r="E25" s="44"/>
      <c r="F25" s="44"/>
      <c r="G25" s="43"/>
      <c r="H25" s="62"/>
      <c r="I25" s="62"/>
      <c r="J25" s="44"/>
      <c r="K25" s="63"/>
      <c r="L25" s="19"/>
      <c r="M25" s="19"/>
      <c r="N25" s="19"/>
      <c r="O25" s="19"/>
      <c r="P25" s="19"/>
      <c r="Q25" s="19"/>
      <c r="R25" s="19"/>
      <c r="S25" s="44"/>
      <c r="T25" s="103"/>
      <c r="U25" s="44"/>
      <c r="V25" s="111"/>
    </row>
    <row r="26" spans="2:22">
      <c r="B26" s="2"/>
      <c r="C26" s="149" t="s">
        <v>12</v>
      </c>
      <c r="D26" s="150"/>
      <c r="E26" s="150"/>
      <c r="F26" s="150"/>
      <c r="G26" s="150"/>
      <c r="H26" s="150"/>
      <c r="I26" s="150"/>
      <c r="J26" s="57"/>
      <c r="K26" s="11">
        <f>SUM(K4:K25)</f>
        <v>0</v>
      </c>
      <c r="L26" s="16">
        <f>SUM(L4:L25)</f>
        <v>923145936</v>
      </c>
      <c r="M26" s="10">
        <f>SUM(M4:M25)</f>
        <v>895178562</v>
      </c>
      <c r="N26" s="10"/>
      <c r="O26" s="16">
        <f>SUM(O4:O25)</f>
        <v>410000000</v>
      </c>
      <c r="P26" s="16">
        <f>SUM(P4:P25)</f>
        <v>123000000</v>
      </c>
      <c r="Q26" s="16">
        <f>SUM(Q4:Q25)</f>
        <v>287000000</v>
      </c>
      <c r="R26" s="16">
        <f>SUM(R4:R25)</f>
        <v>0</v>
      </c>
      <c r="S26" s="9"/>
      <c r="T26" s="101">
        <f>SUM(T4:T25)</f>
        <v>123000000</v>
      </c>
      <c r="U26" s="114">
        <f>$T26/O26</f>
        <v>0.3</v>
      </c>
      <c r="V26" s="114">
        <f>$T26/P26</f>
        <v>1</v>
      </c>
    </row>
    <row r="27" spans="2:22">
      <c r="L27" s="15"/>
      <c r="N27" s="13"/>
      <c r="O27" s="14"/>
      <c r="P27" s="14"/>
      <c r="Q27" s="14"/>
      <c r="R27" s="18"/>
    </row>
  </sheetData>
  <mergeCells count="1">
    <mergeCell ref="C26:I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A3D3-5202-4A20-AEA9-F246E9DF8A0B}">
  <dimension ref="B2:S26"/>
  <sheetViews>
    <sheetView zoomScale="75" zoomScaleNormal="75" workbookViewId="0">
      <pane xSplit="9" ySplit="2" topLeftCell="J3" activePane="bottomRight" state="frozen"/>
      <selection pane="topRight" activeCell="J1" sqref="J1"/>
      <selection pane="bottomLeft" activeCell="A4" sqref="A4"/>
      <selection pane="bottomRight" activeCell="J3" sqref="J3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14.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0" width="11" style="7" customWidth="1"/>
    <col min="11" max="11" width="14.375" style="8" bestFit="1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12.75" style="17" customWidth="1"/>
    <col min="20" max="20" width="17.25" customWidth="1"/>
  </cols>
  <sheetData>
    <row r="2" spans="2:19" s="1" customFormat="1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33</v>
      </c>
      <c r="K2" s="9" t="s">
        <v>6</v>
      </c>
      <c r="L2" s="9" t="s">
        <v>7</v>
      </c>
      <c r="M2" s="9" t="s">
        <v>10</v>
      </c>
      <c r="N2" s="9" t="s">
        <v>11</v>
      </c>
      <c r="O2" s="9" t="s">
        <v>23</v>
      </c>
      <c r="P2" s="9" t="s">
        <v>27</v>
      </c>
      <c r="Q2" s="9" t="s">
        <v>29</v>
      </c>
      <c r="R2" s="9" t="s">
        <v>61</v>
      </c>
      <c r="S2" s="9" t="s">
        <v>5</v>
      </c>
    </row>
    <row r="3" spans="2:19" s="1" customFormat="1">
      <c r="B3" s="43"/>
      <c r="C3" s="43"/>
      <c r="D3" s="44"/>
      <c r="E3" s="44"/>
      <c r="F3" s="44"/>
      <c r="G3" s="43"/>
      <c r="H3" s="62"/>
      <c r="I3" s="62"/>
      <c r="J3" s="78"/>
      <c r="K3" s="63"/>
      <c r="L3" s="19"/>
      <c r="M3" s="19"/>
      <c r="N3" s="19"/>
      <c r="O3" s="19"/>
      <c r="P3" s="19"/>
      <c r="Q3" s="19"/>
      <c r="R3" s="19"/>
      <c r="S3" s="19"/>
    </row>
    <row r="4" spans="2:19" s="42" customFormat="1">
      <c r="B4" s="39"/>
      <c r="C4" s="39"/>
      <c r="D4" s="40"/>
      <c r="E4" s="40"/>
      <c r="F4" s="40"/>
      <c r="G4" s="39"/>
      <c r="H4" s="58"/>
      <c r="I4" s="58"/>
      <c r="J4" s="40"/>
      <c r="K4" s="59"/>
      <c r="L4" s="41"/>
      <c r="M4" s="41"/>
      <c r="N4" s="41"/>
      <c r="O4" s="41"/>
      <c r="P4" s="41"/>
      <c r="Q4" s="60"/>
      <c r="R4" s="41"/>
      <c r="S4" s="40"/>
    </row>
    <row r="5" spans="2:19" s="42" customFormat="1">
      <c r="B5" s="39"/>
      <c r="C5" s="39"/>
      <c r="D5" s="40"/>
      <c r="E5" s="40"/>
      <c r="F5" s="40"/>
      <c r="G5" s="39"/>
      <c r="H5" s="58"/>
      <c r="I5" s="58"/>
      <c r="J5" s="40"/>
      <c r="K5" s="59"/>
      <c r="L5" s="41"/>
      <c r="M5" s="41"/>
      <c r="N5" s="41"/>
      <c r="O5" s="41"/>
      <c r="P5" s="41"/>
      <c r="Q5" s="60"/>
      <c r="R5" s="41"/>
      <c r="S5" s="40"/>
    </row>
    <row r="6" spans="2:19" s="42" customFormat="1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>
      <c r="B7" s="43"/>
      <c r="C7" s="43"/>
      <c r="D7" s="44"/>
      <c r="E7" s="44"/>
      <c r="F7" s="44"/>
      <c r="G7" s="43"/>
      <c r="H7" s="65"/>
      <c r="I7" s="65"/>
      <c r="J7" s="53"/>
      <c r="K7" s="66"/>
      <c r="L7" s="67"/>
      <c r="M7" s="67"/>
      <c r="N7" s="67"/>
      <c r="O7" s="67"/>
      <c r="P7" s="67"/>
      <c r="Q7" s="67"/>
      <c r="R7" s="67"/>
      <c r="S7" s="53"/>
    </row>
    <row r="8" spans="2:19" s="42" customFormat="1">
      <c r="B8" s="39"/>
      <c r="C8" s="39"/>
      <c r="D8" s="40"/>
      <c r="E8" s="40"/>
      <c r="F8" s="40"/>
      <c r="G8" s="39"/>
      <c r="H8" s="58"/>
      <c r="I8" s="58"/>
      <c r="J8" s="40"/>
      <c r="K8" s="59"/>
      <c r="L8" s="41"/>
      <c r="M8" s="41"/>
      <c r="N8" s="41"/>
      <c r="O8" s="41"/>
      <c r="P8" s="41"/>
      <c r="Q8" s="41"/>
      <c r="R8" s="41"/>
      <c r="S8" s="40"/>
    </row>
    <row r="9" spans="2:19" s="42" customFormat="1">
      <c r="B9" s="39"/>
      <c r="C9" s="39"/>
      <c r="D9" s="40"/>
      <c r="E9" s="40"/>
      <c r="F9" s="40"/>
      <c r="G9" s="39"/>
      <c r="H9" s="61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</row>
    <row r="10" spans="2:19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39"/>
      <c r="C14" s="39"/>
      <c r="D14" s="40"/>
      <c r="E14" s="40"/>
      <c r="F14" s="40"/>
      <c r="G14" s="39"/>
      <c r="H14" s="58"/>
      <c r="I14" s="58"/>
      <c r="J14" s="40"/>
      <c r="K14" s="59"/>
      <c r="L14" s="41"/>
      <c r="M14" s="41"/>
      <c r="N14" s="41"/>
      <c r="O14" s="41"/>
      <c r="P14" s="41"/>
      <c r="Q14" s="41"/>
      <c r="R14" s="41"/>
      <c r="S14" s="40"/>
    </row>
    <row r="15" spans="2:19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</row>
    <row r="24" spans="2:19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</row>
    <row r="25" spans="2:19">
      <c r="B25" s="2"/>
      <c r="C25" s="149" t="s">
        <v>12</v>
      </c>
      <c r="D25" s="150"/>
      <c r="E25" s="150"/>
      <c r="F25" s="150"/>
      <c r="G25" s="150"/>
      <c r="H25" s="150"/>
      <c r="I25" s="150"/>
      <c r="J25" s="57"/>
      <c r="K25" s="11">
        <f t="shared" ref="K25:R25" si="0">SUM(K3:K24)</f>
        <v>0</v>
      </c>
      <c r="L25" s="16">
        <f t="shared" si="0"/>
        <v>0</v>
      </c>
      <c r="M25" s="10">
        <f t="shared" si="0"/>
        <v>0</v>
      </c>
      <c r="N25" s="10">
        <f t="shared" si="0"/>
        <v>0</v>
      </c>
      <c r="O25" s="16">
        <f t="shared" si="0"/>
        <v>0</v>
      </c>
      <c r="P25" s="16">
        <f t="shared" si="0"/>
        <v>0</v>
      </c>
      <c r="Q25" s="16">
        <f t="shared" si="0"/>
        <v>0</v>
      </c>
      <c r="R25" s="16">
        <f t="shared" si="0"/>
        <v>0</v>
      </c>
      <c r="S25" s="9"/>
    </row>
    <row r="26" spans="2:19">
      <c r="L26" s="15"/>
      <c r="N26" s="13"/>
      <c r="O26" s="14"/>
      <c r="P26" s="14"/>
      <c r="Q26" s="14"/>
      <c r="R26" s="18"/>
    </row>
  </sheetData>
  <mergeCells count="1">
    <mergeCell ref="C25:I25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660B-D9B0-48B0-91B0-47CAC8A4D265}">
  <dimension ref="B2:S26"/>
  <sheetViews>
    <sheetView workbookViewId="0"/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14.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0" width="11" style="7" customWidth="1"/>
    <col min="11" max="11" width="14.375" style="8" bestFit="1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12.75" style="17" customWidth="1"/>
    <col min="20" max="20" width="17.25" customWidth="1"/>
  </cols>
  <sheetData>
    <row r="2" spans="2:19" s="1" customFormat="1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33</v>
      </c>
      <c r="K2" s="9" t="s">
        <v>6</v>
      </c>
      <c r="L2" s="9" t="s">
        <v>7</v>
      </c>
      <c r="M2" s="9" t="s">
        <v>10</v>
      </c>
      <c r="N2" s="9" t="s">
        <v>11</v>
      </c>
      <c r="O2" s="9" t="s">
        <v>23</v>
      </c>
      <c r="P2" s="9" t="s">
        <v>27</v>
      </c>
      <c r="Q2" s="9" t="s">
        <v>29</v>
      </c>
      <c r="R2" s="9" t="s">
        <v>61</v>
      </c>
      <c r="S2" s="9" t="s">
        <v>5</v>
      </c>
    </row>
    <row r="3" spans="2:19" s="1" customFormat="1" ht="33">
      <c r="B3" s="43">
        <v>1</v>
      </c>
      <c r="C3" s="43" t="s">
        <v>34</v>
      </c>
      <c r="D3" s="44" t="s">
        <v>116</v>
      </c>
      <c r="E3" s="44">
        <v>202409061</v>
      </c>
      <c r="F3" s="44"/>
      <c r="G3" s="43">
        <v>240906</v>
      </c>
      <c r="H3" s="62" t="s">
        <v>121</v>
      </c>
      <c r="I3" s="62" t="s">
        <v>125</v>
      </c>
      <c r="J3" s="78"/>
      <c r="K3" s="63"/>
      <c r="L3" s="19">
        <v>20350000</v>
      </c>
      <c r="M3" s="19">
        <f>L3</f>
        <v>20350000</v>
      </c>
      <c r="N3" s="19"/>
      <c r="O3" s="19"/>
      <c r="P3" s="19"/>
      <c r="Q3" s="19"/>
      <c r="R3" s="19"/>
      <c r="S3" s="19"/>
    </row>
    <row r="4" spans="2:19" s="42" customFormat="1">
      <c r="B4" s="39"/>
      <c r="C4" s="39"/>
      <c r="D4" s="40"/>
      <c r="E4" s="40"/>
      <c r="F4" s="40"/>
      <c r="G4" s="39"/>
      <c r="H4" s="58"/>
      <c r="I4" s="58"/>
      <c r="J4" s="40"/>
      <c r="K4" s="59"/>
      <c r="L4" s="41"/>
      <c r="M4" s="41"/>
      <c r="N4" s="41"/>
      <c r="O4" s="41"/>
      <c r="P4" s="41"/>
      <c r="Q4" s="60"/>
      <c r="R4" s="41"/>
      <c r="S4" s="40"/>
    </row>
    <row r="5" spans="2:19" s="42" customFormat="1">
      <c r="B5" s="39"/>
      <c r="C5" s="39"/>
      <c r="D5" s="40"/>
      <c r="E5" s="40"/>
      <c r="F5" s="40"/>
      <c r="G5" s="39"/>
      <c r="H5" s="58"/>
      <c r="I5" s="58"/>
      <c r="J5" s="40"/>
      <c r="K5" s="59"/>
      <c r="L5" s="41"/>
      <c r="M5" s="41"/>
      <c r="N5" s="41"/>
      <c r="O5" s="41"/>
      <c r="P5" s="41"/>
      <c r="Q5" s="60"/>
      <c r="R5" s="41"/>
      <c r="S5" s="40"/>
    </row>
    <row r="6" spans="2:19" s="42" customFormat="1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>
      <c r="B7" s="43"/>
      <c r="C7" s="43"/>
      <c r="D7" s="44"/>
      <c r="E7" s="44"/>
      <c r="F7" s="44"/>
      <c r="G7" s="43"/>
      <c r="H7" s="65"/>
      <c r="I7" s="65"/>
      <c r="J7" s="53"/>
      <c r="K7" s="66"/>
      <c r="L7" s="67"/>
      <c r="M7" s="67"/>
      <c r="N7" s="67"/>
      <c r="O7" s="67"/>
      <c r="P7" s="67"/>
      <c r="Q7" s="67"/>
      <c r="R7" s="67"/>
      <c r="S7" s="53"/>
    </row>
    <row r="8" spans="2:19" s="42" customFormat="1">
      <c r="B8" s="39"/>
      <c r="C8" s="39"/>
      <c r="D8" s="40"/>
      <c r="E8" s="40"/>
      <c r="F8" s="40"/>
      <c r="G8" s="39"/>
      <c r="H8" s="58"/>
      <c r="I8" s="58"/>
      <c r="J8" s="40"/>
      <c r="K8" s="59"/>
      <c r="L8" s="41"/>
      <c r="M8" s="41"/>
      <c r="N8" s="41"/>
      <c r="O8" s="41"/>
      <c r="P8" s="41"/>
      <c r="Q8" s="41"/>
      <c r="R8" s="41"/>
      <c r="S8" s="40"/>
    </row>
    <row r="9" spans="2:19" s="42" customFormat="1">
      <c r="B9" s="39"/>
      <c r="C9" s="39"/>
      <c r="D9" s="40"/>
      <c r="E9" s="40"/>
      <c r="F9" s="40"/>
      <c r="G9" s="39"/>
      <c r="H9" s="61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</row>
    <row r="10" spans="2:19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39"/>
      <c r="C14" s="39"/>
      <c r="D14" s="40"/>
      <c r="E14" s="40"/>
      <c r="F14" s="40"/>
      <c r="G14" s="39"/>
      <c r="H14" s="58"/>
      <c r="I14" s="58"/>
      <c r="J14" s="40"/>
      <c r="K14" s="59"/>
      <c r="L14" s="41"/>
      <c r="M14" s="41"/>
      <c r="N14" s="41"/>
      <c r="O14" s="41"/>
      <c r="P14" s="41"/>
      <c r="Q14" s="41"/>
      <c r="R14" s="41"/>
      <c r="S14" s="40"/>
    </row>
    <row r="15" spans="2:19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</row>
    <row r="24" spans="2:19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</row>
    <row r="25" spans="2:19">
      <c r="B25" s="2"/>
      <c r="C25" s="149" t="s">
        <v>12</v>
      </c>
      <c r="D25" s="150"/>
      <c r="E25" s="150"/>
      <c r="F25" s="150"/>
      <c r="G25" s="150"/>
      <c r="H25" s="150"/>
      <c r="I25" s="150"/>
      <c r="J25" s="57"/>
      <c r="K25" s="11">
        <f t="shared" ref="K25:R25" si="0">SUM(K3:K24)</f>
        <v>0</v>
      </c>
      <c r="L25" s="16">
        <f t="shared" si="0"/>
        <v>20350000</v>
      </c>
      <c r="M25" s="10">
        <f t="shared" si="0"/>
        <v>20350000</v>
      </c>
      <c r="N25" s="10">
        <f t="shared" si="0"/>
        <v>0</v>
      </c>
      <c r="O25" s="16">
        <f t="shared" si="0"/>
        <v>0</v>
      </c>
      <c r="P25" s="16">
        <f t="shared" si="0"/>
        <v>0</v>
      </c>
      <c r="Q25" s="16">
        <f t="shared" si="0"/>
        <v>0</v>
      </c>
      <c r="R25" s="16">
        <f t="shared" si="0"/>
        <v>0</v>
      </c>
      <c r="S25" s="9"/>
    </row>
    <row r="26" spans="2:19">
      <c r="L26" s="15"/>
      <c r="N26" s="13"/>
      <c r="O26" s="14"/>
      <c r="P26" s="14"/>
      <c r="Q26" s="14"/>
      <c r="R26" s="18"/>
    </row>
  </sheetData>
  <mergeCells count="1">
    <mergeCell ref="C25:I25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4081-84EB-47C5-BAF8-53D19B8467B7}">
  <dimension ref="B2:S26"/>
  <sheetViews>
    <sheetView workbookViewId="0"/>
  </sheetViews>
  <sheetFormatPr defaultRowHeight="16.5"/>
  <cols>
    <col min="1" max="1" width="4.25" customWidth="1"/>
    <col min="2" max="2" width="3.25" style="1" bestFit="1" customWidth="1"/>
    <col min="3" max="3" width="5.25" style="1" bestFit="1" customWidth="1"/>
    <col min="4" max="4" width="8.625" style="7" bestFit="1" customWidth="1"/>
    <col min="5" max="5" width="11.5" style="7" bestFit="1" customWidth="1"/>
    <col min="6" max="6" width="14.875" style="7" bestFit="1" customWidth="1"/>
    <col min="7" max="7" width="7.375" style="1" bestFit="1" customWidth="1"/>
    <col min="8" max="8" width="8.5" style="12" bestFit="1" customWidth="1"/>
    <col min="9" max="9" width="18.875" style="12" bestFit="1" customWidth="1"/>
    <col min="10" max="10" width="11" style="7" customWidth="1"/>
    <col min="11" max="11" width="21.5" style="8" bestFit="1" customWidth="1"/>
    <col min="12" max="13" width="15.125" style="8" customWidth="1"/>
    <col min="14" max="15" width="16.125" style="8" customWidth="1"/>
    <col min="16" max="17" width="18.125" style="8" customWidth="1"/>
    <col min="18" max="18" width="16.125" style="8" customWidth="1"/>
    <col min="19" max="19" width="12.75" style="17" customWidth="1"/>
    <col min="20" max="20" width="17.25" customWidth="1"/>
  </cols>
  <sheetData>
    <row r="2" spans="2:19" s="1" customFormat="1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33</v>
      </c>
      <c r="K2" s="9" t="s">
        <v>6</v>
      </c>
      <c r="L2" s="9" t="s">
        <v>7</v>
      </c>
      <c r="M2" s="9" t="s">
        <v>10</v>
      </c>
      <c r="N2" s="9" t="s">
        <v>11</v>
      </c>
      <c r="O2" s="9" t="s">
        <v>23</v>
      </c>
      <c r="P2" s="9" t="s">
        <v>27</v>
      </c>
      <c r="Q2" s="9" t="s">
        <v>29</v>
      </c>
      <c r="R2" s="9" t="s">
        <v>61</v>
      </c>
      <c r="S2" s="9" t="s">
        <v>5</v>
      </c>
    </row>
    <row r="3" spans="2:19" s="1" customFormat="1" ht="33">
      <c r="B3" s="43">
        <v>1</v>
      </c>
      <c r="C3" s="43" t="s">
        <v>34</v>
      </c>
      <c r="D3" s="44" t="s">
        <v>122</v>
      </c>
      <c r="E3" s="44">
        <v>2024110701</v>
      </c>
      <c r="F3" s="44"/>
      <c r="G3" s="43">
        <v>241107</v>
      </c>
      <c r="H3" s="62" t="s">
        <v>123</v>
      </c>
      <c r="I3" s="62" t="s">
        <v>124</v>
      </c>
      <c r="J3" s="78"/>
      <c r="K3" s="63"/>
      <c r="L3" s="19">
        <v>169299200</v>
      </c>
      <c r="M3" s="19">
        <f>L3</f>
        <v>169299200</v>
      </c>
      <c r="N3" s="19"/>
      <c r="O3" s="19"/>
      <c r="P3" s="19"/>
      <c r="Q3" s="19"/>
      <c r="R3" s="19"/>
      <c r="S3" s="19"/>
    </row>
    <row r="4" spans="2:19" s="42" customFormat="1">
      <c r="B4" s="39"/>
      <c r="C4" s="39"/>
      <c r="D4" s="40"/>
      <c r="E4" s="40"/>
      <c r="F4" s="40"/>
      <c r="G4" s="39"/>
      <c r="H4" s="58"/>
      <c r="I4" s="58"/>
      <c r="J4" s="40"/>
      <c r="K4" s="59"/>
      <c r="L4" s="41"/>
      <c r="M4" s="41"/>
      <c r="N4" s="41"/>
      <c r="O4" s="41"/>
      <c r="P4" s="41"/>
      <c r="Q4" s="60"/>
      <c r="R4" s="41"/>
      <c r="S4" s="40"/>
    </row>
    <row r="5" spans="2:19" s="42" customFormat="1">
      <c r="B5" s="39"/>
      <c r="C5" s="39"/>
      <c r="D5" s="40"/>
      <c r="E5" s="40"/>
      <c r="F5" s="40"/>
      <c r="G5" s="39"/>
      <c r="H5" s="58"/>
      <c r="I5" s="58"/>
      <c r="J5" s="40"/>
      <c r="K5" s="59"/>
      <c r="L5" s="41"/>
      <c r="M5" s="41"/>
      <c r="N5" s="41"/>
      <c r="O5" s="41"/>
      <c r="P5" s="41"/>
      <c r="Q5" s="60"/>
      <c r="R5" s="41"/>
      <c r="S5" s="40"/>
    </row>
    <row r="6" spans="2:19" s="42" customFormat="1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>
      <c r="B7" s="43"/>
      <c r="C7" s="43"/>
      <c r="D7" s="44"/>
      <c r="E7" s="44"/>
      <c r="F7" s="44"/>
      <c r="G7" s="43"/>
      <c r="H7" s="65"/>
      <c r="I7" s="65"/>
      <c r="J7" s="53"/>
      <c r="K7" s="66"/>
      <c r="L7" s="67"/>
      <c r="M7" s="67"/>
      <c r="N7" s="67"/>
      <c r="O7" s="67"/>
      <c r="P7" s="67"/>
      <c r="Q7" s="67"/>
      <c r="R7" s="67"/>
      <c r="S7" s="53"/>
    </row>
    <row r="8" spans="2:19" s="42" customFormat="1">
      <c r="B8" s="39"/>
      <c r="C8" s="39"/>
      <c r="D8" s="40"/>
      <c r="E8" s="40"/>
      <c r="F8" s="40"/>
      <c r="G8" s="39"/>
      <c r="H8" s="58"/>
      <c r="I8" s="58"/>
      <c r="J8" s="40"/>
      <c r="K8" s="59"/>
      <c r="L8" s="41"/>
      <c r="M8" s="41"/>
      <c r="N8" s="41"/>
      <c r="O8" s="41"/>
      <c r="P8" s="41"/>
      <c r="Q8" s="41"/>
      <c r="R8" s="41"/>
      <c r="S8" s="40"/>
    </row>
    <row r="9" spans="2:19" s="42" customFormat="1">
      <c r="B9" s="39"/>
      <c r="C9" s="39"/>
      <c r="D9" s="40"/>
      <c r="E9" s="40"/>
      <c r="F9" s="40"/>
      <c r="G9" s="39"/>
      <c r="H9" s="61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</row>
    <row r="10" spans="2:19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39"/>
      <c r="C14" s="39"/>
      <c r="D14" s="40"/>
      <c r="E14" s="40"/>
      <c r="F14" s="40"/>
      <c r="G14" s="39"/>
      <c r="H14" s="58"/>
      <c r="I14" s="58"/>
      <c r="J14" s="40"/>
      <c r="K14" s="59"/>
      <c r="L14" s="41"/>
      <c r="M14" s="41"/>
      <c r="N14" s="41"/>
      <c r="O14" s="41"/>
      <c r="P14" s="41"/>
      <c r="Q14" s="41"/>
      <c r="R14" s="41"/>
      <c r="S14" s="40"/>
    </row>
    <row r="15" spans="2:19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</row>
    <row r="24" spans="2:19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</row>
    <row r="25" spans="2:19">
      <c r="B25" s="2"/>
      <c r="C25" s="149" t="s">
        <v>12</v>
      </c>
      <c r="D25" s="150"/>
      <c r="E25" s="150"/>
      <c r="F25" s="150"/>
      <c r="G25" s="150"/>
      <c r="H25" s="150"/>
      <c r="I25" s="150"/>
      <c r="J25" s="57"/>
      <c r="K25" s="11">
        <f t="shared" ref="K25:R25" si="0">SUM(K3:K24)</f>
        <v>0</v>
      </c>
      <c r="L25" s="16">
        <f t="shared" si="0"/>
        <v>169299200</v>
      </c>
      <c r="M25" s="10">
        <f t="shared" si="0"/>
        <v>169299200</v>
      </c>
      <c r="N25" s="10">
        <f t="shared" si="0"/>
        <v>0</v>
      </c>
      <c r="O25" s="16">
        <f t="shared" si="0"/>
        <v>0</v>
      </c>
      <c r="P25" s="16">
        <f t="shared" si="0"/>
        <v>0</v>
      </c>
      <c r="Q25" s="16">
        <f t="shared" si="0"/>
        <v>0</v>
      </c>
      <c r="R25" s="16">
        <f t="shared" si="0"/>
        <v>0</v>
      </c>
      <c r="S25" s="9"/>
    </row>
    <row r="26" spans="2:19">
      <c r="L26" s="15"/>
      <c r="N26" s="13"/>
      <c r="O26" s="14"/>
      <c r="P26" s="14"/>
      <c r="Q26" s="14"/>
      <c r="R26" s="18"/>
    </row>
  </sheetData>
  <mergeCells count="1">
    <mergeCell ref="C25:I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Sheet1</vt:lpstr>
      <vt:lpstr>Total</vt:lpstr>
      <vt:lpstr>1.지아이씨</vt:lpstr>
      <vt:lpstr>2.김포골드라인</vt:lpstr>
      <vt:lpstr>3.교통공사</vt:lpstr>
      <vt:lpstr>4.실리콘큐브</vt:lpstr>
      <vt:lpstr>5.무한테크 (우진산전)</vt:lpstr>
      <vt:lpstr>6.다원시스</vt:lpstr>
      <vt:lpstr>7.티랩</vt:lpstr>
      <vt:lpstr>8.마루소프트</vt:lpstr>
      <vt:lpstr>9.신진금고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2024-12-06T08:52:32Z</dcterms:modified>
</cp:coreProperties>
</file>
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2_자금흐름회의\2024년\"/>
    </mc:Choice>
  </mc:AlternateContent>
  <xr:revisionPtr revIDLastSave="0" documentId="13_ncr:1_{5A40AB95-0F28-4616-BD6F-7942F3B548B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Total" sheetId="4" r:id="rId1"/>
    <sheet name="1.지아이씨" sheetId="5" r:id="rId2"/>
    <sheet name="2.김포골드라인" sheetId="24" r:id="rId3"/>
    <sheet name="3.서울교통공사" sheetId="25" r:id="rId4"/>
    <sheet name="4.현대로템" sheetId="32" r:id="rId5"/>
    <sheet name="5.실리콘큐브" sheetId="26" r:id="rId6"/>
    <sheet name="6.무한테크(우진산전)" sheetId="27" r:id="rId7"/>
    <sheet name="7.다원시스" sheetId="28" r:id="rId8"/>
    <sheet name="8.티랩" sheetId="29" r:id="rId9"/>
    <sheet name="9.마루소프트" sheetId="30" r:id="rId10"/>
    <sheet name="10.신진금고" sheetId="3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5" l="1"/>
  <c r="O38" i="5"/>
  <c r="H6" i="4"/>
  <c r="G6" i="4"/>
  <c r="F6" i="4"/>
  <c r="E6" i="4"/>
  <c r="D6" i="4"/>
  <c r="P49" i="32"/>
  <c r="O49" i="32"/>
  <c r="N49" i="32"/>
  <c r="M49" i="32"/>
  <c r="L49" i="32"/>
  <c r="P5" i="28" l="1"/>
  <c r="P4" i="28"/>
  <c r="P4" i="27"/>
  <c r="P4" i="26"/>
  <c r="P4" i="2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O19" i="5"/>
  <c r="O18" i="5"/>
  <c r="O17" i="5"/>
  <c r="O16" i="5"/>
  <c r="O15" i="5"/>
  <c r="O14" i="5"/>
  <c r="O13" i="5"/>
  <c r="O12" i="5"/>
  <c r="O11" i="5"/>
  <c r="O10" i="5"/>
  <c r="H12" i="4" l="1"/>
  <c r="H11" i="4"/>
  <c r="H10" i="4"/>
  <c r="H4" i="4"/>
  <c r="G12" i="4"/>
  <c r="G11" i="4"/>
  <c r="G10" i="4"/>
  <c r="G9" i="4"/>
  <c r="G8" i="4"/>
  <c r="G7" i="4"/>
  <c r="G5" i="4"/>
  <c r="G4" i="4"/>
  <c r="F12" i="4"/>
  <c r="F11" i="4"/>
  <c r="F10" i="4"/>
  <c r="F9" i="4"/>
  <c r="F8" i="4"/>
  <c r="F7" i="4"/>
  <c r="F5" i="4"/>
  <c r="F4" i="4"/>
  <c r="F3" i="4"/>
  <c r="E12" i="4"/>
  <c r="E11" i="4"/>
  <c r="E10" i="4"/>
  <c r="E9" i="4"/>
  <c r="E8" i="4"/>
  <c r="E7" i="4"/>
  <c r="E5" i="4"/>
  <c r="E4" i="4"/>
  <c r="D12" i="4"/>
  <c r="D11" i="4"/>
  <c r="D10" i="4"/>
  <c r="D9" i="4"/>
  <c r="D8" i="4"/>
  <c r="D7" i="4"/>
  <c r="D5" i="4"/>
  <c r="D4" i="4"/>
  <c r="P49" i="31"/>
  <c r="O49" i="31"/>
  <c r="N49" i="31"/>
  <c r="M49" i="31"/>
  <c r="L49" i="31"/>
  <c r="P49" i="30"/>
  <c r="O49" i="30"/>
  <c r="N49" i="30"/>
  <c r="M49" i="30"/>
  <c r="L49" i="30"/>
  <c r="P49" i="29"/>
  <c r="O49" i="29"/>
  <c r="N49" i="29"/>
  <c r="M49" i="29"/>
  <c r="L49" i="29"/>
  <c r="N5" i="28"/>
  <c r="O49" i="28"/>
  <c r="M49" i="28"/>
  <c r="L49" i="28"/>
  <c r="P49" i="28"/>
  <c r="H9" i="4" s="1"/>
  <c r="N4" i="28"/>
  <c r="N49" i="28" s="1"/>
  <c r="O49" i="27"/>
  <c r="M49" i="27"/>
  <c r="L49" i="27"/>
  <c r="P49" i="27"/>
  <c r="H8" i="4" s="1"/>
  <c r="N4" i="27"/>
  <c r="N49" i="27" s="1"/>
  <c r="O49" i="26"/>
  <c r="M49" i="26"/>
  <c r="L49" i="26"/>
  <c r="P49" i="26"/>
  <c r="H7" i="4" s="1"/>
  <c r="N4" i="26"/>
  <c r="N49" i="26" s="1"/>
  <c r="P49" i="25"/>
  <c r="H5" i="4" s="1"/>
  <c r="N4" i="25"/>
  <c r="O49" i="25"/>
  <c r="N49" i="25"/>
  <c r="M49" i="25"/>
  <c r="L49" i="25"/>
  <c r="N49" i="24"/>
  <c r="M49" i="24"/>
  <c r="L49" i="24"/>
  <c r="O49" i="24"/>
  <c r="O49" i="5"/>
  <c r="G3" i="4" s="1"/>
  <c r="N49" i="5"/>
  <c r="M49" i="5"/>
  <c r="E3" i="4" s="1"/>
  <c r="L49" i="5"/>
  <c r="P49" i="24" l="1"/>
  <c r="O31" i="5" l="1"/>
  <c r="O25" i="5"/>
  <c r="O22" i="5"/>
  <c r="O21" i="5"/>
  <c r="O28" i="5" l="1"/>
  <c r="O7" i="5"/>
  <c r="O8" i="5"/>
  <c r="O6" i="5"/>
  <c r="O26" i="5"/>
  <c r="O27" i="5"/>
  <c r="O23" i="5"/>
  <c r="O29" i="5"/>
  <c r="O24" i="5"/>
  <c r="O30" i="5"/>
  <c r="O37" i="5" l="1"/>
  <c r="O20" i="5" l="1"/>
  <c r="P49" i="5" l="1"/>
  <c r="H3" i="4" s="1"/>
  <c r="H20" i="4" s="1"/>
  <c r="O5" i="5"/>
  <c r="C3" i="4"/>
  <c r="G20" i="4" l="1"/>
  <c r="F20" i="4"/>
  <c r="D3" i="4" l="1"/>
  <c r="E20" i="4" l="1"/>
  <c r="D20" i="4" l="1"/>
</calcChain>
</file>

<file path=xl/sharedStrings.xml><?xml version="1.0" encoding="utf-8"?>
<sst xmlns="http://schemas.openxmlformats.org/spreadsheetml/2006/main" count="397" uniqueCount="144">
  <si>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</si>
  <si>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</si>
  <si>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</si>
  <si>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</si>
  <si>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Sub-Amount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</si>
  <si>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</si>
  <si>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</si>
  <si>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</si>
  <si>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</si>
  <si>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</si>
  <si>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</si>
  <si>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</si>
  <si>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</si>
  <si>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</si>
  <si>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</si>
  <si>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</si>
  <si>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</si>
  <si>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</si>
  <si>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</si>
  <si>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</si>
  <si>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</si>
  <si>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고객명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</si>
  <si>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</si>
  <si>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</si>
  <si>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</si>
  <si>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</si>
  <si>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CSP24-0524-2</t>
    <phoneticPr fontId="1" type="noConversion"/>
  </si>
  <si>
    <t>240726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</si>
  <si>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</si>
  <si>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</si>
  <si>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</si>
  <si>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</si>
  <si>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</si>
  <si>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250331</t>
    <phoneticPr fontId="1" type="noConversion"/>
  </si>
  <si>
    <t>DWE-2024-AUG-29-001</t>
    <phoneticPr fontId="1" type="noConversion"/>
  </si>
  <si>
    <t>250630</t>
    <phoneticPr fontId="1" type="noConversion"/>
  </si>
  <si>
    <t>CSP24-0913-1</t>
    <phoneticPr fontId="1" type="noConversion"/>
  </si>
  <si>
    <t>250131</t>
    <phoneticPr fontId="1" type="noConversion"/>
  </si>
  <si>
    <t>CSP24-0923-1</t>
    <phoneticPr fontId="1" type="noConversion"/>
  </si>
  <si>
    <t>MSR PWR BOARD. FOR MSR.</t>
    <phoneticPr fontId="1" type="noConversion"/>
  </si>
  <si>
    <t>LCD CONTROL BOARD. FOR MOP.</t>
    <phoneticPr fontId="1" type="noConversion"/>
  </si>
  <si>
    <t>MAIN CONTROL BOARD. FOR MOP.</t>
    <phoneticPr fontId="1" type="noConversion"/>
  </si>
  <si>
    <t>POWER BOARD. FOR MOP.</t>
    <phoneticPr fontId="1" type="noConversion"/>
  </si>
  <si>
    <t>POWER BOARD. FOR CTM.</t>
    <phoneticPr fontId="1" type="noConversion"/>
  </si>
  <si>
    <t>MSR HUB BOARD. FOR MSR.</t>
    <phoneticPr fontId="1" type="noConversion"/>
  </si>
  <si>
    <t>MSR MTX BOARD. FOR MSR.</t>
    <phoneticPr fontId="1" type="noConversion"/>
  </si>
  <si>
    <t>MSR NVR BOARD. FOR MSR.</t>
    <phoneticPr fontId="1" type="noConversion"/>
  </si>
  <si>
    <t>MSR TCIU BOARD. FOR MSR.</t>
    <phoneticPr fontId="1" type="noConversion"/>
  </si>
  <si>
    <t>PSR HUB BOARD FOR PSR.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</si>
  <si>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</si>
  <si>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</si>
  <si>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</si>
  <si>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</si>
  <si>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</si>
  <si>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</si>
  <si>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</si>
  <si>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</si>
  <si>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</si>
  <si>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</si>
  <si>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</si>
  <si>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</si>
  <si>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241231</t>
    <phoneticPr fontId="1" type="noConversion"/>
  </si>
  <si>
    <t>250430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</si>
  <si>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</si>
  <si>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</si>
  <si>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</si>
  <si>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</si>
  <si>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 수리(17031, R1C001388)</t>
    <phoneticPr fontId="1" type="noConversion"/>
  </si>
  <si>
    <t>MOP 수리(19067, R1C001388)</t>
    <phoneticPr fontId="1" type="noConversion"/>
  </si>
  <si>
    <t>MSR  HUB 수리(16006, R1B002192)</t>
    <phoneticPr fontId="1" type="noConversion"/>
  </si>
  <si>
    <t>MSR  HUB 수리(19002, R1B002192)</t>
    <phoneticPr fontId="1" type="noConversion"/>
  </si>
  <si>
    <t>PAB, EID, PSR, ETND, EDD 생산</t>
    <phoneticPr fontId="1" type="noConversion"/>
  </si>
  <si>
    <t>MOP, MSR, CTM 생산</t>
    <phoneticPr fontId="1" type="noConversion"/>
  </si>
  <si>
    <t>PSR-BPB</t>
    <phoneticPr fontId="1" type="noConversion"/>
  </si>
  <si>
    <t>PSR-HUB Board</t>
    <phoneticPr fontId="1" type="noConversion"/>
  </si>
  <si>
    <t>PSR-VOIP Board</t>
    <phoneticPr fontId="1" type="noConversion"/>
  </si>
  <si>
    <t>PSR-PA-AMP1 Board</t>
    <phoneticPr fontId="1" type="noConversion"/>
  </si>
  <si>
    <t>PSR-PA-AMP2 Board</t>
    <phoneticPr fontId="1" type="noConversion"/>
  </si>
  <si>
    <t>PAB-CONTROL Board</t>
    <phoneticPr fontId="1" type="noConversion"/>
  </si>
  <si>
    <t>EID-CONTROL Board</t>
    <phoneticPr fontId="1" type="noConversion"/>
  </si>
  <si>
    <t>EID-SENSOR Board</t>
    <phoneticPr fontId="1" type="noConversion"/>
  </si>
  <si>
    <t>EDD-CONTROL Board</t>
    <phoneticPr fontId="1" type="noConversion"/>
  </si>
  <si>
    <t>ETND-CONTROL Board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</si>
  <si>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</si>
  <si>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</si>
  <si>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</si>
  <si>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</si>
  <si>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</si>
  <si>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</si>
  <si>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</si>
  <si>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</si>
  <si>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</si>
  <si>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</si>
  <si>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</si>
  <si>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</si>
  <si>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</si>
  <si>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1. 계약 시 선금 70%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</si>
  <si>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</si>
  <si>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</si>
  <si>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241017 10개 전자세금계산서</t>
    <phoneticPr fontId="1" type="noConversion"/>
  </si>
  <si>
    <t>241017 2개 전자세금계산서</t>
    <phoneticPr fontId="1" type="noConversion"/>
  </si>
  <si>
    <t>240925 5개 전자세금계산서</t>
    <phoneticPr fontId="1" type="noConversion"/>
  </si>
  <si>
    <t>240925 3개 전자세금계산서</t>
    <phoneticPr fontId="1" type="noConversion"/>
  </si>
  <si>
    <t>240913 선금 70% 전자세금계산서</t>
    <phoneticPr fontId="1" type="noConversion"/>
  </si>
  <si>
    <t>24년 수주금액 입금 완료</t>
    <phoneticPr fontId="1" type="noConversion"/>
  </si>
  <si>
    <t>240411 전자세금계산서</t>
    <phoneticPr fontId="1" type="noConversion"/>
  </si>
  <si>
    <t>240411 선급금 126,925,100 KRW</t>
    <phoneticPr fontId="1" type="noConversion"/>
  </si>
  <si>
    <t>1. 계약시 30% (126,925,110 KRW)
2. 제작 후 검사 전 30%
3. 검사 합격 후 납품 시 30%
4. 고객으로부터 물품대금 수령 후 잔금 10%</t>
    <phoneticPr fontId="1" type="noConversion"/>
  </si>
  <si>
    <t>계약 종료 / 24년 수주금액 입금 완료</t>
    <phoneticPr fontId="1" type="noConversion"/>
  </si>
  <si>
    <t>240906 1차 중도금 29,011,454 KRW
(PSR &amp; EID 각 20EA)</t>
    <phoneticPr fontId="1" type="noConversion"/>
  </si>
  <si>
    <t>240925 2차 중도금 29,011,454 KRW
(PSR &amp; EID 각 20EA)</t>
    <phoneticPr fontId="1" type="noConversion"/>
  </si>
  <si>
    <t>241104 납품분 및  중도금 125,716,299 KRW
(품목 ???)</t>
    <phoneticPr fontId="1" type="noConversion"/>
  </si>
  <si>
    <t>240524 선급금 105,213,225 KRW 전자세금계산서</t>
    <phoneticPr fontId="1" type="noConversion"/>
  </si>
  <si>
    <t>240524 선급금 138,467,000 KRW 전자세금계산서</t>
    <phoneticPr fontId="1" type="noConversion"/>
  </si>
  <si>
    <t>240906 선급금 42,000,000 KRW 전자세금계산서</t>
    <phoneticPr fontId="1" type="noConversion"/>
  </si>
  <si>
    <t>240630 선급금 81,000,000 KRW 전자세금계산서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</si>
  <si>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</si>
  <si>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</si>
  <si>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</si>
  <si>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</si>
  <si>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</si>
  <si>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</si>
  <si>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</si>
  <si>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r>
      <t xml:space="preserve">1. 계약시 30% (105,213,225 KRW)
</t>
    </r>
    <r>
      <rPr>
        <b/>
        <sz val="11"/>
        <color rgb="FF0070C0"/>
        <rFont val="맑은 고딕"/>
        <family val="3"/>
        <charset val="129"/>
        <scheme val="minor"/>
      </rPr>
      <t>2. 제작 후 검사 전 30%
3. 검사 합격 후 납품 시 30%
4. 고객으로부터 물품대금 수령 후 잔금 10%</t>
    </r>
    <phoneticPr fontId="1" type="noConversion"/>
  </si>
  <si>
    <t>241115</t>
  </si>
  <si>
    <t>7호선3차분CSC수리비</t>
  </si>
  <si>
    <t>서울교통공사</t>
    <phoneticPr fontId="1" type="noConversion"/>
  </si>
  <si>
    <t>실리콘큐브</t>
  </si>
  <si>
    <t>홍콩 MSR/PSR/MOP/CTM 수리</t>
    <phoneticPr fontId="1" type="noConversion"/>
  </si>
  <si>
    <t>241013</t>
  </si>
  <si>
    <t>무한테크</t>
  </si>
  <si>
    <t>241126 전자세금계산서</t>
    <phoneticPr fontId="1" type="noConversion"/>
  </si>
  <si>
    <t>240717 전자세금계산서</t>
    <phoneticPr fontId="1" type="noConversion"/>
  </si>
  <si>
    <t>241218 전자세금계산서</t>
    <phoneticPr fontId="1" type="noConversion"/>
  </si>
  <si>
    <t>241209 잔금 59,343,000 KRW 전자세금계산서</t>
    <phoneticPr fontId="1" type="noConversion"/>
  </si>
  <si>
    <t>241216 납품분 및  잔금 103,957,709 KRW
(EID 20, PSR 20, ETND 20, EDD 20 (잔금 10%),
PAB 잔금(60%))</t>
    <phoneticPr fontId="1" type="noConversion"/>
  </si>
  <si>
    <t>인도네시아 MTX/MRX</t>
    <phoneticPr fontId="1" type="noConversion"/>
  </si>
  <si>
    <t>MT-241007-A</t>
    <phoneticPr fontId="1" type="noConversion"/>
  </si>
  <si>
    <t>241226 잔금 8,461,684 KRW</t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</si>
  <si>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>1. 선급금 30% (42,000,000 KRW)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 xml:space="preserve">2. 1차 산출물 제출 후 실행팀 확인 서명 완료본 제출 시 30% </t>
    </r>
    <r>
      <rPr>
        <b/>
        <sz val="11"/>
        <color rgb="FFFF0000"/>
        <rFont val="맑은 고딕"/>
        <family val="3"/>
        <charset val="129"/>
        <scheme val="minor"/>
      </rPr>
      <t>(전자세금계산서 미수취)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70C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</si>
  <si>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color rgb="FF00B050"/>
        <rFont val="맑은 고딕"/>
        <family val="3"/>
        <charset val="129"/>
        <scheme val="minor"/>
      </rPr>
      <t xml:space="preserve">1. 선급금 30% (81,000,000 KRW)
</t>
    </r>
    <r>
      <rPr>
        <b/>
        <sz val="11"/>
        <color rgb="FF0070C0"/>
        <rFont val="맑은 고딕"/>
        <family val="3"/>
        <charset val="129"/>
        <scheme val="minor"/>
      </rPr>
      <t xml:space="preserve">2. 초도편성 검사완료 시(~240715) 30%
</t>
    </r>
    <r>
      <rPr>
        <b/>
        <sz val="11"/>
        <color rgb="FFFF0000"/>
        <rFont val="맑은 고딕"/>
        <family val="3"/>
        <charset val="129"/>
        <scheme val="minor"/>
      </rPr>
      <t xml:space="preserve">    (25년 1월 초중순으로 연기됨)
</t>
    </r>
    <r>
      <rPr>
        <b/>
        <sz val="11"/>
        <color rgb="FF0070C0"/>
        <rFont val="맑은 고딕"/>
        <family val="3"/>
        <charset val="129"/>
        <scheme val="minor"/>
      </rPr>
      <t>3. 초도 시운점검사 완료 시(~240915) 30%
4. 양산편성 완료 시(~250315) 10%</t>
    </r>
    <phoneticPr fontId="1" type="noConversion"/>
  </si>
  <si>
    <t>현대로템</t>
    <phoneticPr fontId="1" type="noConversion"/>
  </si>
  <si>
    <t>241224 전자세금계산서</t>
    <phoneticPr fontId="1" type="noConversion"/>
  </si>
  <si>
    <t>241224 5개 전자세금계산서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</si>
</sst>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#,##0_);[Red]\(#,##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>
      <alignment vertical="center"/>
    </xf>
    <xf numFmtId="0" fontId="7" fillId="3" borderId="0" xfId="0" applyFont="1" applyFill="1">
      <alignment vertical="center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8" fillId="0" borderId="1" xfId="0" applyNumberFormat="1" applyFont="1" applyBorder="1" applyAlignment="1">
      <alignment horizontal="left" vertical="center" wrapText="1"/>
    </xf>
    <xf numFmtId="42" fontId="8" fillId="0" borderId="1" xfId="0" applyNumberFormat="1" applyFont="1" applyBorder="1" applyAlignment="1">
      <alignment vertical="center" wrapText="1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2" fontId="8" fillId="3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8" fillId="3" borderId="1" xfId="0" applyNumberFormat="1" applyFont="1" applyFill="1" applyBorder="1" applyAlignment="1">
      <alignment horizontal="center" vertical="center"/>
    </xf>
    <xf numFmtId="42" fontId="8" fillId="3" borderId="5" xfId="0" applyNumberFormat="1" applyFont="1" applyFill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7" fillId="0" borderId="0" xfId="0" applyNumberFormat="1" applyFont="1">
      <alignment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5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2" fontId="9" fillId="0" borderId="1" xfId="0" applyNumberFormat="1" applyFont="1" applyFill="1" applyBorder="1" applyAlignment="1">
      <alignment horizontal="center" vertical="center"/>
    </xf>
    <xf numFmtId="42" fontId="9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3" fontId="10" fillId="0" borderId="1" xfId="0" applyNumberFormat="1" applyFont="1" applyFill="1" applyBorder="1" applyAlignment="1">
      <alignment horizontal="left" vertical="center" wrapText="1"/>
    </xf>
    <xf numFmtId="42" fontId="7" fillId="3" borderId="1" xfId="0" applyNumberFormat="1" applyFont="1" applyFill="1" applyBorder="1" applyAlignment="1">
      <alignment horizontal="center" vertical="center"/>
    </xf>
    <xf numFmtId="42" fontId="7" fillId="0" borderId="1" xfId="0" applyNumberFormat="1" applyFont="1" applyFill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1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15.25" style="25" bestFit="1" customWidth="1"/>
    <col min="4" max="5" width="18.25" style="51" bestFit="1" customWidth="1"/>
    <col min="6" max="6" width="16.5" style="51" bestFit="1" customWidth="1"/>
    <col min="7" max="7" width="18.25" style="51" bestFit="1" customWidth="1"/>
    <col min="8" max="8" width="16.5" style="51" bestFit="1" customWidth="1"/>
    <col min="9" max="9" width="52.375" style="54" bestFit="1" customWidth="1"/>
  </cols>
  <sheetData>
    <row r="2" spans="2:9" s="1" customFormat="1">
      <c r="B2" s="11" t="s">
        <v>5</v>
      </c>
      <c r="C2" s="21" t="s">
        <v>21</v>
      </c>
      <c r="D2" s="87" t="s">
        <v>7</v>
      </c>
      <c r="E2" s="87" t="s">
        <v>11</v>
      </c>
      <c r="F2" s="87" t="s">
        <v>13</v>
      </c>
      <c r="G2" s="90" t="s">
        <v>116</v>
      </c>
      <c r="H2" s="90" t="s">
        <v>120</v>
      </c>
      <c r="I2" s="91" t="s">
        <v>2</v>
      </c>
    </row>
    <row r="3" spans="2:9">
      <c r="B3" s="2">
        <v>1</v>
      </c>
      <c r="C3" s="22" t="str">
        <f>'1.지아이씨'!D4</f>
        <v>지아이씨</v>
      </c>
      <c r="D3" s="94">
        <f>'1.지아이씨'!L49</f>
        <v>1488279419</v>
      </c>
      <c r="E3" s="94">
        <f>'1.지아이씨'!M49</f>
        <v>1051246143.3000001</v>
      </c>
      <c r="F3" s="92">
        <f>'1.지아이씨'!N49</f>
        <v>437033275.69999993</v>
      </c>
      <c r="G3" s="94">
        <f>'1.지아이씨'!O49</f>
        <v>1051246143.3000001</v>
      </c>
      <c r="H3" s="88">
        <f>'1.지아이씨'!P49</f>
        <v>0</v>
      </c>
      <c r="I3" s="98"/>
    </row>
    <row r="4" spans="2:9">
      <c r="B4" s="2">
        <v>2</v>
      </c>
      <c r="C4" s="22" t="s">
        <v>63</v>
      </c>
      <c r="D4" s="94">
        <f>'2.김포골드라인'!L49</f>
        <v>0</v>
      </c>
      <c r="E4" s="94">
        <f>'2.김포골드라인'!M49</f>
        <v>0</v>
      </c>
      <c r="F4" s="92">
        <f>'2.김포골드라인'!N49</f>
        <v>0</v>
      </c>
      <c r="G4" s="94">
        <f>'2.김포골드라인'!O49</f>
        <v>0</v>
      </c>
      <c r="H4" s="88">
        <f>'2.김포골드라인'!P49</f>
        <v>0</v>
      </c>
      <c r="I4" s="14"/>
    </row>
    <row r="5" spans="2:9">
      <c r="B5" s="2">
        <v>3</v>
      </c>
      <c r="C5" s="22" t="s">
        <v>126</v>
      </c>
      <c r="D5" s="94">
        <f>'3.서울교통공사'!L49</f>
        <v>1900000</v>
      </c>
      <c r="E5" s="94">
        <f>'3.서울교통공사'!M49</f>
        <v>1900000</v>
      </c>
      <c r="F5" s="92">
        <f>'3.서울교통공사'!N49</f>
        <v>0</v>
      </c>
      <c r="G5" s="94">
        <f>'3.서울교통공사'!O49</f>
        <v>1900000</v>
      </c>
      <c r="H5" s="88">
        <f>'3.서울교통공사'!P49</f>
        <v>0</v>
      </c>
      <c r="I5" s="14"/>
    </row>
    <row r="6" spans="2:9">
      <c r="B6" s="2">
        <v>4</v>
      </c>
      <c r="C6" s="22" t="s">
        <v>141</v>
      </c>
      <c r="D6" s="94">
        <f>'4.현대로템'!L49</f>
        <v>0</v>
      </c>
      <c r="E6" s="94">
        <f>'4.현대로템'!M49</f>
        <v>0</v>
      </c>
      <c r="F6" s="92">
        <f>'4.현대로템'!N49</f>
        <v>0</v>
      </c>
      <c r="G6" s="94">
        <f>'4.현대로템'!O49</f>
        <v>0</v>
      </c>
      <c r="H6" s="105">
        <f>'4.현대로템'!P49</f>
        <v>0</v>
      </c>
      <c r="I6" s="14"/>
    </row>
    <row r="7" spans="2:9">
      <c r="B7" s="2">
        <v>5</v>
      </c>
      <c r="C7" s="22" t="s">
        <v>28</v>
      </c>
      <c r="D7" s="94">
        <f>'5.실리콘큐브'!L49</f>
        <v>46840000</v>
      </c>
      <c r="E7" s="94">
        <f>'5.실리콘큐브'!M49</f>
        <v>46840000</v>
      </c>
      <c r="F7" s="92">
        <f>'5.실리콘큐브'!N49</f>
        <v>0</v>
      </c>
      <c r="G7" s="94">
        <f>'5.실리콘큐브'!O49</f>
        <v>46840000</v>
      </c>
      <c r="H7" s="88">
        <f>'5.실리콘큐브'!P49</f>
        <v>0</v>
      </c>
      <c r="I7" s="14"/>
    </row>
    <row r="8" spans="2:9">
      <c r="B8" s="2">
        <v>6</v>
      </c>
      <c r="C8" s="22" t="s">
        <v>64</v>
      </c>
      <c r="D8" s="94">
        <f>'6.무한테크(우진산전)'!L49</f>
        <v>11400000</v>
      </c>
      <c r="E8" s="94">
        <f>'6.무한테크(우진산전)'!M49</f>
        <v>11400000</v>
      </c>
      <c r="F8" s="92">
        <f>'6.무한테크(우진산전)'!N49</f>
        <v>0</v>
      </c>
      <c r="G8" s="94">
        <f>'6.무한테크(우진산전)'!O49</f>
        <v>11400000</v>
      </c>
      <c r="H8" s="88">
        <f>'6.무한테크(우진산전)'!P49</f>
        <v>0</v>
      </c>
      <c r="I8" s="98"/>
    </row>
    <row r="9" spans="2:9">
      <c r="B9" s="2">
        <v>7</v>
      </c>
      <c r="C9" s="22" t="s">
        <v>29</v>
      </c>
      <c r="D9" s="94">
        <f>'7.다원시스'!L49</f>
        <v>410000000</v>
      </c>
      <c r="E9" s="94">
        <f>'7.다원시스'!M49</f>
        <v>123000000</v>
      </c>
      <c r="F9" s="92">
        <f>'7.다원시스'!N49</f>
        <v>287000000</v>
      </c>
      <c r="G9" s="94">
        <f>'7.다원시스'!O49</f>
        <v>123000000</v>
      </c>
      <c r="H9" s="88">
        <f>'7.다원시스'!P49</f>
        <v>0</v>
      </c>
      <c r="I9" s="14"/>
    </row>
    <row r="10" spans="2:9" s="13" customFormat="1">
      <c r="B10" s="2">
        <v>8</v>
      </c>
      <c r="C10" s="23" t="s">
        <v>30</v>
      </c>
      <c r="D10" s="94">
        <f>'8.티랩'!L49</f>
        <v>0</v>
      </c>
      <c r="E10" s="94">
        <f>'8.티랩'!M49</f>
        <v>0</v>
      </c>
      <c r="F10" s="92">
        <f>'8.티랩'!N49</f>
        <v>0</v>
      </c>
      <c r="G10" s="94">
        <f>'8.티랩'!O49</f>
        <v>0</v>
      </c>
      <c r="H10" s="88">
        <f>'8.티랩'!P49</f>
        <v>0</v>
      </c>
      <c r="I10" s="14"/>
    </row>
    <row r="11" spans="2:9" s="13" customFormat="1">
      <c r="B11" s="2">
        <v>9</v>
      </c>
      <c r="C11" s="23" t="s">
        <v>65</v>
      </c>
      <c r="D11" s="94">
        <f>'9.마루소프트'!L49</f>
        <v>0</v>
      </c>
      <c r="E11" s="94">
        <f>'9.마루소프트'!M49</f>
        <v>0</v>
      </c>
      <c r="F11" s="92">
        <f>'9.마루소프트'!N49</f>
        <v>0</v>
      </c>
      <c r="G11" s="94">
        <f>'9.마루소프트'!O49</f>
        <v>0</v>
      </c>
      <c r="H11" s="88">
        <f>'9.마루소프트'!P49</f>
        <v>0</v>
      </c>
      <c r="I11" s="14"/>
    </row>
    <row r="12" spans="2:9">
      <c r="B12" s="2">
        <v>10</v>
      </c>
      <c r="C12" s="22" t="s">
        <v>66</v>
      </c>
      <c r="D12" s="94">
        <f>'10.신진금고'!L49</f>
        <v>0</v>
      </c>
      <c r="E12" s="94">
        <f>'10.신진금고'!M49</f>
        <v>0</v>
      </c>
      <c r="F12" s="92">
        <f>'10.신진금고'!N49</f>
        <v>0</v>
      </c>
      <c r="G12" s="94">
        <f>'10.신진금고'!O49</f>
        <v>0</v>
      </c>
      <c r="H12" s="88">
        <f>'10.신진금고'!P49</f>
        <v>0</v>
      </c>
      <c r="I12" s="14"/>
    </row>
    <row r="13" spans="2:9">
      <c r="B13" s="2"/>
      <c r="C13" s="22"/>
      <c r="D13" s="94"/>
      <c r="E13" s="94"/>
      <c r="F13" s="92"/>
      <c r="G13" s="96"/>
      <c r="H13" s="52"/>
      <c r="I13" s="14"/>
    </row>
    <row r="14" spans="2:9">
      <c r="B14" s="2"/>
      <c r="C14" s="22"/>
      <c r="D14" s="94"/>
      <c r="E14" s="94"/>
      <c r="F14" s="92"/>
      <c r="G14" s="96"/>
      <c r="H14" s="52"/>
      <c r="I14" s="14"/>
    </row>
    <row r="15" spans="2:9">
      <c r="B15" s="2"/>
      <c r="C15" s="22"/>
      <c r="D15" s="94"/>
      <c r="E15" s="94"/>
      <c r="F15" s="92"/>
      <c r="G15" s="96"/>
      <c r="H15" s="52"/>
      <c r="I15" s="14"/>
    </row>
    <row r="16" spans="2:9">
      <c r="B16" s="2"/>
      <c r="C16" s="22"/>
      <c r="D16" s="94"/>
      <c r="E16" s="94"/>
      <c r="F16" s="92"/>
      <c r="G16" s="96"/>
      <c r="H16" s="52"/>
      <c r="I16" s="14"/>
    </row>
    <row r="17" spans="2:9">
      <c r="B17" s="2"/>
      <c r="C17" s="22"/>
      <c r="D17" s="94"/>
      <c r="E17" s="94"/>
      <c r="F17" s="92"/>
      <c r="G17" s="96"/>
      <c r="H17" s="52"/>
      <c r="I17" s="14"/>
    </row>
    <row r="18" spans="2:9">
      <c r="B18" s="2"/>
      <c r="C18" s="22"/>
      <c r="D18" s="94"/>
      <c r="E18" s="94"/>
      <c r="F18" s="92"/>
      <c r="G18" s="96"/>
      <c r="H18" s="52"/>
      <c r="I18" s="14"/>
    </row>
    <row r="19" spans="2:9">
      <c r="B19" s="2"/>
      <c r="C19" s="22"/>
      <c r="D19" s="94"/>
      <c r="E19" s="94"/>
      <c r="F19" s="92"/>
      <c r="G19" s="96"/>
      <c r="H19" s="52"/>
      <c r="I19" s="14"/>
    </row>
    <row r="20" spans="2:9" s="12" customFormat="1">
      <c r="B20" s="11"/>
      <c r="C20" s="24" t="s">
        <v>9</v>
      </c>
      <c r="D20" s="95">
        <f>SUM(D3:D12)</f>
        <v>1958419419</v>
      </c>
      <c r="E20" s="95">
        <f>SUM(E3:E12)</f>
        <v>1234386143.3000002</v>
      </c>
      <c r="F20" s="93">
        <f>SUM(F3:F11)</f>
        <v>724033275.69999993</v>
      </c>
      <c r="G20" s="97">
        <f>SUM(G3:G12)</f>
        <v>1234386143.3000002</v>
      </c>
      <c r="H20" s="104">
        <f>SUM(H3:H12)</f>
        <v>0</v>
      </c>
      <c r="I20" s="14"/>
    </row>
    <row r="21" spans="2:9" s="12" customFormat="1">
      <c r="B21" s="32"/>
      <c r="C21" s="33"/>
      <c r="D21" s="89"/>
      <c r="E21" s="89"/>
      <c r="F21" s="89"/>
      <c r="G21" s="53"/>
      <c r="H21" s="53"/>
      <c r="I21" s="55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5" style="63" bestFit="1" customWidth="1"/>
    <col min="17" max="17" width="40.125" style="10" bestFit="1" customWidth="1"/>
    <col min="18" max="18" width="33.625" style="10" bestFit="1" customWidth="1"/>
    <col min="19" max="19" width="44.25" bestFit="1" customWidth="1"/>
    <col min="20" max="20" width="45.75" bestFit="1" customWidth="1"/>
    <col min="21" max="21" width="49.125" bestFit="1" customWidth="1"/>
    <col min="22" max="22" width="31" customWidth="1"/>
    <col min="23" max="23" width="33.875" bestFit="1" customWidth="1"/>
    <col min="24" max="27" width="11" bestFit="1" customWidth="1"/>
  </cols>
  <sheetData>
    <row r="1" spans="1:25">
      <c r="S1" s="51"/>
    </row>
    <row r="2" spans="1:25">
      <c r="B2" s="6"/>
      <c r="C2" s="6"/>
    </row>
    <row r="3" spans="1:25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  <c r="T3" s="101"/>
    </row>
    <row r="4" spans="1:25" s="1" customFormat="1" ht="99">
      <c r="B4" s="15">
        <v>1</v>
      </c>
      <c r="C4" s="15" t="s">
        <v>17</v>
      </c>
      <c r="D4" s="16" t="s">
        <v>18</v>
      </c>
      <c r="E4" s="16" t="s">
        <v>19</v>
      </c>
      <c r="F4" s="16"/>
      <c r="G4" s="15">
        <v>240409</v>
      </c>
      <c r="H4" s="29" t="s">
        <v>20</v>
      </c>
      <c r="I4" s="29"/>
      <c r="J4" s="29" t="s">
        <v>71</v>
      </c>
      <c r="K4" s="16"/>
      <c r="L4" s="46">
        <v>423083700</v>
      </c>
      <c r="M4" s="46">
        <v>423083700</v>
      </c>
      <c r="N4" s="46"/>
      <c r="O4" s="44">
        <v>423083700</v>
      </c>
      <c r="P4" s="47">
        <f>M4-O4</f>
        <v>0</v>
      </c>
      <c r="Q4" s="40" t="s">
        <v>107</v>
      </c>
      <c r="R4" s="61"/>
      <c r="S4" s="36" t="s">
        <v>108</v>
      </c>
      <c r="T4" s="36" t="s">
        <v>138</v>
      </c>
      <c r="U4" s="41" t="s">
        <v>135</v>
      </c>
      <c r="V4" s="41" t="s">
        <v>111</v>
      </c>
      <c r="W4" s="41" t="s">
        <v>110</v>
      </c>
      <c r="X4" s="41" t="s">
        <v>109</v>
      </c>
      <c r="Y4" s="37" t="s">
        <v>106</v>
      </c>
    </row>
    <row r="5" spans="1:25" s="18" customFormat="1" ht="33">
      <c r="A5" s="1"/>
      <c r="B5" s="57">
        <v>2</v>
      </c>
      <c r="C5" s="57" t="s">
        <v>17</v>
      </c>
      <c r="D5" s="58" t="s">
        <v>18</v>
      </c>
      <c r="E5" s="58" t="s">
        <v>22</v>
      </c>
      <c r="F5" s="58"/>
      <c r="G5" s="57">
        <v>240409</v>
      </c>
      <c r="H5" s="59" t="s">
        <v>23</v>
      </c>
      <c r="I5" s="59" t="s">
        <v>50</v>
      </c>
      <c r="J5" s="58" t="s">
        <v>67</v>
      </c>
      <c r="K5" s="58">
        <v>1</v>
      </c>
      <c r="L5" s="64">
        <v>270000</v>
      </c>
      <c r="M5" s="64">
        <v>270000</v>
      </c>
      <c r="N5" s="65"/>
      <c r="O5" s="60">
        <f>L5</f>
        <v>270000</v>
      </c>
      <c r="P5" s="85">
        <f t="shared" ref="P5:P42" si="0">M5-O5</f>
        <v>0</v>
      </c>
      <c r="Q5" s="58"/>
      <c r="R5" s="58"/>
      <c r="S5" s="36" t="s">
        <v>108</v>
      </c>
      <c r="T5" s="36" t="s">
        <v>105</v>
      </c>
    </row>
    <row r="6" spans="1:25" s="18" customFormat="1">
      <c r="B6" s="57"/>
      <c r="C6" s="57"/>
      <c r="D6" s="58"/>
      <c r="E6" s="58"/>
      <c r="F6" s="58"/>
      <c r="G6" s="57"/>
      <c r="H6" s="59" t="s">
        <v>23</v>
      </c>
      <c r="I6" s="59" t="s">
        <v>51</v>
      </c>
      <c r="J6" s="58" t="s">
        <v>68</v>
      </c>
      <c r="K6" s="58">
        <v>1</v>
      </c>
      <c r="L6" s="64">
        <v>900000</v>
      </c>
      <c r="M6" s="64">
        <v>900000</v>
      </c>
      <c r="N6" s="65"/>
      <c r="O6" s="60">
        <f>L6</f>
        <v>900000</v>
      </c>
      <c r="P6" s="85">
        <f t="shared" si="0"/>
        <v>0</v>
      </c>
      <c r="Q6" s="58"/>
      <c r="R6" s="58"/>
    </row>
    <row r="7" spans="1:25" s="18" customFormat="1">
      <c r="B7" s="57"/>
      <c r="C7" s="57"/>
      <c r="D7" s="58"/>
      <c r="E7" s="58"/>
      <c r="F7" s="58"/>
      <c r="G7" s="57"/>
      <c r="H7" s="59" t="s">
        <v>23</v>
      </c>
      <c r="I7" s="59" t="s">
        <v>52</v>
      </c>
      <c r="J7" s="58" t="s">
        <v>69</v>
      </c>
      <c r="K7" s="58">
        <v>1</v>
      </c>
      <c r="L7" s="64">
        <v>1386000</v>
      </c>
      <c r="M7" s="64">
        <v>1386000</v>
      </c>
      <c r="N7" s="65"/>
      <c r="O7" s="60">
        <f>L7</f>
        <v>1386000</v>
      </c>
      <c r="P7" s="85">
        <f t="shared" si="0"/>
        <v>0</v>
      </c>
      <c r="Q7" s="58"/>
      <c r="R7" s="58"/>
    </row>
    <row r="8" spans="1:25" s="18" customFormat="1">
      <c r="B8" s="57"/>
      <c r="C8" s="57"/>
      <c r="D8" s="58"/>
      <c r="E8" s="58"/>
      <c r="F8" s="58"/>
      <c r="G8" s="57"/>
      <c r="H8" s="59" t="s">
        <v>23</v>
      </c>
      <c r="I8" s="59" t="s">
        <v>53</v>
      </c>
      <c r="J8" s="58" t="s">
        <v>70</v>
      </c>
      <c r="K8" s="58">
        <v>1</v>
      </c>
      <c r="L8" s="64">
        <v>1386000</v>
      </c>
      <c r="M8" s="64">
        <v>1386000</v>
      </c>
      <c r="N8" s="65"/>
      <c r="O8" s="60">
        <f>L8</f>
        <v>1386000</v>
      </c>
      <c r="P8" s="85">
        <f t="shared" si="0"/>
        <v>0</v>
      </c>
      <c r="Q8" s="58"/>
      <c r="R8" s="58"/>
    </row>
    <row r="9" spans="1:25" s="18" customFormat="1" ht="66">
      <c r="B9" s="27">
        <v>3</v>
      </c>
      <c r="C9" s="27" t="s">
        <v>17</v>
      </c>
      <c r="D9" s="26" t="s">
        <v>18</v>
      </c>
      <c r="E9" s="26" t="s">
        <v>24</v>
      </c>
      <c r="F9" s="26"/>
      <c r="G9" s="27">
        <v>240524</v>
      </c>
      <c r="H9" s="31" t="s">
        <v>25</v>
      </c>
      <c r="I9" s="31"/>
      <c r="J9" s="26" t="s">
        <v>72</v>
      </c>
      <c r="K9" s="26"/>
      <c r="L9" s="66">
        <v>350710750</v>
      </c>
      <c r="M9" s="46">
        <v>105213225</v>
      </c>
      <c r="N9" s="67">
        <v>245497524.99999997</v>
      </c>
      <c r="O9" s="44">
        <v>105213225</v>
      </c>
      <c r="P9" s="47">
        <f t="shared" si="0"/>
        <v>0</v>
      </c>
      <c r="Q9" s="35" t="s">
        <v>123</v>
      </c>
      <c r="R9" s="61" t="s">
        <v>122</v>
      </c>
      <c r="S9" s="37" t="s">
        <v>112</v>
      </c>
    </row>
    <row r="10" spans="1:25" s="18" customFormat="1" ht="33">
      <c r="A10" s="1"/>
      <c r="B10" s="57">
        <v>4</v>
      </c>
      <c r="C10" s="57" t="s">
        <v>17</v>
      </c>
      <c r="D10" s="58" t="s">
        <v>18</v>
      </c>
      <c r="E10" s="58" t="s">
        <v>26</v>
      </c>
      <c r="F10" s="58"/>
      <c r="G10" s="57">
        <v>240524</v>
      </c>
      <c r="H10" s="59" t="s">
        <v>27</v>
      </c>
      <c r="I10" s="59" t="s">
        <v>50</v>
      </c>
      <c r="J10" s="58" t="s">
        <v>74</v>
      </c>
      <c r="K10" s="58">
        <v>82</v>
      </c>
      <c r="L10" s="64">
        <v>35260000</v>
      </c>
      <c r="M10" s="64">
        <v>35260000</v>
      </c>
      <c r="N10" s="64"/>
      <c r="O10" s="60">
        <f>M10</f>
        <v>35260000</v>
      </c>
      <c r="P10" s="85">
        <f t="shared" si="0"/>
        <v>0</v>
      </c>
      <c r="Q10" s="58"/>
      <c r="R10" s="102"/>
      <c r="S10" s="36" t="s">
        <v>108</v>
      </c>
      <c r="T10" s="37" t="s">
        <v>134</v>
      </c>
      <c r="U10" s="37" t="s">
        <v>113</v>
      </c>
    </row>
    <row r="11" spans="1:25" s="18" customFormat="1">
      <c r="B11" s="57"/>
      <c r="C11" s="57"/>
      <c r="D11" s="58"/>
      <c r="E11" s="58"/>
      <c r="F11" s="58"/>
      <c r="G11" s="57"/>
      <c r="H11" s="59"/>
      <c r="I11" s="59" t="s">
        <v>51</v>
      </c>
      <c r="J11" s="58" t="s">
        <v>75</v>
      </c>
      <c r="K11" s="58">
        <v>82</v>
      </c>
      <c r="L11" s="64">
        <v>27060000</v>
      </c>
      <c r="M11" s="64">
        <v>27060000</v>
      </c>
      <c r="N11" s="64"/>
      <c r="O11" s="60">
        <f t="shared" ref="O11:O19" si="1">M11</f>
        <v>27060000</v>
      </c>
      <c r="P11" s="85">
        <f t="shared" si="0"/>
        <v>0</v>
      </c>
      <c r="Q11" s="58"/>
      <c r="R11" s="102"/>
    </row>
    <row r="12" spans="1:25" s="18" customFormat="1">
      <c r="B12" s="57"/>
      <c r="C12" s="57"/>
      <c r="D12" s="58"/>
      <c r="E12" s="58"/>
      <c r="F12" s="58"/>
      <c r="G12" s="57"/>
      <c r="H12" s="59"/>
      <c r="I12" s="59" t="s">
        <v>52</v>
      </c>
      <c r="J12" s="58" t="s">
        <v>76</v>
      </c>
      <c r="K12" s="58">
        <v>82</v>
      </c>
      <c r="L12" s="64">
        <v>27060000</v>
      </c>
      <c r="M12" s="64">
        <v>27060000</v>
      </c>
      <c r="N12" s="64"/>
      <c r="O12" s="60">
        <f t="shared" si="1"/>
        <v>27060000</v>
      </c>
      <c r="P12" s="85">
        <f t="shared" si="0"/>
        <v>0</v>
      </c>
      <c r="Q12" s="58"/>
      <c r="R12" s="103"/>
    </row>
    <row r="13" spans="1:25" s="18" customFormat="1">
      <c r="B13" s="57"/>
      <c r="C13" s="57"/>
      <c r="D13" s="58"/>
      <c r="E13" s="58"/>
      <c r="F13" s="58"/>
      <c r="G13" s="57"/>
      <c r="H13" s="59"/>
      <c r="I13" s="59" t="s">
        <v>53</v>
      </c>
      <c r="J13" s="58" t="s">
        <v>77</v>
      </c>
      <c r="K13" s="58">
        <v>82</v>
      </c>
      <c r="L13" s="64">
        <v>15580000</v>
      </c>
      <c r="M13" s="64">
        <v>15580000</v>
      </c>
      <c r="N13" s="64"/>
      <c r="O13" s="60">
        <f t="shared" si="1"/>
        <v>15580000</v>
      </c>
      <c r="P13" s="85">
        <f t="shared" si="0"/>
        <v>0</v>
      </c>
      <c r="Q13" s="58"/>
      <c r="R13" s="58"/>
    </row>
    <row r="14" spans="1:25" s="18" customFormat="1">
      <c r="B14" s="57"/>
      <c r="C14" s="57"/>
      <c r="D14" s="58"/>
      <c r="E14" s="58"/>
      <c r="F14" s="58"/>
      <c r="G14" s="57"/>
      <c r="H14" s="59"/>
      <c r="I14" s="59" t="s">
        <v>54</v>
      </c>
      <c r="J14" s="58" t="s">
        <v>73</v>
      </c>
      <c r="K14" s="58">
        <v>82</v>
      </c>
      <c r="L14" s="64">
        <v>27060000</v>
      </c>
      <c r="M14" s="64">
        <v>27060000</v>
      </c>
      <c r="N14" s="64"/>
      <c r="O14" s="60">
        <f t="shared" si="1"/>
        <v>27060000</v>
      </c>
      <c r="P14" s="85">
        <f t="shared" si="0"/>
        <v>0</v>
      </c>
      <c r="Q14" s="58"/>
      <c r="R14" s="58"/>
    </row>
    <row r="15" spans="1:25" s="18" customFormat="1">
      <c r="B15" s="57"/>
      <c r="C15" s="57"/>
      <c r="D15" s="58"/>
      <c r="E15" s="58"/>
      <c r="F15" s="58"/>
      <c r="G15" s="57"/>
      <c r="H15" s="59"/>
      <c r="I15" s="59" t="s">
        <v>55</v>
      </c>
      <c r="J15" s="58" t="s">
        <v>78</v>
      </c>
      <c r="K15" s="58">
        <v>51</v>
      </c>
      <c r="L15" s="64">
        <v>16830000</v>
      </c>
      <c r="M15" s="64">
        <v>16830000</v>
      </c>
      <c r="N15" s="64"/>
      <c r="O15" s="60">
        <f t="shared" si="1"/>
        <v>16830000</v>
      </c>
      <c r="P15" s="85">
        <f t="shared" si="0"/>
        <v>0</v>
      </c>
      <c r="Q15" s="58"/>
      <c r="R15" s="58"/>
    </row>
    <row r="16" spans="1:25" s="18" customFormat="1">
      <c r="B16" s="57"/>
      <c r="C16" s="57"/>
      <c r="D16" s="58"/>
      <c r="E16" s="58"/>
      <c r="F16" s="58"/>
      <c r="G16" s="57"/>
      <c r="H16" s="59"/>
      <c r="I16" s="59" t="s">
        <v>56</v>
      </c>
      <c r="J16" s="58" t="s">
        <v>79</v>
      </c>
      <c r="K16" s="58">
        <v>41</v>
      </c>
      <c r="L16" s="64">
        <v>22550000</v>
      </c>
      <c r="M16" s="64">
        <v>22550000</v>
      </c>
      <c r="N16" s="64"/>
      <c r="O16" s="60">
        <f t="shared" si="1"/>
        <v>22550000</v>
      </c>
      <c r="P16" s="85">
        <f t="shared" si="0"/>
        <v>0</v>
      </c>
      <c r="Q16" s="58"/>
      <c r="R16" s="58"/>
    </row>
    <row r="17" spans="2:20" s="18" customFormat="1">
      <c r="B17" s="57"/>
      <c r="C17" s="57"/>
      <c r="D17" s="58"/>
      <c r="E17" s="58"/>
      <c r="F17" s="58"/>
      <c r="G17" s="57"/>
      <c r="H17" s="59"/>
      <c r="I17" s="59" t="s">
        <v>57</v>
      </c>
      <c r="J17" s="58" t="s">
        <v>80</v>
      </c>
      <c r="K17" s="58">
        <v>41</v>
      </c>
      <c r="L17" s="64">
        <v>2050000</v>
      </c>
      <c r="M17" s="64">
        <v>2050000</v>
      </c>
      <c r="N17" s="64"/>
      <c r="O17" s="60">
        <f t="shared" si="1"/>
        <v>2050000</v>
      </c>
      <c r="P17" s="85">
        <f t="shared" si="0"/>
        <v>0</v>
      </c>
      <c r="Q17" s="58"/>
      <c r="R17" s="58"/>
    </row>
    <row r="18" spans="2:20" s="18" customFormat="1">
      <c r="B18" s="57"/>
      <c r="C18" s="57"/>
      <c r="D18" s="58"/>
      <c r="E18" s="58"/>
      <c r="F18" s="58"/>
      <c r="G18" s="57"/>
      <c r="H18" s="59"/>
      <c r="I18" s="59" t="s">
        <v>58</v>
      </c>
      <c r="J18" s="58" t="s">
        <v>81</v>
      </c>
      <c r="K18" s="58">
        <v>21</v>
      </c>
      <c r="L18" s="64">
        <v>12180000</v>
      </c>
      <c r="M18" s="64">
        <v>12180000</v>
      </c>
      <c r="N18" s="64"/>
      <c r="O18" s="60">
        <f t="shared" si="1"/>
        <v>12180000</v>
      </c>
      <c r="P18" s="85">
        <f t="shared" si="0"/>
        <v>0</v>
      </c>
      <c r="Q18" s="58"/>
      <c r="R18" s="58"/>
    </row>
    <row r="19" spans="2:20" s="18" customFormat="1">
      <c r="B19" s="57"/>
      <c r="C19" s="57"/>
      <c r="D19" s="58"/>
      <c r="E19" s="58"/>
      <c r="F19" s="58"/>
      <c r="G19" s="57"/>
      <c r="H19" s="59"/>
      <c r="I19" s="59" t="s">
        <v>59</v>
      </c>
      <c r="J19" s="58" t="s">
        <v>82</v>
      </c>
      <c r="K19" s="58">
        <v>21</v>
      </c>
      <c r="L19" s="64">
        <v>12180000</v>
      </c>
      <c r="M19" s="64">
        <v>12180000</v>
      </c>
      <c r="N19" s="64"/>
      <c r="O19" s="60">
        <f t="shared" si="1"/>
        <v>12180000</v>
      </c>
      <c r="P19" s="85">
        <f t="shared" si="0"/>
        <v>0</v>
      </c>
      <c r="Q19" s="58"/>
      <c r="R19" s="58"/>
    </row>
    <row r="20" spans="2:20" s="18" customFormat="1" ht="33">
      <c r="B20" s="15">
        <v>5</v>
      </c>
      <c r="C20" s="15" t="s">
        <v>17</v>
      </c>
      <c r="D20" s="16" t="s">
        <v>18</v>
      </c>
      <c r="E20" s="16" t="s">
        <v>36</v>
      </c>
      <c r="F20" s="16"/>
      <c r="G20" s="15">
        <v>240913</v>
      </c>
      <c r="H20" s="31" t="s">
        <v>37</v>
      </c>
      <c r="I20" s="29" t="s">
        <v>50</v>
      </c>
      <c r="J20" s="16" t="s">
        <v>83</v>
      </c>
      <c r="K20" s="16">
        <v>51</v>
      </c>
      <c r="L20" s="46">
        <v>46610077</v>
      </c>
      <c r="M20" s="46">
        <v>32627053.899999999</v>
      </c>
      <c r="N20" s="66">
        <v>13983023.1</v>
      </c>
      <c r="O20" s="44">
        <f t="shared" ref="O20:O31" si="2">M20</f>
        <v>32627053.899999999</v>
      </c>
      <c r="P20" s="47">
        <f t="shared" si="0"/>
        <v>0</v>
      </c>
      <c r="Q20" s="16" t="s">
        <v>96</v>
      </c>
      <c r="R20" s="34"/>
      <c r="S20" s="36" t="s">
        <v>104</v>
      </c>
      <c r="T20" s="37" t="s">
        <v>103</v>
      </c>
    </row>
    <row r="21" spans="2:20" s="18" customFormat="1">
      <c r="B21" s="15"/>
      <c r="C21" s="15"/>
      <c r="D21" s="16"/>
      <c r="E21" s="16"/>
      <c r="F21" s="16"/>
      <c r="G21" s="15"/>
      <c r="H21" s="31"/>
      <c r="I21" s="29" t="s">
        <v>51</v>
      </c>
      <c r="J21" s="16" t="s">
        <v>84</v>
      </c>
      <c r="K21" s="16">
        <v>51</v>
      </c>
      <c r="L21" s="46">
        <v>33882518</v>
      </c>
      <c r="M21" s="46">
        <v>23717762.599999998</v>
      </c>
      <c r="N21" s="66">
        <v>10164755.4</v>
      </c>
      <c r="O21" s="44">
        <f t="shared" si="2"/>
        <v>23717762.599999998</v>
      </c>
      <c r="P21" s="47">
        <f t="shared" si="0"/>
        <v>0</v>
      </c>
      <c r="Q21" s="26" t="s">
        <v>97</v>
      </c>
      <c r="R21" s="34"/>
    </row>
    <row r="22" spans="2:20" s="18" customFormat="1">
      <c r="B22" s="15"/>
      <c r="C22" s="15"/>
      <c r="D22" s="16"/>
      <c r="E22" s="16"/>
      <c r="F22" s="16"/>
      <c r="G22" s="15"/>
      <c r="H22" s="31"/>
      <c r="I22" s="29" t="s">
        <v>52</v>
      </c>
      <c r="J22" s="16" t="s">
        <v>85</v>
      </c>
      <c r="K22" s="16">
        <v>51</v>
      </c>
      <c r="L22" s="46">
        <v>31138841</v>
      </c>
      <c r="M22" s="46">
        <v>21797188.699999999</v>
      </c>
      <c r="N22" s="66">
        <v>9341652.2999999989</v>
      </c>
      <c r="O22" s="44">
        <f t="shared" si="2"/>
        <v>21797188.699999999</v>
      </c>
      <c r="P22" s="47">
        <f t="shared" si="0"/>
        <v>0</v>
      </c>
      <c r="Q22" s="16"/>
      <c r="R22" s="16"/>
    </row>
    <row r="23" spans="2:20" s="18" customFormat="1">
      <c r="B23" s="15"/>
      <c r="C23" s="15"/>
      <c r="D23" s="16"/>
      <c r="E23" s="16"/>
      <c r="F23" s="16"/>
      <c r="G23" s="15"/>
      <c r="H23" s="31"/>
      <c r="I23" s="29" t="s">
        <v>53</v>
      </c>
      <c r="J23" s="16" t="s">
        <v>86</v>
      </c>
      <c r="K23" s="16">
        <v>51</v>
      </c>
      <c r="L23" s="46">
        <v>26181518</v>
      </c>
      <c r="M23" s="46">
        <v>18327062.599999998</v>
      </c>
      <c r="N23" s="66">
        <v>7854455.3999999994</v>
      </c>
      <c r="O23" s="44">
        <f t="shared" si="2"/>
        <v>18327062.599999998</v>
      </c>
      <c r="P23" s="47">
        <f t="shared" si="0"/>
        <v>0</v>
      </c>
      <c r="Q23" s="16"/>
      <c r="R23" s="16"/>
    </row>
    <row r="24" spans="2:20" s="18" customFormat="1">
      <c r="B24" s="15"/>
      <c r="C24" s="15"/>
      <c r="D24" s="16"/>
      <c r="E24" s="16"/>
      <c r="F24" s="16"/>
      <c r="G24" s="15"/>
      <c r="H24" s="31"/>
      <c r="I24" s="29" t="s">
        <v>54</v>
      </c>
      <c r="J24" s="16" t="s">
        <v>87</v>
      </c>
      <c r="K24" s="16">
        <v>51</v>
      </c>
      <c r="L24" s="46">
        <v>31408809</v>
      </c>
      <c r="M24" s="46">
        <v>21986166.299999997</v>
      </c>
      <c r="N24" s="66">
        <v>9422642.6999999993</v>
      </c>
      <c r="O24" s="44">
        <f t="shared" si="2"/>
        <v>21986166.299999997</v>
      </c>
      <c r="P24" s="47">
        <f t="shared" si="0"/>
        <v>0</v>
      </c>
      <c r="Q24" s="16"/>
      <c r="R24" s="16"/>
    </row>
    <row r="25" spans="2:20" s="18" customFormat="1">
      <c r="B25" s="15"/>
      <c r="C25" s="15"/>
      <c r="D25" s="16"/>
      <c r="E25" s="16"/>
      <c r="F25" s="16"/>
      <c r="G25" s="15"/>
      <c r="H25" s="31"/>
      <c r="I25" s="29" t="s">
        <v>55</v>
      </c>
      <c r="J25" s="16" t="s">
        <v>88</v>
      </c>
      <c r="K25" s="16">
        <v>51</v>
      </c>
      <c r="L25" s="46">
        <v>14739000</v>
      </c>
      <c r="M25" s="46">
        <v>10317300</v>
      </c>
      <c r="N25" s="66">
        <v>4421700</v>
      </c>
      <c r="O25" s="44">
        <f t="shared" si="2"/>
        <v>10317300</v>
      </c>
      <c r="P25" s="47">
        <f t="shared" si="0"/>
        <v>0</v>
      </c>
      <c r="Q25" s="16"/>
      <c r="R25" s="16"/>
    </row>
    <row r="26" spans="2:20" s="18" customFormat="1">
      <c r="B26" s="15"/>
      <c r="C26" s="15"/>
      <c r="D26" s="16"/>
      <c r="E26" s="16"/>
      <c r="F26" s="16"/>
      <c r="G26" s="15"/>
      <c r="H26" s="31"/>
      <c r="I26" s="29" t="s">
        <v>56</v>
      </c>
      <c r="J26" s="16" t="s">
        <v>89</v>
      </c>
      <c r="K26" s="16">
        <v>102</v>
      </c>
      <c r="L26" s="46">
        <v>34578000</v>
      </c>
      <c r="M26" s="46">
        <v>24204600</v>
      </c>
      <c r="N26" s="66">
        <v>10373400</v>
      </c>
      <c r="O26" s="44">
        <f t="shared" si="2"/>
        <v>24204600</v>
      </c>
      <c r="P26" s="47">
        <f t="shared" si="0"/>
        <v>0</v>
      </c>
      <c r="Q26" s="16"/>
      <c r="R26" s="16"/>
    </row>
    <row r="27" spans="2:20" s="18" customFormat="1">
      <c r="B27" s="15"/>
      <c r="C27" s="15"/>
      <c r="D27" s="16"/>
      <c r="E27" s="16"/>
      <c r="F27" s="16"/>
      <c r="G27" s="15"/>
      <c r="H27" s="31"/>
      <c r="I27" s="29" t="s">
        <v>57</v>
      </c>
      <c r="J27" s="16" t="s">
        <v>90</v>
      </c>
      <c r="K27" s="16">
        <v>51</v>
      </c>
      <c r="L27" s="46">
        <v>24214341</v>
      </c>
      <c r="M27" s="46">
        <v>16950038.699999999</v>
      </c>
      <c r="N27" s="66">
        <v>7264302.2999999998</v>
      </c>
      <c r="O27" s="44">
        <f t="shared" si="2"/>
        <v>16950038.699999999</v>
      </c>
      <c r="P27" s="47">
        <f t="shared" si="0"/>
        <v>0</v>
      </c>
      <c r="Q27" s="16"/>
      <c r="R27" s="16"/>
    </row>
    <row r="28" spans="2:20" s="18" customFormat="1">
      <c r="B28" s="15"/>
      <c r="C28" s="15"/>
      <c r="D28" s="16"/>
      <c r="E28" s="16"/>
      <c r="F28" s="16"/>
      <c r="G28" s="15"/>
      <c r="H28" s="31"/>
      <c r="I28" s="29" t="s">
        <v>58</v>
      </c>
      <c r="J28" s="16" t="s">
        <v>91</v>
      </c>
      <c r="K28" s="16">
        <v>51</v>
      </c>
      <c r="L28" s="46">
        <v>15300000</v>
      </c>
      <c r="M28" s="46">
        <v>10710000</v>
      </c>
      <c r="N28" s="66">
        <v>4590000</v>
      </c>
      <c r="O28" s="44">
        <f t="shared" si="2"/>
        <v>10710000</v>
      </c>
      <c r="P28" s="47">
        <f t="shared" si="0"/>
        <v>0</v>
      </c>
      <c r="Q28" s="16"/>
      <c r="R28" s="16"/>
    </row>
    <row r="29" spans="2:20" s="18" customFormat="1">
      <c r="B29" s="15"/>
      <c r="C29" s="15"/>
      <c r="D29" s="16"/>
      <c r="E29" s="16"/>
      <c r="F29" s="16"/>
      <c r="G29" s="15"/>
      <c r="H29" s="31"/>
      <c r="I29" s="29" t="s">
        <v>59</v>
      </c>
      <c r="J29" s="16" t="s">
        <v>92</v>
      </c>
      <c r="K29" s="16">
        <v>51</v>
      </c>
      <c r="L29" s="46">
        <v>24156125</v>
      </c>
      <c r="M29" s="46">
        <v>16909287.5</v>
      </c>
      <c r="N29" s="66">
        <v>7246837.5</v>
      </c>
      <c r="O29" s="44">
        <f t="shared" si="2"/>
        <v>16909287.5</v>
      </c>
      <c r="P29" s="47">
        <f t="shared" si="0"/>
        <v>0</v>
      </c>
      <c r="Q29" s="16"/>
      <c r="R29" s="16"/>
    </row>
    <row r="30" spans="2:20" s="18" customFormat="1">
      <c r="B30" s="15"/>
      <c r="C30" s="15"/>
      <c r="D30" s="16"/>
      <c r="E30" s="16"/>
      <c r="F30" s="16"/>
      <c r="G30" s="15"/>
      <c r="H30" s="31"/>
      <c r="I30" s="29" t="s">
        <v>60</v>
      </c>
      <c r="J30" s="16" t="s">
        <v>93</v>
      </c>
      <c r="K30" s="16">
        <v>51</v>
      </c>
      <c r="L30" s="46">
        <v>21685863</v>
      </c>
      <c r="M30" s="46">
        <v>15180104.1</v>
      </c>
      <c r="N30" s="66">
        <v>6505758.8999999994</v>
      </c>
      <c r="O30" s="44">
        <f t="shared" si="2"/>
        <v>15180104.1</v>
      </c>
      <c r="P30" s="47">
        <f t="shared" si="0"/>
        <v>0</v>
      </c>
      <c r="Q30" s="16"/>
      <c r="R30" s="16"/>
    </row>
    <row r="31" spans="2:20" s="18" customFormat="1">
      <c r="B31" s="15"/>
      <c r="C31" s="15"/>
      <c r="D31" s="16"/>
      <c r="E31" s="16"/>
      <c r="F31" s="16"/>
      <c r="G31" s="15"/>
      <c r="H31" s="31"/>
      <c r="I31" s="29" t="s">
        <v>95</v>
      </c>
      <c r="J31" s="16" t="s">
        <v>94</v>
      </c>
      <c r="K31" s="16">
        <v>51</v>
      </c>
      <c r="L31" s="46">
        <v>47120077</v>
      </c>
      <c r="M31" s="46">
        <v>32984053.899999999</v>
      </c>
      <c r="N31" s="66">
        <v>14136023.1</v>
      </c>
      <c r="O31" s="44">
        <f t="shared" si="2"/>
        <v>32984053.899999999</v>
      </c>
      <c r="P31" s="47">
        <f t="shared" si="0"/>
        <v>0</v>
      </c>
      <c r="Q31" s="16"/>
      <c r="R31" s="16"/>
    </row>
    <row r="32" spans="2:20" s="18" customFormat="1" ht="33">
      <c r="B32" s="15">
        <v>6</v>
      </c>
      <c r="C32" s="15" t="s">
        <v>17</v>
      </c>
      <c r="D32" s="16" t="s">
        <v>18</v>
      </c>
      <c r="E32" s="16" t="s">
        <v>38</v>
      </c>
      <c r="F32" s="16"/>
      <c r="G32" s="15">
        <v>240923</v>
      </c>
      <c r="H32" s="29" t="s">
        <v>61</v>
      </c>
      <c r="I32" s="29" t="s">
        <v>50</v>
      </c>
      <c r="J32" s="16" t="s">
        <v>39</v>
      </c>
      <c r="K32" s="16">
        <v>10</v>
      </c>
      <c r="L32" s="46">
        <v>2917600</v>
      </c>
      <c r="M32" s="46">
        <v>2917600</v>
      </c>
      <c r="N32" s="46"/>
      <c r="O32" s="44">
        <v>2917600</v>
      </c>
      <c r="P32" s="47">
        <f t="shared" si="0"/>
        <v>0</v>
      </c>
      <c r="Q32" s="16"/>
      <c r="R32" s="34"/>
      <c r="S32" s="36" t="s">
        <v>104</v>
      </c>
      <c r="T32" s="36" t="s">
        <v>142</v>
      </c>
    </row>
    <row r="33" spans="2:24" s="18" customFormat="1">
      <c r="B33" s="15"/>
      <c r="C33" s="15"/>
      <c r="D33" s="16"/>
      <c r="E33" s="16"/>
      <c r="F33" s="16"/>
      <c r="G33" s="15"/>
      <c r="H33" s="31" t="s">
        <v>61</v>
      </c>
      <c r="I33" s="31" t="s">
        <v>51</v>
      </c>
      <c r="J33" s="26" t="s">
        <v>40</v>
      </c>
      <c r="K33" s="26">
        <v>10</v>
      </c>
      <c r="L33" s="66">
        <v>8188800</v>
      </c>
      <c r="M33" s="66">
        <v>0</v>
      </c>
      <c r="N33" s="66">
        <v>8188800</v>
      </c>
      <c r="O33" s="44">
        <v>0</v>
      </c>
      <c r="P33" s="47">
        <f t="shared" si="0"/>
        <v>0</v>
      </c>
      <c r="Q33" s="16"/>
      <c r="R33" s="34"/>
    </row>
    <row r="34" spans="2:24" s="18" customFormat="1" ht="33">
      <c r="B34" s="19"/>
      <c r="C34" s="19"/>
      <c r="D34" s="20"/>
      <c r="E34" s="20"/>
      <c r="F34" s="20"/>
      <c r="G34" s="19"/>
      <c r="H34" s="29" t="s">
        <v>61</v>
      </c>
      <c r="I34" s="29" t="s">
        <v>52</v>
      </c>
      <c r="J34" s="16" t="s">
        <v>41</v>
      </c>
      <c r="K34" s="16">
        <v>20</v>
      </c>
      <c r="L34" s="46">
        <v>18768200</v>
      </c>
      <c r="M34" s="46">
        <v>18768200</v>
      </c>
      <c r="N34" s="47"/>
      <c r="O34" s="44">
        <v>18768200</v>
      </c>
      <c r="P34" s="47">
        <f t="shared" si="0"/>
        <v>0</v>
      </c>
      <c r="Q34" s="20"/>
      <c r="R34" s="34"/>
      <c r="S34" s="36" t="s">
        <v>104</v>
      </c>
      <c r="T34" s="36" t="s">
        <v>142</v>
      </c>
    </row>
    <row r="35" spans="2:24" s="18" customFormat="1">
      <c r="B35" s="19"/>
      <c r="C35" s="19"/>
      <c r="D35" s="20"/>
      <c r="E35" s="20"/>
      <c r="F35" s="20"/>
      <c r="G35" s="19"/>
      <c r="H35" s="29" t="s">
        <v>61</v>
      </c>
      <c r="I35" s="29" t="s">
        <v>53</v>
      </c>
      <c r="J35" s="16" t="s">
        <v>42</v>
      </c>
      <c r="K35" s="16">
        <v>10</v>
      </c>
      <c r="L35" s="46">
        <v>1874500</v>
      </c>
      <c r="M35" s="46">
        <v>1874500</v>
      </c>
      <c r="N35" s="47"/>
      <c r="O35" s="44">
        <v>1874500</v>
      </c>
      <c r="P35" s="47">
        <f t="shared" si="0"/>
        <v>0</v>
      </c>
      <c r="Q35" s="20"/>
      <c r="R35" s="20"/>
      <c r="S35" s="36" t="s">
        <v>104</v>
      </c>
      <c r="T35" s="36" t="s">
        <v>142</v>
      </c>
    </row>
    <row r="36" spans="2:24" s="18" customFormat="1">
      <c r="B36" s="19"/>
      <c r="C36" s="19"/>
      <c r="D36" s="20"/>
      <c r="E36" s="20"/>
      <c r="F36" s="20"/>
      <c r="G36" s="19"/>
      <c r="H36" s="29" t="s">
        <v>61</v>
      </c>
      <c r="I36" s="29" t="s">
        <v>54</v>
      </c>
      <c r="J36" s="16" t="s">
        <v>43</v>
      </c>
      <c r="K36" s="16">
        <v>10</v>
      </c>
      <c r="L36" s="46">
        <v>2244800</v>
      </c>
      <c r="M36" s="46">
        <v>2244800</v>
      </c>
      <c r="N36" s="47"/>
      <c r="O36" s="44">
        <v>2244800</v>
      </c>
      <c r="P36" s="47">
        <f t="shared" si="0"/>
        <v>0</v>
      </c>
      <c r="Q36" s="20"/>
      <c r="R36" s="20"/>
      <c r="S36" s="36" t="s">
        <v>104</v>
      </c>
      <c r="T36" s="36" t="s">
        <v>142</v>
      </c>
    </row>
    <row r="37" spans="2:24" s="18" customFormat="1">
      <c r="B37" s="19"/>
      <c r="C37" s="19"/>
      <c r="D37" s="20"/>
      <c r="E37" s="20"/>
      <c r="F37" s="20"/>
      <c r="G37" s="19"/>
      <c r="H37" s="29" t="s">
        <v>61</v>
      </c>
      <c r="I37" s="29" t="s">
        <v>55</v>
      </c>
      <c r="J37" s="16" t="s">
        <v>44</v>
      </c>
      <c r="K37" s="16">
        <v>10</v>
      </c>
      <c r="L37" s="46">
        <v>9368300</v>
      </c>
      <c r="M37" s="46">
        <v>9368300</v>
      </c>
      <c r="N37" s="47"/>
      <c r="O37" s="44">
        <f>M37</f>
        <v>9368300</v>
      </c>
      <c r="P37" s="47">
        <f t="shared" si="0"/>
        <v>0</v>
      </c>
      <c r="Q37" s="20"/>
      <c r="R37" s="20"/>
      <c r="S37" s="36" t="s">
        <v>104</v>
      </c>
      <c r="T37" s="37" t="s">
        <v>99</v>
      </c>
    </row>
    <row r="38" spans="2:24" s="18" customFormat="1">
      <c r="B38" s="15"/>
      <c r="C38" s="15"/>
      <c r="D38" s="16"/>
      <c r="E38" s="16"/>
      <c r="F38" s="16"/>
      <c r="G38" s="15"/>
      <c r="H38" s="29" t="s">
        <v>61</v>
      </c>
      <c r="I38" s="29" t="s">
        <v>56</v>
      </c>
      <c r="J38" s="16" t="s">
        <v>45</v>
      </c>
      <c r="K38" s="16">
        <v>10</v>
      </c>
      <c r="L38" s="46">
        <v>10352200</v>
      </c>
      <c r="M38" s="46">
        <v>10352200</v>
      </c>
      <c r="N38" s="46"/>
      <c r="O38" s="44">
        <f>M38*0.5*2</f>
        <v>10352200</v>
      </c>
      <c r="P38" s="47">
        <f t="shared" si="0"/>
        <v>0</v>
      </c>
      <c r="Q38" s="16"/>
      <c r="R38" s="16"/>
      <c r="S38" s="36" t="s">
        <v>104</v>
      </c>
      <c r="T38" s="36" t="s">
        <v>143</v>
      </c>
      <c r="U38" s="37" t="s">
        <v>101</v>
      </c>
      <c r="X38" s="39"/>
    </row>
    <row r="39" spans="2:24" s="18" customFormat="1">
      <c r="B39" s="19"/>
      <c r="C39" s="19"/>
      <c r="D39" s="20"/>
      <c r="E39" s="20"/>
      <c r="F39" s="20"/>
      <c r="G39" s="19"/>
      <c r="H39" s="31" t="s">
        <v>62</v>
      </c>
      <c r="I39" s="31" t="s">
        <v>57</v>
      </c>
      <c r="J39" s="26" t="s">
        <v>46</v>
      </c>
      <c r="K39" s="26">
        <v>10</v>
      </c>
      <c r="L39" s="66">
        <v>32336800</v>
      </c>
      <c r="M39" s="46"/>
      <c r="N39" s="66">
        <v>32336800</v>
      </c>
      <c r="O39" s="44">
        <v>0</v>
      </c>
      <c r="P39" s="47">
        <f t="shared" si="0"/>
        <v>0</v>
      </c>
      <c r="Q39" s="20"/>
      <c r="R39" s="20"/>
      <c r="W39" s="38"/>
      <c r="X39" s="39"/>
    </row>
    <row r="40" spans="2:24" s="18" customFormat="1">
      <c r="B40" s="19"/>
      <c r="C40" s="19"/>
      <c r="D40" s="20"/>
      <c r="E40" s="20"/>
      <c r="F40" s="20"/>
      <c r="G40" s="19"/>
      <c r="H40" s="29" t="s">
        <v>61</v>
      </c>
      <c r="I40" s="29" t="s">
        <v>58</v>
      </c>
      <c r="J40" s="16" t="s">
        <v>47</v>
      </c>
      <c r="K40" s="16">
        <v>10</v>
      </c>
      <c r="L40" s="46">
        <v>20586000</v>
      </c>
      <c r="M40" s="46">
        <v>20586000</v>
      </c>
      <c r="N40" s="47"/>
      <c r="O40" s="44">
        <f>M40*0.5*2</f>
        <v>20586000</v>
      </c>
      <c r="P40" s="47">
        <f t="shared" si="0"/>
        <v>0</v>
      </c>
      <c r="Q40" s="20"/>
      <c r="R40" s="20"/>
      <c r="S40" s="36" t="s">
        <v>104</v>
      </c>
      <c r="T40" s="36" t="s">
        <v>143</v>
      </c>
      <c r="U40" s="37" t="s">
        <v>100</v>
      </c>
      <c r="V40" s="37" t="s">
        <v>102</v>
      </c>
    </row>
    <row r="41" spans="2:24" s="18" customFormat="1">
      <c r="B41" s="19"/>
      <c r="C41" s="19"/>
      <c r="D41" s="20"/>
      <c r="E41" s="20"/>
      <c r="F41" s="20"/>
      <c r="G41" s="19"/>
      <c r="H41" s="29" t="s">
        <v>62</v>
      </c>
      <c r="I41" s="29" t="s">
        <v>59</v>
      </c>
      <c r="J41" s="16" t="s">
        <v>48</v>
      </c>
      <c r="K41" s="16">
        <v>10</v>
      </c>
      <c r="L41" s="46">
        <v>9375000</v>
      </c>
      <c r="M41" s="46">
        <v>9375000</v>
      </c>
      <c r="N41" s="68"/>
      <c r="O41" s="44">
        <v>9375000</v>
      </c>
      <c r="P41" s="47">
        <f t="shared" si="0"/>
        <v>0</v>
      </c>
      <c r="Q41" s="20"/>
      <c r="R41" s="20"/>
      <c r="S41" s="36" t="s">
        <v>104</v>
      </c>
      <c r="T41" s="36" t="s">
        <v>143</v>
      </c>
    </row>
    <row r="42" spans="2:24" s="18" customFormat="1">
      <c r="B42" s="19"/>
      <c r="C42" s="19"/>
      <c r="D42" s="20"/>
      <c r="E42" s="20"/>
      <c r="F42" s="20"/>
      <c r="G42" s="19"/>
      <c r="H42" s="31" t="s">
        <v>61</v>
      </c>
      <c r="I42" s="31" t="s">
        <v>60</v>
      </c>
      <c r="J42" s="26" t="s">
        <v>49</v>
      </c>
      <c r="K42" s="26">
        <v>20</v>
      </c>
      <c r="L42" s="66">
        <v>45705600</v>
      </c>
      <c r="M42" s="68"/>
      <c r="N42" s="66">
        <v>45705600</v>
      </c>
      <c r="O42" s="44">
        <v>0</v>
      </c>
      <c r="P42" s="47">
        <f t="shared" si="0"/>
        <v>0</v>
      </c>
      <c r="Q42" s="20"/>
      <c r="R42" s="20"/>
    </row>
    <row r="43" spans="2:24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24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24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24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24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24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28"/>
      <c r="K49" s="28"/>
      <c r="L49" s="69">
        <f>SUM(L4:L48)</f>
        <v>1488279419</v>
      </c>
      <c r="M49" s="69">
        <f>SUM(M4:M48)</f>
        <v>1051246143.3000001</v>
      </c>
      <c r="N49" s="69">
        <f>SUM(N4:N48)</f>
        <v>437033275.69999993</v>
      </c>
      <c r="O49" s="46">
        <f>SUM(O4:O48)</f>
        <v>1051246143.3000001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>
      <c r="B2" s="6"/>
      <c r="C2" s="6"/>
    </row>
    <row r="3" spans="1:18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>
      <c r="B4" s="15">
        <v>1</v>
      </c>
      <c r="C4" s="15" t="s">
        <v>17</v>
      </c>
      <c r="D4" s="16" t="s">
        <v>63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>
      <c r="B4" s="15">
        <v>1</v>
      </c>
      <c r="C4" s="15" t="s">
        <v>17</v>
      </c>
      <c r="D4" s="16" t="s">
        <v>126</v>
      </c>
      <c r="E4" s="16"/>
      <c r="F4" s="16"/>
      <c r="G4" s="15">
        <v>241029</v>
      </c>
      <c r="H4" s="29" t="s">
        <v>124</v>
      </c>
      <c r="I4" s="29" t="s">
        <v>50</v>
      </c>
      <c r="J4" s="29" t="s">
        <v>125</v>
      </c>
      <c r="K4" s="16"/>
      <c r="L4" s="46">
        <v>1900000</v>
      </c>
      <c r="M4" s="46">
        <v>1900000</v>
      </c>
      <c r="N4" s="46">
        <f>L4-M4</f>
        <v>0</v>
      </c>
      <c r="O4" s="44">
        <v>1900000</v>
      </c>
      <c r="P4" s="47">
        <f>M4-O4</f>
        <v>0</v>
      </c>
      <c r="Q4" s="40"/>
      <c r="R4" s="61"/>
      <c r="S4" s="36" t="s">
        <v>108</v>
      </c>
      <c r="T4" s="36" t="s">
        <v>131</v>
      </c>
    </row>
    <row r="5" spans="1:20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1900000</v>
      </c>
      <c r="M49" s="69">
        <f>SUM(M4:M48)</f>
        <v>1900000</v>
      </c>
      <c r="N49" s="69">
        <f>SUM(N4:N48)</f>
        <v>0</v>
      </c>
      <c r="O49" s="46">
        <f>SUM(O4:O48)</f>
        <v>1900000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>
      <c r="B2" s="6"/>
      <c r="C2" s="6"/>
    </row>
    <row r="3" spans="1:18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>
      <c r="B4" s="15">
        <v>1</v>
      </c>
      <c r="C4" s="15" t="s">
        <v>17</v>
      </c>
      <c r="D4" s="16" t="s">
        <v>141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BA2-C5FD-4669-A510-C5FB0D9CE581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>
      <c r="B4" s="15">
        <v>1</v>
      </c>
      <c r="C4" s="15" t="s">
        <v>17</v>
      </c>
      <c r="D4" s="16" t="s">
        <v>127</v>
      </c>
      <c r="E4" s="16"/>
      <c r="F4" s="16"/>
      <c r="G4" s="15"/>
      <c r="H4" s="29"/>
      <c r="I4" s="29" t="s">
        <v>50</v>
      </c>
      <c r="J4" s="29" t="s">
        <v>128</v>
      </c>
      <c r="K4" s="16"/>
      <c r="L4" s="46">
        <v>46840000</v>
      </c>
      <c r="M4" s="46">
        <v>46840000</v>
      </c>
      <c r="N4" s="46">
        <f>L4-M4</f>
        <v>0</v>
      </c>
      <c r="O4" s="46">
        <v>46840000</v>
      </c>
      <c r="P4" s="47">
        <f>M4-O4</f>
        <v>0</v>
      </c>
      <c r="Q4" s="40"/>
      <c r="R4" s="61"/>
      <c r="S4" s="36" t="s">
        <v>108</v>
      </c>
      <c r="T4" s="36" t="s">
        <v>132</v>
      </c>
    </row>
    <row r="5" spans="1:20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46840000</v>
      </c>
      <c r="M49" s="69">
        <f>SUM(M4:M48)</f>
        <v>46840000</v>
      </c>
      <c r="N49" s="69">
        <f>SUM(N4:N48)</f>
        <v>0</v>
      </c>
      <c r="O49" s="46">
        <f>SUM(O4:O48)</f>
        <v>46840000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FE43-33B8-4F4B-A81D-E11E78E1315D}">
  <dimension ref="A2:T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35.5" bestFit="1" customWidth="1"/>
    <col min="20" max="20" width="23.5" bestFit="1" customWidth="1"/>
    <col min="21" max="21" width="11" bestFit="1" customWidth="1"/>
  </cols>
  <sheetData>
    <row r="2" spans="1:20">
      <c r="B2" s="6"/>
      <c r="C2" s="6"/>
    </row>
    <row r="3" spans="1:20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20" s="1" customFormat="1">
      <c r="B4" s="15">
        <v>1</v>
      </c>
      <c r="C4" s="15" t="s">
        <v>17</v>
      </c>
      <c r="D4" s="16" t="s">
        <v>130</v>
      </c>
      <c r="E4" s="16" t="s">
        <v>137</v>
      </c>
      <c r="F4" s="16"/>
      <c r="G4" s="15">
        <v>240927</v>
      </c>
      <c r="H4" s="29" t="s">
        <v>129</v>
      </c>
      <c r="I4" s="29" t="s">
        <v>50</v>
      </c>
      <c r="J4" s="29" t="s">
        <v>136</v>
      </c>
      <c r="K4" s="16"/>
      <c r="L4" s="46">
        <v>11400000</v>
      </c>
      <c r="M4" s="46">
        <v>11400000</v>
      </c>
      <c r="N4" s="46">
        <f>L4-M4</f>
        <v>0</v>
      </c>
      <c r="O4" s="46">
        <v>11400000</v>
      </c>
      <c r="P4" s="47">
        <f>M4-O4</f>
        <v>0</v>
      </c>
      <c r="Q4" s="40"/>
      <c r="R4" s="34"/>
      <c r="S4" s="36" t="s">
        <v>108</v>
      </c>
      <c r="T4" s="36" t="s">
        <v>133</v>
      </c>
    </row>
    <row r="5" spans="1:20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20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20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20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20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20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20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20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20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20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20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20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11400000</v>
      </c>
      <c r="M49" s="69">
        <f>SUM(M4:M48)</f>
        <v>11400000</v>
      </c>
      <c r="N49" s="69">
        <f>SUM(N4:N48)</f>
        <v>0</v>
      </c>
      <c r="O49" s="46">
        <f>SUM(O4:O48)</f>
        <v>11400000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S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19" width="47.875" bestFit="1" customWidth="1"/>
    <col min="20" max="21" width="11" bestFit="1" customWidth="1"/>
  </cols>
  <sheetData>
    <row r="2" spans="1:19">
      <c r="B2" s="6"/>
      <c r="C2" s="6"/>
    </row>
    <row r="3" spans="1:19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9" s="1" customFormat="1" ht="82.5">
      <c r="B4" s="15">
        <v>1</v>
      </c>
      <c r="C4" s="15" t="s">
        <v>17</v>
      </c>
      <c r="D4" s="16" t="s">
        <v>29</v>
      </c>
      <c r="E4" s="16" t="s">
        <v>32</v>
      </c>
      <c r="F4" s="16"/>
      <c r="G4" s="15">
        <v>240611</v>
      </c>
      <c r="H4" s="31" t="s">
        <v>33</v>
      </c>
      <c r="I4" s="29" t="s">
        <v>50</v>
      </c>
      <c r="J4" s="17" t="s">
        <v>98</v>
      </c>
      <c r="K4" s="16"/>
      <c r="L4" s="17">
        <v>270000000</v>
      </c>
      <c r="M4" s="17">
        <v>81000000</v>
      </c>
      <c r="N4" s="66">
        <f>L4-M4</f>
        <v>189000000</v>
      </c>
      <c r="O4" s="49">
        <v>81000000</v>
      </c>
      <c r="P4" s="47">
        <f>M4-O4</f>
        <v>0</v>
      </c>
      <c r="Q4" s="99" t="s">
        <v>140</v>
      </c>
      <c r="R4" s="61"/>
      <c r="S4" s="37" t="s">
        <v>115</v>
      </c>
    </row>
    <row r="5" spans="1:19" s="77" customFormat="1" ht="66">
      <c r="A5" s="71"/>
      <c r="B5" s="56">
        <v>2</v>
      </c>
      <c r="C5" s="15" t="s">
        <v>17</v>
      </c>
      <c r="D5" s="16" t="s">
        <v>29</v>
      </c>
      <c r="E5" s="72" t="s">
        <v>34</v>
      </c>
      <c r="F5" s="72"/>
      <c r="G5" s="15">
        <v>240829</v>
      </c>
      <c r="H5" s="31" t="s">
        <v>35</v>
      </c>
      <c r="I5" s="73" t="s">
        <v>50</v>
      </c>
      <c r="J5" s="16" t="s">
        <v>31</v>
      </c>
      <c r="K5" s="72"/>
      <c r="L5" s="17">
        <v>140000000</v>
      </c>
      <c r="M5" s="17">
        <v>42000000</v>
      </c>
      <c r="N5" s="66">
        <f>L5-M5</f>
        <v>98000000</v>
      </c>
      <c r="O5" s="50">
        <v>42000000</v>
      </c>
      <c r="P5" s="47">
        <f>M5-O5</f>
        <v>0</v>
      </c>
      <c r="Q5" s="100" t="s">
        <v>139</v>
      </c>
      <c r="R5" s="72"/>
      <c r="S5" s="37" t="s">
        <v>114</v>
      </c>
    </row>
    <row r="6" spans="1:19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9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9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9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9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9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9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9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9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9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9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410000000</v>
      </c>
      <c r="M49" s="69">
        <f>SUM(M4:M48)</f>
        <v>123000000</v>
      </c>
      <c r="N49" s="69">
        <f>SUM(N4:N48)</f>
        <v>287000000</v>
      </c>
      <c r="O49" s="46">
        <f>SUM(O4:O48)</f>
        <v>123000000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B1C9-CEED-408A-9BFE-306C56F0F38F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>
      <c r="B2" s="6"/>
      <c r="C2" s="6"/>
    </row>
    <row r="3" spans="1:18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>
      <c r="B4" s="15">
        <v>1</v>
      </c>
      <c r="C4" s="15" t="s">
        <v>17</v>
      </c>
      <c r="D4" s="16" t="s">
        <v>30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1ABB-AF6D-4B54-9B7A-0220DB2FE999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>
      <c r="B2" s="6"/>
      <c r="C2" s="6"/>
    </row>
    <row r="3" spans="1:18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>
      <c r="B4" s="15">
        <v>1</v>
      </c>
      <c r="C4" s="15" t="s">
        <v>17</v>
      </c>
      <c r="D4" s="16" t="s">
        <v>65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4574-F7E5-4FF0-998B-647A566ACB92}">
  <dimension ref="A2:R50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7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63" bestFit="1" customWidth="1"/>
    <col min="13" max="14" width="18.75" style="63" bestFit="1" customWidth="1"/>
    <col min="15" max="15" width="16.5" style="42" bestFit="1" customWidth="1"/>
    <col min="16" max="16" width="16.125" style="63" customWidth="1"/>
    <col min="17" max="17" width="40.125" style="10" bestFit="1" customWidth="1"/>
    <col min="18" max="18" width="33.625" style="10" bestFit="1" customWidth="1"/>
    <col min="19" max="21" width="11" bestFit="1" customWidth="1"/>
  </cols>
  <sheetData>
    <row r="2" spans="1:18">
      <c r="B2" s="6"/>
      <c r="C2" s="6"/>
    </row>
    <row r="3" spans="1:18" s="1" customFormat="1">
      <c r="B3" s="2" t="s">
        <v>0</v>
      </c>
      <c r="C3" s="2" t="s">
        <v>3</v>
      </c>
      <c r="D3" s="3" t="s">
        <v>1</v>
      </c>
      <c r="E3" s="3" t="s">
        <v>117</v>
      </c>
      <c r="F3" s="3" t="s">
        <v>15</v>
      </c>
      <c r="G3" s="3" t="s">
        <v>118</v>
      </c>
      <c r="H3" s="4" t="s">
        <v>119</v>
      </c>
      <c r="I3" s="4" t="s">
        <v>14</v>
      </c>
      <c r="J3" s="5" t="s">
        <v>8</v>
      </c>
      <c r="K3" s="5" t="s">
        <v>16</v>
      </c>
      <c r="L3" s="43" t="s">
        <v>6</v>
      </c>
      <c r="M3" s="43" t="s">
        <v>10</v>
      </c>
      <c r="N3" s="43" t="s">
        <v>12</v>
      </c>
      <c r="O3" s="43" t="s">
        <v>116</v>
      </c>
      <c r="P3" s="43" t="s">
        <v>120</v>
      </c>
      <c r="Q3" s="8" t="s">
        <v>2</v>
      </c>
      <c r="R3" s="8" t="s">
        <v>121</v>
      </c>
    </row>
    <row r="4" spans="1:18" s="1" customFormat="1">
      <c r="B4" s="15">
        <v>1</v>
      </c>
      <c r="C4" s="15" t="s">
        <v>17</v>
      </c>
      <c r="D4" s="16" t="s">
        <v>66</v>
      </c>
      <c r="E4" s="16"/>
      <c r="F4" s="16"/>
      <c r="G4" s="15"/>
      <c r="H4" s="29"/>
      <c r="I4" s="29"/>
      <c r="J4" s="29"/>
      <c r="K4" s="16"/>
      <c r="L4" s="46"/>
      <c r="M4" s="46"/>
      <c r="N4" s="46"/>
      <c r="O4" s="44"/>
      <c r="P4" s="47"/>
      <c r="Q4" s="40"/>
      <c r="R4" s="61"/>
    </row>
    <row r="5" spans="1:18" s="77" customFormat="1">
      <c r="A5" s="71"/>
      <c r="B5" s="56"/>
      <c r="C5" s="56"/>
      <c r="D5" s="72"/>
      <c r="E5" s="72"/>
      <c r="F5" s="72"/>
      <c r="G5" s="56"/>
      <c r="H5" s="73"/>
      <c r="I5" s="73"/>
      <c r="J5" s="72"/>
      <c r="K5" s="72"/>
      <c r="L5" s="74"/>
      <c r="M5" s="74"/>
      <c r="N5" s="75"/>
      <c r="O5" s="76"/>
      <c r="P5" s="86"/>
      <c r="Q5" s="72"/>
      <c r="R5" s="72"/>
    </row>
    <row r="6" spans="1:18" s="77" customFormat="1">
      <c r="B6" s="56"/>
      <c r="C6" s="56"/>
      <c r="D6" s="72"/>
      <c r="E6" s="72"/>
      <c r="F6" s="72"/>
      <c r="G6" s="56"/>
      <c r="H6" s="73"/>
      <c r="I6" s="73"/>
      <c r="J6" s="72"/>
      <c r="K6" s="72"/>
      <c r="L6" s="74"/>
      <c r="M6" s="74"/>
      <c r="N6" s="75"/>
      <c r="O6" s="76"/>
      <c r="P6" s="86"/>
      <c r="Q6" s="72"/>
      <c r="R6" s="72"/>
    </row>
    <row r="7" spans="1:18" s="77" customFormat="1">
      <c r="B7" s="56"/>
      <c r="C7" s="56"/>
      <c r="D7" s="72"/>
      <c r="E7" s="72"/>
      <c r="F7" s="72"/>
      <c r="G7" s="56"/>
      <c r="H7" s="73"/>
      <c r="I7" s="73"/>
      <c r="J7" s="72"/>
      <c r="K7" s="72"/>
      <c r="L7" s="74"/>
      <c r="M7" s="74"/>
      <c r="N7" s="75"/>
      <c r="O7" s="76"/>
      <c r="P7" s="86"/>
      <c r="Q7" s="72"/>
      <c r="R7" s="72"/>
    </row>
    <row r="8" spans="1:18" s="77" customFormat="1">
      <c r="B8" s="56"/>
      <c r="C8" s="56"/>
      <c r="D8" s="72"/>
      <c r="E8" s="72"/>
      <c r="F8" s="72"/>
      <c r="G8" s="56"/>
      <c r="H8" s="73"/>
      <c r="I8" s="73"/>
      <c r="J8" s="72"/>
      <c r="K8" s="72"/>
      <c r="L8" s="74"/>
      <c r="M8" s="74"/>
      <c r="N8" s="75"/>
      <c r="O8" s="76"/>
      <c r="P8" s="86"/>
      <c r="Q8" s="72"/>
      <c r="R8" s="72"/>
    </row>
    <row r="9" spans="1:18" s="77" customFormat="1">
      <c r="B9" s="78"/>
      <c r="C9" s="78"/>
      <c r="D9" s="79"/>
      <c r="E9" s="79"/>
      <c r="F9" s="79"/>
      <c r="G9" s="78"/>
      <c r="H9" s="80"/>
      <c r="I9" s="80"/>
      <c r="J9" s="79"/>
      <c r="K9" s="79"/>
      <c r="L9" s="81"/>
      <c r="M9" s="74"/>
      <c r="N9" s="82"/>
      <c r="O9" s="76"/>
      <c r="P9" s="86"/>
      <c r="Q9" s="83"/>
      <c r="R9" s="84"/>
    </row>
    <row r="10" spans="1:18" s="18" customFormat="1">
      <c r="A10" s="1"/>
      <c r="B10" s="15"/>
      <c r="C10" s="15"/>
      <c r="D10" s="16"/>
      <c r="E10" s="16"/>
      <c r="F10" s="16"/>
      <c r="G10" s="15"/>
      <c r="H10" s="29"/>
      <c r="I10" s="29"/>
      <c r="J10" s="16"/>
      <c r="K10" s="16"/>
      <c r="L10" s="46"/>
      <c r="M10" s="46"/>
      <c r="N10" s="46"/>
      <c r="O10" s="44"/>
      <c r="P10" s="47"/>
      <c r="Q10" s="16"/>
      <c r="R10" s="34"/>
    </row>
    <row r="11" spans="1:18" s="18" customFormat="1">
      <c r="B11" s="15"/>
      <c r="C11" s="15"/>
      <c r="D11" s="16"/>
      <c r="E11" s="16"/>
      <c r="F11" s="16"/>
      <c r="G11" s="15"/>
      <c r="H11" s="29"/>
      <c r="I11" s="29"/>
      <c r="J11" s="16"/>
      <c r="K11" s="16"/>
      <c r="L11" s="46"/>
      <c r="M11" s="46"/>
      <c r="N11" s="46"/>
      <c r="O11" s="44"/>
      <c r="P11" s="47"/>
      <c r="Q11" s="16"/>
      <c r="R11" s="34"/>
    </row>
    <row r="12" spans="1:18" s="18" customFormat="1">
      <c r="B12" s="15"/>
      <c r="C12" s="15"/>
      <c r="D12" s="16"/>
      <c r="E12" s="16"/>
      <c r="F12" s="16"/>
      <c r="G12" s="15"/>
      <c r="H12" s="29"/>
      <c r="I12" s="29"/>
      <c r="J12" s="16"/>
      <c r="K12" s="16"/>
      <c r="L12" s="46"/>
      <c r="M12" s="46"/>
      <c r="N12" s="46"/>
      <c r="O12" s="44"/>
      <c r="P12" s="47"/>
      <c r="Q12" s="16"/>
      <c r="R12" s="48"/>
    </row>
    <row r="13" spans="1:18" s="18" customFormat="1">
      <c r="B13" s="15"/>
      <c r="C13" s="15"/>
      <c r="D13" s="16"/>
      <c r="E13" s="16"/>
      <c r="F13" s="16"/>
      <c r="G13" s="15"/>
      <c r="H13" s="29"/>
      <c r="I13" s="29"/>
      <c r="J13" s="16"/>
      <c r="K13" s="16"/>
      <c r="L13" s="46"/>
      <c r="M13" s="46"/>
      <c r="N13" s="46"/>
      <c r="O13" s="44"/>
      <c r="P13" s="47"/>
      <c r="Q13" s="16"/>
      <c r="R13" s="16"/>
    </row>
    <row r="14" spans="1:18" s="18" customFormat="1">
      <c r="B14" s="15"/>
      <c r="C14" s="15"/>
      <c r="D14" s="16"/>
      <c r="E14" s="16"/>
      <c r="F14" s="16"/>
      <c r="G14" s="15"/>
      <c r="H14" s="29"/>
      <c r="I14" s="29"/>
      <c r="J14" s="16"/>
      <c r="K14" s="16"/>
      <c r="L14" s="46"/>
      <c r="M14" s="46"/>
      <c r="N14" s="46"/>
      <c r="O14" s="44"/>
      <c r="P14" s="47"/>
      <c r="Q14" s="16"/>
      <c r="R14" s="16"/>
    </row>
    <row r="15" spans="1:18" s="18" customFormat="1">
      <c r="B15" s="15"/>
      <c r="C15" s="15"/>
      <c r="D15" s="16"/>
      <c r="E15" s="16"/>
      <c r="F15" s="16"/>
      <c r="G15" s="15"/>
      <c r="H15" s="29"/>
      <c r="I15" s="29"/>
      <c r="J15" s="16"/>
      <c r="K15" s="16"/>
      <c r="L15" s="46"/>
      <c r="M15" s="46"/>
      <c r="N15" s="46"/>
      <c r="O15" s="44"/>
      <c r="P15" s="47"/>
      <c r="Q15" s="16"/>
      <c r="R15" s="16"/>
    </row>
    <row r="16" spans="1:18" s="18" customFormat="1">
      <c r="B16" s="15"/>
      <c r="C16" s="15"/>
      <c r="D16" s="16"/>
      <c r="E16" s="16"/>
      <c r="F16" s="16"/>
      <c r="G16" s="15"/>
      <c r="H16" s="29"/>
      <c r="I16" s="29"/>
      <c r="J16" s="16"/>
      <c r="K16" s="16"/>
      <c r="L16" s="46"/>
      <c r="M16" s="46"/>
      <c r="N16" s="46"/>
      <c r="O16" s="44"/>
      <c r="P16" s="47"/>
      <c r="Q16" s="16"/>
      <c r="R16" s="16"/>
    </row>
    <row r="17" spans="2:18" s="18" customFormat="1">
      <c r="B17" s="15"/>
      <c r="C17" s="15"/>
      <c r="D17" s="16"/>
      <c r="E17" s="16"/>
      <c r="F17" s="16"/>
      <c r="G17" s="15"/>
      <c r="H17" s="29"/>
      <c r="I17" s="29"/>
      <c r="J17" s="16"/>
      <c r="K17" s="16"/>
      <c r="L17" s="46"/>
      <c r="M17" s="46"/>
      <c r="N17" s="46"/>
      <c r="O17" s="44"/>
      <c r="P17" s="47"/>
      <c r="Q17" s="16"/>
      <c r="R17" s="16"/>
    </row>
    <row r="18" spans="2:18" s="18" customFormat="1">
      <c r="B18" s="15"/>
      <c r="C18" s="15"/>
      <c r="D18" s="16"/>
      <c r="E18" s="16"/>
      <c r="F18" s="16"/>
      <c r="G18" s="15"/>
      <c r="H18" s="29"/>
      <c r="I18" s="29"/>
      <c r="J18" s="16"/>
      <c r="K18" s="16"/>
      <c r="L18" s="46"/>
      <c r="M18" s="46"/>
      <c r="N18" s="46"/>
      <c r="O18" s="44"/>
      <c r="P18" s="47"/>
      <c r="Q18" s="16"/>
      <c r="R18" s="16"/>
    </row>
    <row r="19" spans="2:18" s="18" customFormat="1">
      <c r="B19" s="15"/>
      <c r="C19" s="15"/>
      <c r="D19" s="16"/>
      <c r="E19" s="16"/>
      <c r="F19" s="16"/>
      <c r="G19" s="15"/>
      <c r="H19" s="29"/>
      <c r="I19" s="29"/>
      <c r="J19" s="16"/>
      <c r="K19" s="16"/>
      <c r="L19" s="46"/>
      <c r="M19" s="46"/>
      <c r="N19" s="46"/>
      <c r="O19" s="44"/>
      <c r="P19" s="47"/>
      <c r="Q19" s="16"/>
      <c r="R19" s="16"/>
    </row>
    <row r="20" spans="2:18" s="18" customFormat="1">
      <c r="B20" s="15"/>
      <c r="C20" s="15"/>
      <c r="D20" s="16"/>
      <c r="E20" s="16"/>
      <c r="F20" s="16"/>
      <c r="G20" s="15"/>
      <c r="H20" s="31"/>
      <c r="I20" s="29"/>
      <c r="J20" s="16"/>
      <c r="K20" s="16"/>
      <c r="L20" s="46"/>
      <c r="M20" s="46"/>
      <c r="N20" s="66"/>
      <c r="O20" s="44"/>
      <c r="P20" s="47"/>
      <c r="Q20" s="16"/>
      <c r="R20" s="34"/>
    </row>
    <row r="21" spans="2:18" s="18" customFormat="1">
      <c r="B21" s="15"/>
      <c r="C21" s="15"/>
      <c r="D21" s="16"/>
      <c r="E21" s="16"/>
      <c r="F21" s="16"/>
      <c r="G21" s="15"/>
      <c r="H21" s="31"/>
      <c r="I21" s="29"/>
      <c r="J21" s="16"/>
      <c r="K21" s="16"/>
      <c r="L21" s="46"/>
      <c r="M21" s="46"/>
      <c r="N21" s="66"/>
      <c r="O21" s="44"/>
      <c r="P21" s="47"/>
      <c r="Q21" s="26"/>
      <c r="R21" s="34"/>
    </row>
    <row r="22" spans="2:18" s="18" customFormat="1">
      <c r="B22" s="15"/>
      <c r="C22" s="15"/>
      <c r="D22" s="16"/>
      <c r="E22" s="16"/>
      <c r="F22" s="16"/>
      <c r="G22" s="15"/>
      <c r="H22" s="31"/>
      <c r="I22" s="29"/>
      <c r="J22" s="16"/>
      <c r="K22" s="16"/>
      <c r="L22" s="46"/>
      <c r="M22" s="46"/>
      <c r="N22" s="66"/>
      <c r="O22" s="44"/>
      <c r="P22" s="47"/>
      <c r="Q22" s="16"/>
      <c r="R22" s="16"/>
    </row>
    <row r="23" spans="2:18" s="18" customFormat="1">
      <c r="B23" s="15"/>
      <c r="C23" s="15"/>
      <c r="D23" s="16"/>
      <c r="E23" s="16"/>
      <c r="F23" s="16"/>
      <c r="G23" s="15"/>
      <c r="H23" s="31"/>
      <c r="I23" s="29"/>
      <c r="J23" s="16"/>
      <c r="K23" s="16"/>
      <c r="L23" s="46"/>
      <c r="M23" s="46"/>
      <c r="N23" s="66"/>
      <c r="O23" s="44"/>
      <c r="P23" s="47"/>
      <c r="Q23" s="16"/>
      <c r="R23" s="16"/>
    </row>
    <row r="24" spans="2:18" s="18" customFormat="1">
      <c r="B24" s="15"/>
      <c r="C24" s="15"/>
      <c r="D24" s="16"/>
      <c r="E24" s="16"/>
      <c r="F24" s="16"/>
      <c r="G24" s="15"/>
      <c r="H24" s="31"/>
      <c r="I24" s="29"/>
      <c r="J24" s="16"/>
      <c r="K24" s="16"/>
      <c r="L24" s="46"/>
      <c r="M24" s="46"/>
      <c r="N24" s="66"/>
      <c r="O24" s="44"/>
      <c r="P24" s="47"/>
      <c r="Q24" s="16"/>
      <c r="R24" s="16"/>
    </row>
    <row r="25" spans="2:18" s="18" customFormat="1">
      <c r="B25" s="15"/>
      <c r="C25" s="15"/>
      <c r="D25" s="16"/>
      <c r="E25" s="16"/>
      <c r="F25" s="16"/>
      <c r="G25" s="15"/>
      <c r="H25" s="31"/>
      <c r="I25" s="29"/>
      <c r="J25" s="16"/>
      <c r="K25" s="16"/>
      <c r="L25" s="46"/>
      <c r="M25" s="46"/>
      <c r="N25" s="66"/>
      <c r="O25" s="44"/>
      <c r="P25" s="47"/>
      <c r="Q25" s="16"/>
      <c r="R25" s="16"/>
    </row>
    <row r="26" spans="2:18" s="18" customFormat="1">
      <c r="B26" s="15"/>
      <c r="C26" s="15"/>
      <c r="D26" s="16"/>
      <c r="E26" s="16"/>
      <c r="F26" s="16"/>
      <c r="G26" s="15"/>
      <c r="H26" s="31"/>
      <c r="I26" s="29"/>
      <c r="J26" s="16"/>
      <c r="K26" s="16"/>
      <c r="L26" s="46"/>
      <c r="M26" s="46"/>
      <c r="N26" s="66"/>
      <c r="O26" s="44"/>
      <c r="P26" s="47"/>
      <c r="Q26" s="16"/>
      <c r="R26" s="16"/>
    </row>
    <row r="27" spans="2:18" s="18" customFormat="1">
      <c r="B27" s="15"/>
      <c r="C27" s="15"/>
      <c r="D27" s="16"/>
      <c r="E27" s="16"/>
      <c r="F27" s="16"/>
      <c r="G27" s="15"/>
      <c r="H27" s="31"/>
      <c r="I27" s="29"/>
      <c r="J27" s="16"/>
      <c r="K27" s="16"/>
      <c r="L27" s="46"/>
      <c r="M27" s="46"/>
      <c r="N27" s="66"/>
      <c r="O27" s="44"/>
      <c r="P27" s="47"/>
      <c r="Q27" s="16"/>
      <c r="R27" s="16"/>
    </row>
    <row r="28" spans="2:18" s="18" customFormat="1">
      <c r="B28" s="15"/>
      <c r="C28" s="15"/>
      <c r="D28" s="16"/>
      <c r="E28" s="16"/>
      <c r="F28" s="16"/>
      <c r="G28" s="15"/>
      <c r="H28" s="31"/>
      <c r="I28" s="29"/>
      <c r="J28" s="16"/>
      <c r="K28" s="16"/>
      <c r="L28" s="46"/>
      <c r="M28" s="46"/>
      <c r="N28" s="66"/>
      <c r="O28" s="44"/>
      <c r="P28" s="47"/>
      <c r="Q28" s="16"/>
      <c r="R28" s="16"/>
    </row>
    <row r="29" spans="2:18" s="18" customFormat="1">
      <c r="B29" s="15"/>
      <c r="C29" s="15"/>
      <c r="D29" s="16"/>
      <c r="E29" s="16"/>
      <c r="F29" s="16"/>
      <c r="G29" s="15"/>
      <c r="H29" s="31"/>
      <c r="I29" s="29"/>
      <c r="J29" s="16"/>
      <c r="K29" s="16"/>
      <c r="L29" s="46"/>
      <c r="M29" s="46"/>
      <c r="N29" s="66"/>
      <c r="O29" s="44"/>
      <c r="P29" s="47"/>
      <c r="Q29" s="16"/>
      <c r="R29" s="16"/>
    </row>
    <row r="30" spans="2:18" s="18" customFormat="1">
      <c r="B30" s="15"/>
      <c r="C30" s="15"/>
      <c r="D30" s="16"/>
      <c r="E30" s="16"/>
      <c r="F30" s="16"/>
      <c r="G30" s="15"/>
      <c r="H30" s="31"/>
      <c r="I30" s="29"/>
      <c r="J30" s="16"/>
      <c r="K30" s="16"/>
      <c r="L30" s="46"/>
      <c r="M30" s="46"/>
      <c r="N30" s="66"/>
      <c r="O30" s="44"/>
      <c r="P30" s="47"/>
      <c r="Q30" s="16"/>
      <c r="R30" s="16"/>
    </row>
    <row r="31" spans="2:18" s="18" customFormat="1">
      <c r="B31" s="15"/>
      <c r="C31" s="15"/>
      <c r="D31" s="16"/>
      <c r="E31" s="16"/>
      <c r="F31" s="16"/>
      <c r="G31" s="15"/>
      <c r="H31" s="31"/>
      <c r="I31" s="29"/>
      <c r="J31" s="16"/>
      <c r="K31" s="16"/>
      <c r="L31" s="46"/>
      <c r="M31" s="46"/>
      <c r="N31" s="66"/>
      <c r="O31" s="44"/>
      <c r="P31" s="47"/>
      <c r="Q31" s="16"/>
      <c r="R31" s="16"/>
    </row>
    <row r="32" spans="2:18" s="18" customFormat="1">
      <c r="B32" s="15"/>
      <c r="C32" s="15"/>
      <c r="D32" s="16"/>
      <c r="E32" s="16"/>
      <c r="F32" s="16"/>
      <c r="G32" s="15"/>
      <c r="H32" s="29"/>
      <c r="I32" s="29"/>
      <c r="J32" s="16"/>
      <c r="K32" s="16"/>
      <c r="L32" s="46"/>
      <c r="M32" s="46"/>
      <c r="N32" s="46"/>
      <c r="O32" s="44"/>
      <c r="P32" s="47"/>
      <c r="Q32" s="16"/>
      <c r="R32" s="34"/>
    </row>
    <row r="33" spans="2:18" s="18" customFormat="1">
      <c r="B33" s="15"/>
      <c r="C33" s="15"/>
      <c r="D33" s="16"/>
      <c r="E33" s="16"/>
      <c r="F33" s="16"/>
      <c r="G33" s="15"/>
      <c r="H33" s="29"/>
      <c r="I33" s="29"/>
      <c r="J33" s="16"/>
      <c r="K33" s="16"/>
      <c r="L33" s="46"/>
      <c r="M33" s="46"/>
      <c r="N33" s="46"/>
      <c r="O33" s="44"/>
      <c r="P33" s="47"/>
      <c r="Q33" s="16"/>
      <c r="R33" s="34"/>
    </row>
    <row r="34" spans="2:18" s="18" customFormat="1">
      <c r="B34" s="19"/>
      <c r="C34" s="19"/>
      <c r="D34" s="20"/>
      <c r="E34" s="20"/>
      <c r="F34" s="20"/>
      <c r="G34" s="19"/>
      <c r="H34" s="29"/>
      <c r="I34" s="29"/>
      <c r="J34" s="16"/>
      <c r="K34" s="16"/>
      <c r="L34" s="46"/>
      <c r="M34" s="46"/>
      <c r="N34" s="47"/>
      <c r="O34" s="44"/>
      <c r="P34" s="47"/>
      <c r="Q34" s="20"/>
      <c r="R34" s="20"/>
    </row>
    <row r="35" spans="2:18" s="18" customFormat="1">
      <c r="B35" s="19"/>
      <c r="C35" s="19"/>
      <c r="D35" s="20"/>
      <c r="E35" s="20"/>
      <c r="F35" s="20"/>
      <c r="G35" s="19"/>
      <c r="H35" s="29"/>
      <c r="I35" s="29"/>
      <c r="J35" s="16"/>
      <c r="K35" s="16"/>
      <c r="L35" s="46"/>
      <c r="M35" s="46"/>
      <c r="N35" s="47"/>
      <c r="O35" s="44"/>
      <c r="P35" s="47"/>
      <c r="Q35" s="20"/>
      <c r="R35" s="20"/>
    </row>
    <row r="36" spans="2:18" s="18" customFormat="1">
      <c r="B36" s="19"/>
      <c r="C36" s="19"/>
      <c r="D36" s="20"/>
      <c r="E36" s="20"/>
      <c r="F36" s="20"/>
      <c r="G36" s="19"/>
      <c r="H36" s="29"/>
      <c r="I36" s="29"/>
      <c r="J36" s="16"/>
      <c r="K36" s="16"/>
      <c r="L36" s="46"/>
      <c r="M36" s="46"/>
      <c r="N36" s="47"/>
      <c r="O36" s="44"/>
      <c r="P36" s="47"/>
      <c r="Q36" s="20"/>
      <c r="R36" s="20"/>
    </row>
    <row r="37" spans="2:18" s="18" customFormat="1">
      <c r="B37" s="19"/>
      <c r="C37" s="19"/>
      <c r="D37" s="20"/>
      <c r="E37" s="20"/>
      <c r="F37" s="20"/>
      <c r="G37" s="19"/>
      <c r="H37" s="29"/>
      <c r="I37" s="29"/>
      <c r="J37" s="16"/>
      <c r="K37" s="16"/>
      <c r="L37" s="46"/>
      <c r="M37" s="46"/>
      <c r="N37" s="47"/>
      <c r="O37" s="44"/>
      <c r="P37" s="47"/>
      <c r="Q37" s="20"/>
      <c r="R37" s="20"/>
    </row>
    <row r="38" spans="2:18" s="18" customFormat="1">
      <c r="B38" s="15"/>
      <c r="C38" s="15"/>
      <c r="D38" s="16"/>
      <c r="E38" s="16"/>
      <c r="F38" s="16"/>
      <c r="G38" s="15"/>
      <c r="H38" s="29"/>
      <c r="I38" s="29"/>
      <c r="J38" s="16"/>
      <c r="K38" s="16"/>
      <c r="L38" s="46"/>
      <c r="M38" s="46"/>
      <c r="N38" s="46"/>
      <c r="O38" s="44"/>
      <c r="P38" s="47"/>
      <c r="Q38" s="16"/>
      <c r="R38" s="16"/>
    </row>
    <row r="39" spans="2:18" s="18" customFormat="1">
      <c r="B39" s="19"/>
      <c r="C39" s="19"/>
      <c r="D39" s="20"/>
      <c r="E39" s="20"/>
      <c r="F39" s="20"/>
      <c r="G39" s="19"/>
      <c r="H39" s="31"/>
      <c r="I39" s="31"/>
      <c r="J39" s="26"/>
      <c r="K39" s="26"/>
      <c r="L39" s="66"/>
      <c r="M39" s="46"/>
      <c r="N39" s="66"/>
      <c r="O39" s="44"/>
      <c r="P39" s="47"/>
      <c r="Q39" s="20"/>
      <c r="R39" s="20"/>
    </row>
    <row r="40" spans="2:18" s="18" customFormat="1">
      <c r="B40" s="19"/>
      <c r="C40" s="19"/>
      <c r="D40" s="20"/>
      <c r="E40" s="20"/>
      <c r="F40" s="20"/>
      <c r="G40" s="19"/>
      <c r="H40" s="29"/>
      <c r="I40" s="29"/>
      <c r="J40" s="16"/>
      <c r="K40" s="16"/>
      <c r="L40" s="46"/>
      <c r="M40" s="46"/>
      <c r="N40" s="47"/>
      <c r="O40" s="44"/>
      <c r="P40" s="47"/>
      <c r="Q40" s="20"/>
      <c r="R40" s="20"/>
    </row>
    <row r="41" spans="2:18" s="18" customFormat="1">
      <c r="B41" s="19"/>
      <c r="C41" s="19"/>
      <c r="D41" s="20"/>
      <c r="E41" s="20"/>
      <c r="F41" s="20"/>
      <c r="G41" s="19"/>
      <c r="H41" s="29"/>
      <c r="I41" s="29"/>
      <c r="J41" s="16"/>
      <c r="K41" s="16"/>
      <c r="L41" s="46"/>
      <c r="M41" s="46"/>
      <c r="N41" s="68"/>
      <c r="O41" s="44"/>
      <c r="P41" s="47"/>
      <c r="Q41" s="20"/>
      <c r="R41" s="20"/>
    </row>
    <row r="42" spans="2:18" s="18" customFormat="1">
      <c r="B42" s="19"/>
      <c r="C42" s="19"/>
      <c r="D42" s="20"/>
      <c r="E42" s="20"/>
      <c r="F42" s="20"/>
      <c r="G42" s="19"/>
      <c r="H42" s="31"/>
      <c r="I42" s="31"/>
      <c r="J42" s="26"/>
      <c r="K42" s="26"/>
      <c r="L42" s="66"/>
      <c r="M42" s="68"/>
      <c r="N42" s="66"/>
      <c r="O42" s="44"/>
      <c r="P42" s="47"/>
      <c r="Q42" s="20"/>
      <c r="R42" s="20"/>
    </row>
    <row r="43" spans="2:18" s="18" customFormat="1">
      <c r="B43" s="19"/>
      <c r="C43" s="19"/>
      <c r="D43" s="20"/>
      <c r="E43" s="20"/>
      <c r="F43" s="20"/>
      <c r="G43" s="19"/>
      <c r="H43" s="30"/>
      <c r="I43" s="30"/>
      <c r="J43" s="20"/>
      <c r="K43" s="20"/>
      <c r="L43" s="47"/>
      <c r="M43" s="47"/>
      <c r="N43" s="47"/>
      <c r="O43" s="45"/>
      <c r="P43" s="47"/>
      <c r="Q43" s="20"/>
      <c r="R43" s="20"/>
    </row>
    <row r="44" spans="2:18" s="18" customFormat="1">
      <c r="B44" s="19"/>
      <c r="C44" s="19"/>
      <c r="D44" s="20"/>
      <c r="E44" s="20"/>
      <c r="F44" s="20"/>
      <c r="G44" s="19"/>
      <c r="H44" s="30"/>
      <c r="I44" s="30"/>
      <c r="J44" s="20"/>
      <c r="K44" s="20"/>
      <c r="L44" s="47"/>
      <c r="M44" s="47"/>
      <c r="N44" s="47"/>
      <c r="O44" s="45"/>
      <c r="P44" s="47"/>
      <c r="Q44" s="20"/>
      <c r="R44" s="20"/>
    </row>
    <row r="45" spans="2:18" s="18" customFormat="1">
      <c r="B45" s="19"/>
      <c r="C45" s="19"/>
      <c r="D45" s="20"/>
      <c r="E45" s="20"/>
      <c r="F45" s="20"/>
      <c r="G45" s="19"/>
      <c r="H45" s="30"/>
      <c r="I45" s="30"/>
      <c r="J45" s="20"/>
      <c r="K45" s="20"/>
      <c r="L45" s="47"/>
      <c r="M45" s="47"/>
      <c r="N45" s="47"/>
      <c r="O45" s="45"/>
      <c r="P45" s="47"/>
      <c r="Q45" s="20"/>
      <c r="R45" s="20"/>
    </row>
    <row r="46" spans="2:18" s="18" customFormat="1">
      <c r="B46" s="19"/>
      <c r="C46" s="19"/>
      <c r="D46" s="20"/>
      <c r="E46" s="20"/>
      <c r="F46" s="20"/>
      <c r="G46" s="19"/>
      <c r="H46" s="30"/>
      <c r="I46" s="30"/>
      <c r="J46" s="20"/>
      <c r="K46" s="20"/>
      <c r="L46" s="47"/>
      <c r="M46" s="47"/>
      <c r="N46" s="47"/>
      <c r="O46" s="45"/>
      <c r="P46" s="47"/>
      <c r="Q46" s="20"/>
      <c r="R46" s="20"/>
    </row>
    <row r="47" spans="2:18" s="18" customFormat="1">
      <c r="B47" s="19"/>
      <c r="C47" s="19"/>
      <c r="D47" s="20"/>
      <c r="E47" s="20"/>
      <c r="F47" s="20"/>
      <c r="G47" s="19"/>
      <c r="H47" s="30"/>
      <c r="I47" s="30"/>
      <c r="J47" s="20"/>
      <c r="K47" s="20"/>
      <c r="L47" s="47"/>
      <c r="M47" s="47"/>
      <c r="N47" s="47"/>
      <c r="O47" s="45"/>
      <c r="P47" s="47"/>
      <c r="Q47" s="20"/>
      <c r="R47" s="20"/>
    </row>
    <row r="48" spans="2:18" s="18" customFormat="1">
      <c r="B48" s="19"/>
      <c r="C48" s="19"/>
      <c r="D48" s="20"/>
      <c r="E48" s="20"/>
      <c r="F48" s="20"/>
      <c r="G48" s="19"/>
      <c r="H48" s="30"/>
      <c r="I48" s="30"/>
      <c r="J48" s="20"/>
      <c r="K48" s="20"/>
      <c r="L48" s="47"/>
      <c r="M48" s="47"/>
      <c r="N48" s="47"/>
      <c r="O48" s="45"/>
      <c r="P48" s="47"/>
      <c r="Q48" s="20"/>
      <c r="R48" s="20"/>
    </row>
    <row r="49" spans="2:18">
      <c r="B49" s="2"/>
      <c r="C49" s="106" t="s">
        <v>4</v>
      </c>
      <c r="D49" s="107"/>
      <c r="E49" s="107"/>
      <c r="F49" s="107"/>
      <c r="G49" s="107"/>
      <c r="H49" s="107"/>
      <c r="I49" s="107"/>
      <c r="J49" s="62"/>
      <c r="K49" s="62"/>
      <c r="L49" s="69">
        <f>SUM(L4:L48)</f>
        <v>0</v>
      </c>
      <c r="M49" s="69">
        <f>SUM(M4:M48)</f>
        <v>0</v>
      </c>
      <c r="N49" s="69">
        <f>SUM(N4:N48)</f>
        <v>0</v>
      </c>
      <c r="O49" s="46">
        <f>SUM(O4:O48)</f>
        <v>0</v>
      </c>
      <c r="P49" s="47">
        <f>SUM(P4:P48)</f>
        <v>0</v>
      </c>
      <c r="Q49" s="8"/>
      <c r="R49" s="8"/>
    </row>
    <row r="50" spans="2:18">
      <c r="L50" s="70"/>
      <c r="M50" s="70"/>
      <c r="N50" s="70"/>
      <c r="P50" s="70"/>
    </row>
  </sheetData>
  <mergeCells count="1">
    <mergeCell ref="C49:I49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6.무한테크(우진산전)</vt:lpstr>
      <vt:lpstr>7.다원시스</vt:lpstr>
      <vt:lpstr>8.티랩</vt:lpstr>
      <vt:lpstr>9.마루소프트</vt:lpstr>
      <vt:lpstr>10.신진금고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성필 최</cp:lastModifiedBy>
  <dcterms:created xsi:type="dcterms:W3CDTF">2010-03-24T06:08:57Z</dcterms:created>
  <dcterms:modified xsi:type="dcterms:W3CDTF">2025-01-21T01:57:00Z</dcterms:modified>
</cp:coreProperties>
</file>
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_BEUPSYS\0-1_기획조정실 진행사항\2_수금현황\2026년\"/>
    </mc:Choice>
  </mc:AlternateContent>
  <xr:revisionPtr revIDLastSave="0" documentId="13_ncr:1_{636E4575-B529-46A7-A54C-C188CD70D42F}" xr6:coauthVersionLast="47" xr6:coauthVersionMax="47" xr10:uidLastSave="{00000000-0000-0000-0000-000000000000}"/>
  <bookViews>
    <workbookView xWindow="0" yWindow="0" windowWidth="25820" windowHeight="15280" xr2:uid="{00000000-000D-0000-FFFF-FFFF00000000}"/>
  </bookViews>
  <sheets>
    <sheet name="Total" sheetId="4" r:id="rId1"/>
    <sheet name="1.지아이씨" sheetId="5" r:id="rId2"/>
    <sheet name="2.현대로템" sheetId="32" r:id="rId3"/>
    <sheet name="3.HST_Turkey" sheetId="36" r:id="rId4"/>
    <sheet name="4.인터모빌리티" sheetId="33" r:id="rId5"/>
    <sheet name="5.GMTECH" sheetId="35" r:id="rId6"/>
    <sheet name="6.다원시스" sheetId="28" r:id="rId7"/>
    <sheet name="7.서울교통공사" sheetId="25" r:id="rId8"/>
    <sheet name="7.기타" sheetId="2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24" l="1"/>
  <c r="N11" i="24"/>
  <c r="E17" i="4"/>
  <c r="F17" i="4" s="1"/>
  <c r="N4" i="28"/>
  <c r="Q4" i="28"/>
  <c r="N4" i="35"/>
  <c r="Q4" i="33"/>
  <c r="N4" i="33"/>
  <c r="J5" i="4"/>
  <c r="H5" i="4"/>
  <c r="G5" i="4"/>
  <c r="F5" i="4"/>
  <c r="I5" i="4" s="1"/>
  <c r="E5" i="4"/>
  <c r="P34" i="36"/>
  <c r="O34" i="36"/>
  <c r="M34" i="36"/>
  <c r="L34" i="36"/>
  <c r="Q34" i="36"/>
  <c r="N34" i="36"/>
  <c r="Q4" i="32"/>
  <c r="G17" i="4" l="1"/>
  <c r="J17" i="4" s="1"/>
  <c r="H17" i="4"/>
  <c r="I17" i="4" s="1"/>
  <c r="Q5" i="24" l="1"/>
  <c r="N5" i="24"/>
  <c r="E11" i="4"/>
  <c r="F11" i="4" s="1"/>
  <c r="E16" i="4"/>
  <c r="F16" i="4" s="1"/>
  <c r="E15" i="4"/>
  <c r="F15" i="4" s="1"/>
  <c r="E14" i="4"/>
  <c r="F14" i="4" s="1"/>
  <c r="E13" i="4"/>
  <c r="F13" i="4" s="1"/>
  <c r="E12" i="4"/>
  <c r="F12" i="4" s="1"/>
  <c r="E10" i="4"/>
  <c r="F10" i="4" s="1"/>
  <c r="H10" i="4" s="1"/>
  <c r="Q10" i="24"/>
  <c r="N10" i="24"/>
  <c r="Q9" i="24"/>
  <c r="N9" i="24"/>
  <c r="Q8" i="24"/>
  <c r="N8" i="24"/>
  <c r="Q7" i="24"/>
  <c r="N7" i="24"/>
  <c r="Q6" i="24"/>
  <c r="N6" i="24"/>
  <c r="G11" i="4" l="1"/>
  <c r="J11" i="4" s="1"/>
  <c r="H11" i="4"/>
  <c r="I11" i="4" s="1"/>
  <c r="H12" i="4"/>
  <c r="I12" i="4" s="1"/>
  <c r="G12" i="4"/>
  <c r="J12" i="4" s="1"/>
  <c r="G13" i="4"/>
  <c r="J13" i="4" s="1"/>
  <c r="H13" i="4"/>
  <c r="I13" i="4" s="1"/>
  <c r="H14" i="4"/>
  <c r="I14" i="4" s="1"/>
  <c r="G14" i="4"/>
  <c r="J14" i="4" s="1"/>
  <c r="G15" i="4"/>
  <c r="J15" i="4" s="1"/>
  <c r="H15" i="4"/>
  <c r="I15" i="4" s="1"/>
  <c r="H16" i="4"/>
  <c r="I16" i="4" s="1"/>
  <c r="G16" i="4"/>
  <c r="J16" i="4" s="1"/>
  <c r="G10" i="4"/>
  <c r="J10" i="4" s="1"/>
  <c r="I10" i="4"/>
  <c r="P34" i="35"/>
  <c r="H7" i="4" s="1"/>
  <c r="O34" i="35"/>
  <c r="M34" i="35"/>
  <c r="F7" i="4" s="1"/>
  <c r="L34" i="35"/>
  <c r="E7" i="4" s="1"/>
  <c r="Q4" i="35"/>
  <c r="Q34" i="35" s="1"/>
  <c r="J7" i="4" s="1"/>
  <c r="N34" i="35"/>
  <c r="G7" i="4" s="1"/>
  <c r="P34" i="5"/>
  <c r="O34" i="5"/>
  <c r="N34" i="5"/>
  <c r="M34" i="5"/>
  <c r="I7" i="4" l="1"/>
  <c r="O34" i="33"/>
  <c r="Q34" i="33"/>
  <c r="J6" i="4" s="1"/>
  <c r="O34" i="28"/>
  <c r="O34" i="32"/>
  <c r="Q34" i="32"/>
  <c r="J4" i="4" s="1"/>
  <c r="O34" i="25"/>
  <c r="Q4" i="24"/>
  <c r="O34" i="24"/>
  <c r="P34" i="33"/>
  <c r="H6" i="4" s="1"/>
  <c r="M34" i="33"/>
  <c r="F6" i="4" s="1"/>
  <c r="L34" i="33"/>
  <c r="E6" i="4" s="1"/>
  <c r="N34" i="33"/>
  <c r="G6" i="4" s="1"/>
  <c r="N34" i="32"/>
  <c r="G4" i="4" s="1"/>
  <c r="N4" i="24"/>
  <c r="P34" i="32"/>
  <c r="H4" i="4" s="1"/>
  <c r="M34" i="32"/>
  <c r="F4" i="4" s="1"/>
  <c r="L34" i="32"/>
  <c r="E4" i="4" s="1"/>
  <c r="I6" i="4" l="1"/>
  <c r="I4" i="4"/>
  <c r="L34" i="5"/>
  <c r="P34" i="28"/>
  <c r="H8" i="4" s="1"/>
  <c r="M34" i="28"/>
  <c r="F8" i="4" s="1"/>
  <c r="L34" i="28"/>
  <c r="E8" i="4" s="1"/>
  <c r="Q34" i="28"/>
  <c r="J8" i="4" s="1"/>
  <c r="Q34" i="25"/>
  <c r="J9" i="4" s="1"/>
  <c r="P34" i="25"/>
  <c r="H9" i="4" s="1"/>
  <c r="N34" i="25"/>
  <c r="G9" i="4" s="1"/>
  <c r="M34" i="25"/>
  <c r="F9" i="4" s="1"/>
  <c r="L34" i="25"/>
  <c r="E9" i="4" s="1"/>
  <c r="N34" i="24"/>
  <c r="M34" i="24"/>
  <c r="L34" i="24"/>
  <c r="P34" i="24"/>
  <c r="G3" i="4"/>
  <c r="F3" i="4"/>
  <c r="I8" i="4" l="1"/>
  <c r="I9" i="4"/>
  <c r="F22" i="4"/>
  <c r="N34" i="28"/>
  <c r="G8" i="4" s="1"/>
  <c r="G22" i="4" s="1"/>
  <c r="Q34" i="24"/>
  <c r="Q34" i="5" l="1"/>
  <c r="J3" i="4" s="1"/>
  <c r="J22" i="4" s="1"/>
  <c r="H3" i="4"/>
  <c r="H22" i="4" l="1"/>
  <c r="I3" i="4"/>
  <c r="I22" i="4" s="1"/>
  <c r="E3" i="4"/>
  <c r="E22" i="4" s="1"/>
</calcChain>
</file>

<file path=xl/sharedStrings.xml><?xml version="1.0" encoding="utf-8"?>
<sst xmlns="http://schemas.openxmlformats.org/spreadsheetml/2006/main" count="220" uniqueCount="71">
  <si>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</si>
  <si>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</si>
  <si>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</si>
  <si>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</si>
  <si>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</si>
  <si>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</si>
  <si>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</si>
  <si>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</si>
  <si>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</si>
  <si>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</si>
  <si>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</si>
  <si>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</si>
  <si>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</si>
  <si>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</si>
  <si>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</si>
  <si>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</si>
  <si>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</si>
  <si>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</si>
  <si>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</si>
  <si>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DWE-2024-AUG-29-001</t>
    <phoneticPr fontId="1" type="noConversion"/>
  </si>
  <si>
    <t>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</si>
  <si>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</si>
  <si>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</si>
  <si>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</si>
  <si>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</si>
  <si>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</si>
  <si>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</si>
  <si>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</si>
  <si>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</si>
  <si>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</si>
  <si>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</si>
  <si>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</si>
  <si>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</si>
  <si>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</si>
  <si>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</si>
  <si>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</si>
  <si>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</si>
  <si>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</si>
  <si>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</si>
  <si>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GMTECH</t>
    <phoneticPr fontId="1" type="noConversion"/>
  </si>
  <si>
    <t>서울교통공사</t>
    <phoneticPr fontId="1" type="noConversion"/>
  </si>
  <si>
    <t>기타</t>
    <phoneticPr fontId="1" type="noConversion"/>
  </si>
  <si>
    <t>홍콩</t>
    <phoneticPr fontId="1" type="noConversion"/>
  </si>
  <si>
    <t>인도네시아</t>
    <phoneticPr fontId="1" type="noConversion"/>
  </si>
  <si>
    <t>POSCO TCMS 관련 통신보드 HW 개발</t>
  </si>
  <si>
    <t>한국(POSCO)</t>
    <phoneticPr fontId="1" type="noConversion"/>
  </si>
  <si>
    <t>250801 선금(30%) 지급 완료</t>
    <phoneticPr fontId="1" type="noConversion"/>
  </si>
  <si>
    <t>250728 KRW 7,848,300 전자세금계산서 선금 30%</t>
    <phoneticPr fontId="1" type="noConversion"/>
  </si>
  <si>
    <t>0S02</t>
    <phoneticPr fontId="1" type="noConversion"/>
  </si>
  <si>
    <t>인도네시아 경전철 차량유지보수 부품</t>
  </si>
  <si>
    <t>선금 20%, 대금 80%</t>
    <phoneticPr fontId="1" type="noConversion"/>
  </si>
  <si>
    <t>신역사 KTU 추가
방송소프트웨어 업데이트</t>
    <phoneticPr fontId="1" type="noConversion"/>
  </si>
  <si>
    <t>251015 선금 입금 완료 (선금 20%, 6,158,200)</t>
    <phoneticPr fontId="1" type="noConversion"/>
  </si>
  <si>
    <t>2027년 수주가</t>
    <phoneticPr fontId="1" type="noConversion"/>
  </si>
  <si>
    <t>2026년 잔금</t>
    <phoneticPr fontId="1" type="noConversion"/>
  </si>
  <si>
    <t>수주금액 (2027년)</t>
    <phoneticPr fontId="1" type="noConversion"/>
  </si>
  <si>
    <t>2025년 수주 이월 / 
251231 전자계약 체결(계약일 : PO 발행일 (250930) 소급 적용)</t>
    <phoneticPr fontId="1" type="noConversion"/>
  </si>
  <si>
    <r>
      <t xml:space="preserve">1. 신호 인터페이스 문서 4종 검토 완료 및 코사인 완료 후 – 전체 발주금액의 15%
2. 설계 및 시험절차서 승인 완료 후 – 전체 발주금액의 15%
3. 소프트웨어 배포 및 현차 시험 완료 - 전체 발주금액의 30%
</t>
    </r>
    <r>
      <rPr>
        <b/>
        <sz val="11"/>
        <rFont val="맑은 고딕"/>
        <family val="3"/>
        <charset val="129"/>
        <scheme val="minor"/>
      </rPr>
      <t>4. 신호 인터페이스 시험 완료 후 - 전체 발주금액의 40%</t>
    </r>
    <phoneticPr fontId="1" type="noConversion"/>
  </si>
  <si>
    <t>HST (튀르키예)</t>
    <phoneticPr fontId="1" type="noConversion"/>
  </si>
  <si>
    <t>선금 30%, 대금 70%</t>
    <phoneticPr fontId="1" type="noConversion"/>
  </si>
  <si>
    <r>
      <rPr>
        <b/>
        <sz val="11"/>
        <color rgb="FF00B050"/>
        <rFont val="맑은 고딕"/>
        <family val="3"/>
        <charset val="129"/>
        <scheme val="minor"/>
      </rPr>
      <t xml:space="preserve">1. (2024년) 선급금 30% (42,000,000 KRW)
2. 1차 산출물 제출 후 실행팀 확인 서명 완료본 제출 시 30% (250310 42,000,000 KRW 입금)
</t>
    </r>
    <r>
      <rPr>
        <b/>
        <sz val="11"/>
        <rFont val="맑은 고딕"/>
        <family val="3"/>
        <charset val="129"/>
        <scheme val="minor"/>
      </rPr>
      <t>3. 발주처 승인 완료 시 40%</t>
    </r>
    <phoneticPr fontId="1" type="noConversion"/>
  </si>
  <si>
    <t>고구려엔지니어링</t>
    <phoneticPr fontId="1" type="noConversion"/>
  </si>
  <si>
    <t>8-1</t>
    <phoneticPr fontId="1" type="noConversion"/>
  </si>
  <si>
    <t>8-2</t>
    <phoneticPr fontId="1" type="noConversion"/>
  </si>
  <si>
    <t>8-3</t>
    <phoneticPr fontId="1" type="noConversion"/>
  </si>
  <si>
    <t>8-4</t>
    <phoneticPr fontId="1" type="noConversion"/>
  </si>
  <si>
    <t>8-5</t>
    <phoneticPr fontId="1" type="noConversion"/>
  </si>
  <si>
    <t>8-6</t>
    <phoneticPr fontId="1" type="noConversion"/>
  </si>
  <si>
    <t>8-7</t>
    <phoneticPr fontId="1" type="noConversion"/>
  </si>
  <si>
    <t>8-8</t>
    <phoneticPr fontId="1" type="noConversion"/>
  </si>
  <si>
    <t>위플랫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</si>
</sst>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2"/>
      <name val="바탕"/>
      <family val="1"/>
      <charset val="129"/>
    </font>
    <font>
      <b/>
      <sz val="11"/>
      <color rgb="FF00B050"/>
      <name val="맑은 고딕"/>
      <family val="2"/>
      <charset val="129"/>
      <scheme val="minor"/>
    </font>
    <font>
      <b/>
      <sz val="11"/>
      <color rgb="FF0070C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7" fillId="2" borderId="0" xfId="0" applyFont="1" applyFill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42" fontId="8" fillId="0" borderId="1" xfId="0" applyNumberFormat="1" applyFont="1" applyFill="1" applyBorder="1" applyAlignment="1">
      <alignment horizontal="center" vertical="center"/>
    </xf>
    <xf numFmtId="42" fontId="9" fillId="0" borderId="5" xfId="0" applyNumberFormat="1" applyFont="1" applyFill="1" applyBorder="1" applyAlignment="1">
      <alignment horizontal="center" vertical="center"/>
    </xf>
    <xf numFmtId="42" fontId="8" fillId="0" borderId="1" xfId="0" applyNumberFormat="1" applyFont="1" applyFill="1" applyBorder="1" applyAlignment="1">
      <alignment horizontal="center" vertical="center" wrapText="1"/>
    </xf>
    <xf numFmtId="42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8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center" vertical="center" wrapText="1"/>
    </xf>
    <xf numFmtId="42" fontId="7" fillId="0" borderId="0" xfId="0" applyNumberFormat="1" applyFont="1" applyFill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 applyAlignment="1">
      <alignment horizontal="center" vertical="center" wrapText="1"/>
    </xf>
    <xf numFmtId="42" fontId="17" fillId="0" borderId="1" xfId="0" applyNumberFormat="1" applyFont="1" applyBorder="1" applyAlignment="1">
      <alignment horizontal="center" vertical="center" wrapText="1"/>
    </xf>
    <xf numFmtId="42" fontId="18" fillId="0" borderId="1" xfId="0" applyNumberFormat="1" applyFont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42" fontId="9" fillId="0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3"/>
  <sheetViews>
    <sheetView tabSelected="1" zoomScaleNormal="100" workbookViewId="0"/>
  </sheetViews>
  <sheetFormatPr defaultRowHeight="17"/>
  <cols>
    <col min="1" max="1" width="4" customWidth="1"/>
    <col min="2" max="2" width="5.25" style="1" customWidth="1"/>
    <col min="3" max="3" width="5.5" style="22" bestFit="1" customWidth="1"/>
    <col min="4" max="4" width="15.25" style="22" customWidth="1"/>
    <col min="5" max="6" width="18.25" style="40" bestFit="1" customWidth="1"/>
    <col min="7" max="7" width="16.5" style="40" bestFit="1" customWidth="1"/>
    <col min="8" max="8" width="18.25" style="40" bestFit="1" customWidth="1"/>
    <col min="9" max="9" width="18.25" style="40" customWidth="1"/>
    <col min="10" max="10" width="16.5" style="40" bestFit="1" customWidth="1"/>
    <col min="11" max="11" width="71.83203125" style="43" bestFit="1" customWidth="1"/>
  </cols>
  <sheetData>
    <row r="2" spans="2:11" s="1" customFormat="1">
      <c r="B2" s="11" t="s">
        <v>4</v>
      </c>
      <c r="C2" s="86" t="s">
        <v>14</v>
      </c>
      <c r="D2" s="87"/>
      <c r="E2" s="53" t="s">
        <v>6</v>
      </c>
      <c r="F2" s="53" t="s">
        <v>37</v>
      </c>
      <c r="G2" s="53" t="s">
        <v>53</v>
      </c>
      <c r="H2" s="56" t="s">
        <v>25</v>
      </c>
      <c r="I2" s="56" t="s">
        <v>54</v>
      </c>
      <c r="J2" s="56" t="s">
        <v>29</v>
      </c>
      <c r="K2" s="57" t="s">
        <v>2</v>
      </c>
    </row>
    <row r="3" spans="2:11">
      <c r="B3" s="2">
        <v>1</v>
      </c>
      <c r="C3" s="90" t="s">
        <v>13</v>
      </c>
      <c r="D3" s="87"/>
      <c r="E3" s="60">
        <f>'1.지아이씨'!L34</f>
        <v>0</v>
      </c>
      <c r="F3" s="60">
        <f>'1.지아이씨'!M34</f>
        <v>0</v>
      </c>
      <c r="G3" s="58">
        <f>'1.지아이씨'!N34</f>
        <v>0</v>
      </c>
      <c r="H3" s="60">
        <f>'1.지아이씨'!P34</f>
        <v>0</v>
      </c>
      <c r="I3" s="60">
        <f>F3-H3</f>
        <v>0</v>
      </c>
      <c r="J3" s="54">
        <f>'1.지아이씨'!Q34</f>
        <v>0</v>
      </c>
      <c r="K3" s="69"/>
    </row>
    <row r="4" spans="2:11">
      <c r="B4" s="2">
        <v>2</v>
      </c>
      <c r="C4" s="90" t="s">
        <v>33</v>
      </c>
      <c r="D4" s="87"/>
      <c r="E4" s="60">
        <f>'2.현대로템'!L34</f>
        <v>294790700</v>
      </c>
      <c r="F4" s="60">
        <f>'2.현대로템'!M34</f>
        <v>294790700</v>
      </c>
      <c r="G4" s="58">
        <f>'2.현대로템'!N34</f>
        <v>0</v>
      </c>
      <c r="H4" s="60">
        <f>'2.현대로템'!P34</f>
        <v>0</v>
      </c>
      <c r="I4" s="60">
        <f t="shared" ref="I4:I11" si="0">F4-H4</f>
        <v>294790700</v>
      </c>
      <c r="J4" s="67">
        <f>'2.현대로템'!Q34</f>
        <v>0</v>
      </c>
      <c r="K4" s="69"/>
    </row>
    <row r="5" spans="2:11">
      <c r="B5" s="2">
        <v>3</v>
      </c>
      <c r="C5" s="90" t="s">
        <v>58</v>
      </c>
      <c r="D5" s="87"/>
      <c r="E5" s="60">
        <f>'3.HST_Turkey'!L34</f>
        <v>0</v>
      </c>
      <c r="F5" s="60">
        <f>'3.HST_Turkey'!M34</f>
        <v>0</v>
      </c>
      <c r="G5" s="58">
        <f>'3.HST_Turkey'!N34</f>
        <v>0</v>
      </c>
      <c r="H5" s="60">
        <f>'3.HST_Turkey'!P34</f>
        <v>0</v>
      </c>
      <c r="I5" s="60">
        <f t="shared" si="0"/>
        <v>0</v>
      </c>
      <c r="J5" s="67">
        <f>'3.HST_Turkey'!Q34</f>
        <v>0</v>
      </c>
      <c r="K5" s="84"/>
    </row>
    <row r="6" spans="2:11">
      <c r="B6" s="2">
        <v>4</v>
      </c>
      <c r="C6" s="90" t="s">
        <v>36</v>
      </c>
      <c r="D6" s="87"/>
      <c r="E6" s="60">
        <f>'4.인터모빌리티'!L34</f>
        <v>18312700</v>
      </c>
      <c r="F6" s="60">
        <f>'4.인터모빌리티'!M34</f>
        <v>18312700</v>
      </c>
      <c r="G6" s="58">
        <f>'4.인터모빌리티'!N34</f>
        <v>0</v>
      </c>
      <c r="H6" s="62">
        <f>'4.인터모빌리티'!P34</f>
        <v>0</v>
      </c>
      <c r="I6" s="60">
        <f>F6-H6</f>
        <v>18312700</v>
      </c>
      <c r="J6" s="41">
        <f>'4.인터모빌리티'!Q34</f>
        <v>0</v>
      </c>
      <c r="K6" s="83"/>
    </row>
    <row r="7" spans="2:11">
      <c r="B7" s="2">
        <v>5</v>
      </c>
      <c r="C7" s="90" t="s">
        <v>39</v>
      </c>
      <c r="D7" s="87"/>
      <c r="E7" s="60">
        <f>'5.GMTECH'!L34</f>
        <v>24632800</v>
      </c>
      <c r="F7" s="60">
        <f>'5.GMTECH'!M34</f>
        <v>24632800</v>
      </c>
      <c r="G7" s="58">
        <f>'5.GMTECH'!N34</f>
        <v>0</v>
      </c>
      <c r="H7" s="62">
        <f>'5.GMTECH'!P34</f>
        <v>0</v>
      </c>
      <c r="I7" s="60">
        <f>F7-H7</f>
        <v>24632800</v>
      </c>
      <c r="J7" s="41">
        <f>'5.GMTECH'!Q34</f>
        <v>0</v>
      </c>
      <c r="K7" s="84"/>
    </row>
    <row r="8" spans="2:11">
      <c r="B8" s="2">
        <v>6</v>
      </c>
      <c r="C8" s="90" t="s">
        <v>16</v>
      </c>
      <c r="D8" s="87"/>
      <c r="E8" s="60">
        <f>'6.다원시스'!L34</f>
        <v>56000000</v>
      </c>
      <c r="F8" s="60">
        <f>'6.다원시스'!M34</f>
        <v>56000000</v>
      </c>
      <c r="G8" s="58">
        <f>'6.다원시스'!N34</f>
        <v>0</v>
      </c>
      <c r="H8" s="60">
        <f>'6.다원시스'!P34</f>
        <v>0</v>
      </c>
      <c r="I8" s="60">
        <f t="shared" si="0"/>
        <v>56000000</v>
      </c>
      <c r="J8" s="54">
        <f>'6.다원시스'!Q34</f>
        <v>0</v>
      </c>
      <c r="K8" s="68"/>
    </row>
    <row r="9" spans="2:11">
      <c r="B9" s="2">
        <v>7</v>
      </c>
      <c r="C9" s="90" t="s">
        <v>40</v>
      </c>
      <c r="D9" s="87"/>
      <c r="E9" s="60">
        <f>'7.서울교통공사'!L34</f>
        <v>0</v>
      </c>
      <c r="F9" s="60">
        <f>'7.서울교통공사'!M34</f>
        <v>0</v>
      </c>
      <c r="G9" s="58">
        <f>'7.서울교통공사'!N34</f>
        <v>0</v>
      </c>
      <c r="H9" s="60">
        <f>'7.서울교통공사'!P34</f>
        <v>0</v>
      </c>
      <c r="I9" s="60">
        <f>F9-H9</f>
        <v>0</v>
      </c>
      <c r="J9" s="54">
        <f>'7.서울교통공사'!Q34</f>
        <v>0</v>
      </c>
      <c r="K9" s="69"/>
    </row>
    <row r="10" spans="2:11">
      <c r="B10" s="77" t="s">
        <v>62</v>
      </c>
      <c r="C10" s="88" t="s">
        <v>41</v>
      </c>
      <c r="D10" s="5" t="s">
        <v>21</v>
      </c>
      <c r="E10" s="60">
        <f>SUMIF('7.기타'!$C$4:$C$33, Total!D10, '7.기타'!$L$3:$L$32)</f>
        <v>0</v>
      </c>
      <c r="F10" s="60">
        <f>SUMIF('7.기타'!$C$4:$C$33, Total!E10, '7.기타'!$M$3:$M$32)</f>
        <v>0</v>
      </c>
      <c r="G10" s="58">
        <f>SUMIF('7.기타'!$C$4:$C$33, Total!F10, '7.기타'!$N$3:$N$32)</f>
        <v>0</v>
      </c>
      <c r="H10" s="60">
        <f>SUMIF('7.기타'!$C$4:$C$33, Total!F10, '7.기타'!$P$3:$P$32)</f>
        <v>0</v>
      </c>
      <c r="I10" s="60">
        <f t="shared" si="0"/>
        <v>0</v>
      </c>
      <c r="J10" s="41">
        <f>SUMIF('7.기타'!$C$4:$C$33, Total!G10, '7.기타'!$Q$3:$Q$32)</f>
        <v>0</v>
      </c>
      <c r="K10" s="14"/>
    </row>
    <row r="11" spans="2:11">
      <c r="B11" s="77" t="s">
        <v>63</v>
      </c>
      <c r="C11" s="89"/>
      <c r="D11" s="5" t="s">
        <v>61</v>
      </c>
      <c r="E11" s="60">
        <f>SUMIF('7.기타'!$C$4:$C$33, Total!D11, '7.기타'!$L$3:$L$32)</f>
        <v>0</v>
      </c>
      <c r="F11" s="60">
        <f>SUMIF('7.기타'!$C$4:$C$33, Total!E11, '7.기타'!$M$3:$M$32)</f>
        <v>0</v>
      </c>
      <c r="G11" s="58">
        <f>SUMIF('7.기타'!$C$4:$C$33, Total!F11, '7.기타'!$N$3:$N$32)</f>
        <v>0</v>
      </c>
      <c r="H11" s="60">
        <f>SUMIF('7.기타'!$C$4:$C$33, Total!F11, '7.기타'!$P$3:$P$32)</f>
        <v>0</v>
      </c>
      <c r="I11" s="60">
        <f t="shared" si="0"/>
        <v>0</v>
      </c>
      <c r="J11" s="41">
        <f>SUMIF('7.기타'!$C$4:$C$33, Total!G11, '7.기타'!$Q$3:$Q$32)</f>
        <v>0</v>
      </c>
      <c r="K11" s="29"/>
    </row>
    <row r="12" spans="2:11">
      <c r="B12" s="77" t="s">
        <v>64</v>
      </c>
      <c r="C12" s="89"/>
      <c r="D12" s="5" t="s">
        <v>15</v>
      </c>
      <c r="E12" s="60">
        <f>SUMIF('7.기타'!$C$4:$C$33, Total!D12, '7.기타'!$L$3:$L$32)</f>
        <v>0</v>
      </c>
      <c r="F12" s="60">
        <f>SUMIF('7.기타'!$C$4:$C$33, Total!E12, '7.기타'!$M$3:$M$32)</f>
        <v>0</v>
      </c>
      <c r="G12" s="58">
        <f>SUMIF('7.기타'!$C$4:$C$33, Total!F12, '7.기타'!$N$3:$N$32)</f>
        <v>0</v>
      </c>
      <c r="H12" s="60">
        <f>SUMIF('7.기타'!$C$4:$C$33, Total!F12, '7.기타'!$P$3:$P$32)</f>
        <v>0</v>
      </c>
      <c r="I12" s="60">
        <f t="shared" ref="I12:I16" si="1">F12-H12</f>
        <v>0</v>
      </c>
      <c r="J12" s="41">
        <f>SUMIF('7.기타'!$C$4:$C$33, Total!G12, '7.기타'!$Q$3:$Q$32)</f>
        <v>0</v>
      </c>
      <c r="K12" s="14"/>
    </row>
    <row r="13" spans="2:11">
      <c r="B13" s="77" t="s">
        <v>65</v>
      </c>
      <c r="C13" s="89"/>
      <c r="D13" s="5" t="s">
        <v>22</v>
      </c>
      <c r="E13" s="60">
        <f>SUMIF('7.기타'!$C$4:$C$33, Total!D13, '7.기타'!$L$3:$L$32)</f>
        <v>0</v>
      </c>
      <c r="F13" s="60">
        <f>SUMIF('7.기타'!$C$4:$C$33, Total!E13, '7.기타'!$M$3:$M$32)</f>
        <v>0</v>
      </c>
      <c r="G13" s="58">
        <f>SUMIF('7.기타'!$C$4:$C$33, Total!F13, '7.기타'!$N$3:$N$32)</f>
        <v>0</v>
      </c>
      <c r="H13" s="60">
        <f>SUMIF('7.기타'!$C$4:$C$33, Total!F13, '7.기타'!$P$3:$P$32)</f>
        <v>0</v>
      </c>
      <c r="I13" s="60">
        <f t="shared" si="1"/>
        <v>0</v>
      </c>
      <c r="J13" s="41">
        <f>SUMIF('7.기타'!$C$4:$C$33, Total!G13, '7.기타'!$Q$3:$Q$32)</f>
        <v>0</v>
      </c>
      <c r="K13" s="64"/>
    </row>
    <row r="14" spans="2:11" s="13" customFormat="1">
      <c r="B14" s="77" t="s">
        <v>66</v>
      </c>
      <c r="C14" s="89"/>
      <c r="D14" s="80" t="s">
        <v>17</v>
      </c>
      <c r="E14" s="60">
        <f>SUMIF('7.기타'!$C$4:$C$33, Total!D14, '7.기타'!$L$3:$L$32)</f>
        <v>0</v>
      </c>
      <c r="F14" s="60">
        <f>SUMIF('7.기타'!$C$4:$C$33, Total!E14, '7.기타'!$M$3:$M$32)</f>
        <v>0</v>
      </c>
      <c r="G14" s="58">
        <f>SUMIF('7.기타'!$C$4:$C$33, Total!F14, '7.기타'!$N$3:$N$32)</f>
        <v>0</v>
      </c>
      <c r="H14" s="60">
        <f>SUMIF('7.기타'!$C$4:$C$33, Total!F14, '7.기타'!$P$3:$P$32)</f>
        <v>0</v>
      </c>
      <c r="I14" s="60">
        <f t="shared" si="1"/>
        <v>0</v>
      </c>
      <c r="J14" s="41">
        <f>SUMIF('7.기타'!$C$4:$C$33, Total!G14, '7.기타'!$Q$3:$Q$32)</f>
        <v>0</v>
      </c>
      <c r="K14" s="14"/>
    </row>
    <row r="15" spans="2:11" s="13" customFormat="1">
      <c r="B15" s="77" t="s">
        <v>67</v>
      </c>
      <c r="C15" s="89"/>
      <c r="D15" s="80" t="s">
        <v>23</v>
      </c>
      <c r="E15" s="60">
        <f>SUMIF('7.기타'!$C$4:$C$33, Total!D15, '7.기타'!$L$3:$L$32)</f>
        <v>0</v>
      </c>
      <c r="F15" s="60">
        <f>SUMIF('7.기타'!$C$4:$C$33, Total!E15, '7.기타'!$M$3:$M$32)</f>
        <v>0</v>
      </c>
      <c r="G15" s="58">
        <f>SUMIF('7.기타'!$C$4:$C$33, Total!F15, '7.기타'!$N$3:$N$32)</f>
        <v>0</v>
      </c>
      <c r="H15" s="60">
        <f>SUMIF('7.기타'!$C$4:$C$33, Total!F15, '7.기타'!$P$3:$P$32)</f>
        <v>0</v>
      </c>
      <c r="I15" s="60">
        <f t="shared" si="1"/>
        <v>0</v>
      </c>
      <c r="J15" s="41">
        <f>SUMIF('7.기타'!$C$4:$C$33, Total!G15, '7.기타'!$Q$3:$Q$32)</f>
        <v>0</v>
      </c>
      <c r="K15" s="14"/>
    </row>
    <row r="16" spans="2:11">
      <c r="B16" s="77" t="s">
        <v>68</v>
      </c>
      <c r="C16" s="89"/>
      <c r="D16" s="5" t="s">
        <v>24</v>
      </c>
      <c r="E16" s="60">
        <f>SUMIF('7.기타'!$C$4:$C$33, Total!D16, '7.기타'!$L$3:$L$32)</f>
        <v>0</v>
      </c>
      <c r="F16" s="60">
        <f>SUMIF('7.기타'!$C$4:$C$33, Total!E16, '7.기타'!$M$3:$M$32)</f>
        <v>0</v>
      </c>
      <c r="G16" s="58">
        <f>SUMIF('7.기타'!$C$4:$C$33, Total!F16, '7.기타'!$N$3:$N$32)</f>
        <v>0</v>
      </c>
      <c r="H16" s="60">
        <f>SUMIF('7.기타'!$C$4:$C$33, Total!F16, '7.기타'!$P$3:$P$32)</f>
        <v>0</v>
      </c>
      <c r="I16" s="60">
        <f t="shared" si="1"/>
        <v>0</v>
      </c>
      <c r="J16" s="41">
        <f>SUMIF('7.기타'!$C$4:$C$33, Total!G16, '7.기타'!$Q$3:$Q$32)</f>
        <v>0</v>
      </c>
      <c r="K16" s="14"/>
    </row>
    <row r="17" spans="2:11">
      <c r="B17" s="77" t="s">
        <v>69</v>
      </c>
      <c r="C17" s="124"/>
      <c r="D17" s="85" t="s">
        <v>70</v>
      </c>
      <c r="E17" s="60">
        <f>SUMIF('7.기타'!$C$4:$C$33, Total!D17, '7.기타'!$L$3:$L$32)</f>
        <v>0</v>
      </c>
      <c r="F17" s="60">
        <f>SUMIF('7.기타'!$C$4:$C$33, Total!E17, '7.기타'!$M$3:$M$32)</f>
        <v>0</v>
      </c>
      <c r="G17" s="58">
        <f>SUMIF('7.기타'!$C$4:$C$33, Total!F17, '7.기타'!$N$3:$N$32)</f>
        <v>0</v>
      </c>
      <c r="H17" s="60">
        <f>SUMIF('7.기타'!$C$4:$C$33, Total!F17, '7.기타'!$P$3:$P$32)</f>
        <v>0</v>
      </c>
      <c r="I17" s="60">
        <f t="shared" ref="I17" si="2">F17-H17</f>
        <v>0</v>
      </c>
      <c r="J17" s="41">
        <f>SUMIF('7.기타'!$C$4:$C$33, Total!G17, '7.기타'!$Q$3:$Q$32)</f>
        <v>0</v>
      </c>
      <c r="K17" s="29"/>
    </row>
    <row r="18" spans="2:11">
      <c r="B18" s="2"/>
      <c r="C18" s="20"/>
      <c r="D18" s="78"/>
      <c r="E18" s="60"/>
      <c r="F18" s="60"/>
      <c r="G18" s="58"/>
      <c r="H18" s="62"/>
      <c r="I18" s="62"/>
      <c r="J18" s="41"/>
      <c r="K18" s="14"/>
    </row>
    <row r="19" spans="2:11">
      <c r="B19" s="2"/>
      <c r="C19" s="20"/>
      <c r="D19" s="78"/>
      <c r="E19" s="60"/>
      <c r="F19" s="60"/>
      <c r="G19" s="58"/>
      <c r="H19" s="62"/>
      <c r="I19" s="62"/>
      <c r="J19" s="41"/>
      <c r="K19" s="14"/>
    </row>
    <row r="20" spans="2:11">
      <c r="B20" s="2"/>
      <c r="C20" s="20"/>
      <c r="D20" s="78"/>
      <c r="E20" s="60"/>
      <c r="F20" s="60"/>
      <c r="G20" s="58"/>
      <c r="H20" s="62"/>
      <c r="I20" s="62"/>
      <c r="J20" s="41"/>
      <c r="K20" s="14"/>
    </row>
    <row r="21" spans="2:11">
      <c r="B21" s="2"/>
      <c r="C21" s="20"/>
      <c r="D21" s="78"/>
      <c r="E21" s="60"/>
      <c r="F21" s="60"/>
      <c r="G21" s="58"/>
      <c r="H21" s="62"/>
      <c r="I21" s="62"/>
      <c r="J21" s="41"/>
      <c r="K21" s="14"/>
    </row>
    <row r="22" spans="2:11" s="12" customFormat="1">
      <c r="B22" s="11"/>
      <c r="C22" s="21" t="s">
        <v>8</v>
      </c>
      <c r="D22" s="79"/>
      <c r="E22" s="61">
        <f t="shared" ref="E22:J22" si="3">SUM(E3:E21)</f>
        <v>393736200</v>
      </c>
      <c r="F22" s="61">
        <f t="shared" si="3"/>
        <v>393736200</v>
      </c>
      <c r="G22" s="59">
        <f t="shared" si="3"/>
        <v>0</v>
      </c>
      <c r="H22" s="63">
        <f t="shared" si="3"/>
        <v>0</v>
      </c>
      <c r="I22" s="61">
        <f t="shared" si="3"/>
        <v>393736200</v>
      </c>
      <c r="J22" s="66">
        <f t="shared" si="3"/>
        <v>0</v>
      </c>
      <c r="K22" s="14"/>
    </row>
    <row r="23" spans="2:11" s="12" customFormat="1">
      <c r="B23" s="27"/>
      <c r="C23" s="28"/>
      <c r="D23" s="28"/>
      <c r="E23" s="55"/>
      <c r="F23" s="55"/>
      <c r="G23" s="55"/>
      <c r="H23" s="42"/>
      <c r="I23" s="42"/>
      <c r="J23" s="42"/>
      <c r="K23" s="44"/>
    </row>
  </sheetData>
  <mergeCells count="9">
    <mergeCell ref="C2:D2"/>
    <mergeCell ref="C3:D3"/>
    <mergeCell ref="C9:D9"/>
    <mergeCell ref="C4:D4"/>
    <mergeCell ref="C8:D8"/>
    <mergeCell ref="C6:D6"/>
    <mergeCell ref="C7:D7"/>
    <mergeCell ref="C5:D5"/>
    <mergeCell ref="C10:C17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5.25" style="7" bestFit="1" customWidth="1"/>
    <col min="12" max="12" width="18.33203125" style="46" bestFit="1" customWidth="1"/>
    <col min="13" max="13" width="18.83203125" style="46" bestFit="1" customWidth="1"/>
    <col min="14" max="14" width="18.75" style="46" bestFit="1" customWidth="1"/>
    <col min="15" max="15" width="16.75" style="46" bestFit="1" customWidth="1"/>
    <col min="16" max="16" width="16.5" style="34" bestFit="1" customWidth="1"/>
    <col min="17" max="17" width="16.5" style="46" bestFit="1" customWidth="1"/>
    <col min="18" max="18" width="40.08203125" style="10" bestFit="1" customWidth="1"/>
    <col min="19" max="19" width="42.5" style="10" bestFit="1" customWidth="1"/>
    <col min="20" max="20" width="42.83203125" bestFit="1" customWidth="1"/>
    <col min="21" max="21" width="40.83203125" bestFit="1" customWidth="1"/>
    <col min="22" max="22" width="49.08203125" bestFit="1" customWidth="1"/>
    <col min="23" max="23" width="31" customWidth="1"/>
    <col min="24" max="24" width="33.83203125" bestFit="1" customWidth="1"/>
    <col min="25" max="28" width="11" bestFit="1" customWidth="1"/>
  </cols>
  <sheetData>
    <row r="1" spans="2:38">
      <c r="T1" s="40"/>
    </row>
    <row r="2" spans="2:38">
      <c r="B2" s="6"/>
      <c r="D2" s="6"/>
    </row>
    <row r="3" spans="2:38" s="1" customFormat="1">
      <c r="B3" s="106" t="s">
        <v>0</v>
      </c>
      <c r="C3" s="107" t="s">
        <v>1</v>
      </c>
      <c r="D3" s="106" t="s">
        <v>3</v>
      </c>
      <c r="E3" s="107" t="s">
        <v>26</v>
      </c>
      <c r="F3" s="107" t="s">
        <v>10</v>
      </c>
      <c r="G3" s="107" t="s">
        <v>27</v>
      </c>
      <c r="H3" s="108" t="s">
        <v>28</v>
      </c>
      <c r="I3" s="108" t="s">
        <v>9</v>
      </c>
      <c r="J3" s="109" t="s">
        <v>7</v>
      </c>
      <c r="K3" s="109" t="s">
        <v>11</v>
      </c>
      <c r="L3" s="110" t="s">
        <v>5</v>
      </c>
      <c r="M3" s="111" t="s">
        <v>35</v>
      </c>
      <c r="N3" s="112" t="s">
        <v>55</v>
      </c>
      <c r="O3" s="110" t="s">
        <v>38</v>
      </c>
      <c r="P3" s="110" t="s">
        <v>25</v>
      </c>
      <c r="Q3" s="110" t="s">
        <v>29</v>
      </c>
      <c r="R3" s="113" t="s">
        <v>2</v>
      </c>
      <c r="S3" s="113" t="s">
        <v>30</v>
      </c>
    </row>
    <row r="4" spans="2:38" s="17" customFormat="1">
      <c r="B4" s="18">
        <v>1</v>
      </c>
      <c r="C4" s="19" t="s">
        <v>13</v>
      </c>
      <c r="D4" s="92"/>
      <c r="E4" s="93"/>
      <c r="F4" s="93"/>
      <c r="G4" s="94"/>
      <c r="H4" s="94"/>
      <c r="I4" s="95"/>
      <c r="J4" s="93"/>
      <c r="K4" s="93"/>
      <c r="L4" s="96"/>
      <c r="M4" s="96"/>
      <c r="N4" s="97"/>
      <c r="O4" s="98"/>
      <c r="P4" s="98"/>
      <c r="Q4" s="99"/>
      <c r="R4" s="103"/>
      <c r="S4" s="104"/>
      <c r="T4" s="105"/>
      <c r="U4" s="105"/>
      <c r="V4" s="105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</row>
    <row r="5" spans="2:38" s="17" customFormat="1">
      <c r="B5" s="92"/>
      <c r="C5" s="93"/>
      <c r="D5" s="92"/>
      <c r="E5" s="93"/>
      <c r="F5" s="93"/>
      <c r="G5" s="94"/>
      <c r="H5" s="94"/>
      <c r="I5" s="95"/>
      <c r="J5" s="93"/>
      <c r="K5" s="93"/>
      <c r="L5" s="96"/>
      <c r="M5" s="96"/>
      <c r="N5" s="97"/>
      <c r="O5" s="98"/>
      <c r="P5" s="98"/>
      <c r="Q5" s="99"/>
      <c r="R5" s="100"/>
      <c r="S5" s="101"/>
      <c r="T5" s="102"/>
      <c r="U5" s="102"/>
      <c r="V5" s="102"/>
      <c r="W5" s="102"/>
    </row>
    <row r="6" spans="2:38" s="17" customFormat="1">
      <c r="B6" s="92"/>
      <c r="C6" s="93"/>
      <c r="D6" s="92"/>
      <c r="E6" s="93"/>
      <c r="F6" s="93"/>
      <c r="G6" s="92"/>
      <c r="H6" s="95"/>
      <c r="I6" s="95"/>
      <c r="J6" s="93"/>
      <c r="K6" s="93"/>
      <c r="L6" s="96"/>
      <c r="M6" s="96"/>
      <c r="N6" s="97"/>
      <c r="O6" s="98"/>
      <c r="P6" s="98"/>
      <c r="Q6" s="99"/>
      <c r="R6" s="93"/>
      <c r="S6" s="101"/>
      <c r="T6" s="102"/>
      <c r="U6" s="102"/>
      <c r="V6" s="102"/>
      <c r="W6" s="102"/>
    </row>
    <row r="7" spans="2:38" s="17" customFormat="1">
      <c r="B7" s="92"/>
      <c r="C7" s="93"/>
      <c r="D7" s="92"/>
      <c r="E7" s="93"/>
      <c r="F7" s="93"/>
      <c r="G7" s="92"/>
      <c r="H7" s="95"/>
      <c r="I7" s="95"/>
      <c r="J7" s="93"/>
      <c r="K7" s="93"/>
      <c r="L7" s="96"/>
      <c r="M7" s="96"/>
      <c r="N7" s="97"/>
      <c r="O7" s="98"/>
      <c r="P7" s="98"/>
      <c r="Q7" s="99"/>
      <c r="R7" s="93"/>
      <c r="S7" s="93"/>
      <c r="T7" s="102"/>
      <c r="U7" s="102"/>
      <c r="V7" s="102"/>
      <c r="W7" s="102"/>
    </row>
    <row r="8" spans="2:38" s="17" customFormat="1">
      <c r="B8" s="92"/>
      <c r="C8" s="93"/>
      <c r="D8" s="92"/>
      <c r="E8" s="93"/>
      <c r="F8" s="93"/>
      <c r="G8" s="92"/>
      <c r="H8" s="95"/>
      <c r="I8" s="95"/>
      <c r="J8" s="93"/>
      <c r="K8" s="93"/>
      <c r="L8" s="96"/>
      <c r="M8" s="96"/>
      <c r="N8" s="97"/>
      <c r="O8" s="98"/>
      <c r="P8" s="98"/>
      <c r="Q8" s="99"/>
      <c r="R8" s="93"/>
      <c r="S8" s="93"/>
      <c r="T8" s="102"/>
      <c r="U8" s="102"/>
      <c r="V8" s="102"/>
      <c r="W8" s="102"/>
    </row>
    <row r="9" spans="2:38" s="17" customFormat="1">
      <c r="B9" s="92"/>
      <c r="C9" s="93"/>
      <c r="D9" s="92"/>
      <c r="E9" s="93"/>
      <c r="F9" s="93"/>
      <c r="G9" s="92"/>
      <c r="H9" s="95"/>
      <c r="I9" s="95"/>
      <c r="J9" s="93"/>
      <c r="K9" s="93"/>
      <c r="L9" s="96"/>
      <c r="M9" s="96"/>
      <c r="N9" s="97"/>
      <c r="O9" s="98"/>
      <c r="P9" s="98"/>
      <c r="Q9" s="99"/>
      <c r="R9" s="93"/>
      <c r="S9" s="93"/>
      <c r="T9" s="102"/>
      <c r="U9" s="102"/>
      <c r="V9" s="102"/>
      <c r="W9" s="102"/>
    </row>
    <row r="10" spans="2:38" s="17" customFormat="1">
      <c r="B10" s="92"/>
      <c r="C10" s="93"/>
      <c r="D10" s="92"/>
      <c r="E10" s="93"/>
      <c r="F10" s="93"/>
      <c r="G10" s="92"/>
      <c r="H10" s="95"/>
      <c r="I10" s="95"/>
      <c r="J10" s="93"/>
      <c r="K10" s="93"/>
      <c r="L10" s="96"/>
      <c r="M10" s="96"/>
      <c r="N10" s="97"/>
      <c r="O10" s="98"/>
      <c r="P10" s="98"/>
      <c r="Q10" s="99"/>
      <c r="R10" s="93"/>
      <c r="S10" s="93"/>
      <c r="T10" s="102"/>
      <c r="U10" s="102"/>
      <c r="V10" s="102"/>
      <c r="W10" s="102"/>
    </row>
    <row r="11" spans="2:38" s="17" customFormat="1">
      <c r="B11" s="92"/>
      <c r="C11" s="93"/>
      <c r="D11" s="92"/>
      <c r="E11" s="93"/>
      <c r="F11" s="93"/>
      <c r="G11" s="92"/>
      <c r="H11" s="95"/>
      <c r="I11" s="95"/>
      <c r="J11" s="93"/>
      <c r="K11" s="93"/>
      <c r="L11" s="96"/>
      <c r="M11" s="96"/>
      <c r="N11" s="97"/>
      <c r="O11" s="98"/>
      <c r="P11" s="98"/>
      <c r="Q11" s="99"/>
      <c r="R11" s="93"/>
      <c r="S11" s="93"/>
      <c r="T11" s="102"/>
      <c r="U11" s="102"/>
      <c r="V11" s="102"/>
      <c r="W11" s="102"/>
    </row>
    <row r="12" spans="2:38" s="17" customFormat="1">
      <c r="B12" s="92"/>
      <c r="C12" s="93"/>
      <c r="D12" s="92"/>
      <c r="E12" s="93"/>
      <c r="F12" s="93"/>
      <c r="G12" s="92"/>
      <c r="H12" s="95"/>
      <c r="I12" s="95"/>
      <c r="J12" s="93"/>
      <c r="K12" s="93"/>
      <c r="L12" s="96"/>
      <c r="M12" s="96"/>
      <c r="N12" s="97"/>
      <c r="O12" s="98"/>
      <c r="P12" s="98"/>
      <c r="Q12" s="99"/>
      <c r="R12" s="93"/>
      <c r="S12" s="93"/>
      <c r="T12" s="102"/>
      <c r="U12" s="102"/>
      <c r="V12" s="102"/>
      <c r="W12" s="102"/>
    </row>
    <row r="13" spans="2:38" s="17" customFormat="1">
      <c r="B13" s="92"/>
      <c r="C13" s="93"/>
      <c r="D13" s="92"/>
      <c r="E13" s="93"/>
      <c r="F13" s="93"/>
      <c r="G13" s="92"/>
      <c r="H13" s="95"/>
      <c r="I13" s="95"/>
      <c r="J13" s="93"/>
      <c r="K13" s="93"/>
      <c r="L13" s="96"/>
      <c r="M13" s="96"/>
      <c r="N13" s="97"/>
      <c r="O13" s="98"/>
      <c r="P13" s="98"/>
      <c r="Q13" s="99"/>
      <c r="R13" s="93"/>
      <c r="S13" s="93"/>
      <c r="T13" s="102"/>
      <c r="U13" s="102"/>
      <c r="V13" s="102"/>
      <c r="W13" s="102"/>
    </row>
    <row r="14" spans="2:38" s="17" customFormat="1">
      <c r="B14" s="92"/>
      <c r="C14" s="93"/>
      <c r="D14" s="92"/>
      <c r="E14" s="93"/>
      <c r="F14" s="93"/>
      <c r="G14" s="92"/>
      <c r="H14" s="95"/>
      <c r="I14" s="95"/>
      <c r="J14" s="93"/>
      <c r="K14" s="93"/>
      <c r="L14" s="96"/>
      <c r="M14" s="96"/>
      <c r="N14" s="97"/>
      <c r="O14" s="98"/>
      <c r="P14" s="98"/>
      <c r="Q14" s="99"/>
      <c r="R14" s="93"/>
      <c r="S14" s="93"/>
      <c r="T14" s="102"/>
      <c r="U14" s="102"/>
      <c r="V14" s="102"/>
      <c r="W14" s="102"/>
    </row>
    <row r="15" spans="2:38" s="17" customFormat="1">
      <c r="B15" s="92"/>
      <c r="C15" s="93"/>
      <c r="D15" s="92"/>
      <c r="E15" s="93"/>
      <c r="F15" s="93"/>
      <c r="G15" s="92"/>
      <c r="H15" s="95"/>
      <c r="I15" s="95"/>
      <c r="J15" s="93"/>
      <c r="K15" s="93"/>
      <c r="L15" s="96"/>
      <c r="M15" s="96"/>
      <c r="N15" s="97"/>
      <c r="O15" s="98"/>
      <c r="P15" s="98"/>
      <c r="Q15" s="99"/>
      <c r="R15" s="93"/>
      <c r="S15" s="93"/>
      <c r="T15" s="102"/>
      <c r="U15" s="102"/>
      <c r="V15" s="102"/>
      <c r="W15" s="102"/>
    </row>
    <row r="16" spans="2:38" s="17" customFormat="1">
      <c r="B16" s="92"/>
      <c r="C16" s="93"/>
      <c r="D16" s="92"/>
      <c r="E16" s="93"/>
      <c r="F16" s="93"/>
      <c r="G16" s="92"/>
      <c r="H16" s="95"/>
      <c r="I16" s="95"/>
      <c r="J16" s="93"/>
      <c r="K16" s="93"/>
      <c r="L16" s="96"/>
      <c r="M16" s="96"/>
      <c r="N16" s="97"/>
      <c r="O16" s="98"/>
      <c r="P16" s="98"/>
      <c r="Q16" s="99"/>
      <c r="R16" s="93"/>
      <c r="S16" s="93"/>
      <c r="T16" s="102"/>
      <c r="U16" s="102"/>
      <c r="V16" s="102"/>
      <c r="W16" s="102"/>
    </row>
    <row r="17" spans="2:25" s="17" customFormat="1">
      <c r="B17" s="92"/>
      <c r="C17" s="93"/>
      <c r="D17" s="92"/>
      <c r="E17" s="93"/>
      <c r="F17" s="93"/>
      <c r="G17" s="94"/>
      <c r="H17" s="94"/>
      <c r="I17" s="95"/>
      <c r="J17" s="93"/>
      <c r="K17" s="93"/>
      <c r="L17" s="96"/>
      <c r="M17" s="96"/>
      <c r="N17" s="97"/>
      <c r="O17" s="98"/>
      <c r="P17" s="98"/>
      <c r="Q17" s="99"/>
      <c r="R17" s="93"/>
      <c r="S17" s="101"/>
      <c r="T17" s="102"/>
      <c r="U17" s="102"/>
      <c r="V17" s="102"/>
      <c r="W17" s="102"/>
    </row>
    <row r="18" spans="2:25" s="17" customFormat="1">
      <c r="B18" s="92"/>
      <c r="C18" s="93"/>
      <c r="D18" s="92"/>
      <c r="E18" s="93"/>
      <c r="F18" s="93"/>
      <c r="G18" s="92"/>
      <c r="H18" s="94"/>
      <c r="I18" s="95"/>
      <c r="J18" s="93"/>
      <c r="K18" s="93"/>
      <c r="L18" s="96"/>
      <c r="M18" s="96"/>
      <c r="N18" s="97"/>
      <c r="O18" s="98"/>
      <c r="P18" s="98"/>
      <c r="Q18" s="99"/>
      <c r="R18" s="101"/>
      <c r="S18" s="101"/>
      <c r="T18" s="102"/>
      <c r="U18" s="102"/>
      <c r="V18" s="102"/>
      <c r="W18" s="102"/>
      <c r="X18" s="31"/>
      <c r="Y18" s="32"/>
    </row>
    <row r="19" spans="2:25" s="17" customFormat="1">
      <c r="B19" s="92"/>
      <c r="C19" s="93"/>
      <c r="D19" s="92"/>
      <c r="E19" s="93"/>
      <c r="F19" s="93"/>
      <c r="G19" s="92"/>
      <c r="H19" s="94"/>
      <c r="I19" s="95"/>
      <c r="J19" s="93"/>
      <c r="K19" s="93"/>
      <c r="L19" s="96"/>
      <c r="M19" s="96"/>
      <c r="N19" s="97"/>
      <c r="O19" s="98"/>
      <c r="P19" s="98"/>
      <c r="Q19" s="99"/>
      <c r="R19" s="101"/>
      <c r="S19" s="101"/>
      <c r="T19" s="102"/>
      <c r="U19" s="102"/>
      <c r="V19" s="102"/>
      <c r="W19" s="102"/>
    </row>
    <row r="20" spans="2:25" s="17" customFormat="1">
      <c r="B20" s="18"/>
      <c r="C20" s="19"/>
      <c r="D20" s="18"/>
      <c r="E20" s="19"/>
      <c r="F20" s="19"/>
      <c r="G20" s="18"/>
      <c r="H20" s="26"/>
      <c r="I20" s="26"/>
      <c r="J20" s="23"/>
      <c r="K20" s="23"/>
      <c r="L20" s="47"/>
      <c r="M20" s="47"/>
      <c r="N20" s="47"/>
      <c r="O20" s="36"/>
      <c r="P20" s="36"/>
      <c r="Q20" s="38"/>
      <c r="R20" s="19"/>
      <c r="S20" s="19"/>
    </row>
    <row r="21" spans="2:25" s="17" customFormat="1">
      <c r="B21" s="18"/>
      <c r="C21" s="19"/>
      <c r="D21" s="18"/>
      <c r="E21" s="19"/>
      <c r="F21" s="19"/>
      <c r="G21" s="18"/>
      <c r="H21" s="26"/>
      <c r="I21" s="26"/>
      <c r="J21" s="23"/>
      <c r="K21" s="23"/>
      <c r="L21" s="47"/>
      <c r="M21" s="47"/>
      <c r="N21" s="47"/>
      <c r="O21" s="36"/>
      <c r="P21" s="36"/>
      <c r="Q21" s="38"/>
      <c r="R21" s="19"/>
      <c r="S21" s="19"/>
    </row>
    <row r="22" spans="2:25" s="17" customFormat="1">
      <c r="B22" s="18"/>
      <c r="C22" s="19"/>
      <c r="D22" s="18"/>
      <c r="E22" s="19"/>
      <c r="F22" s="19"/>
      <c r="G22" s="18"/>
      <c r="H22" s="26"/>
      <c r="I22" s="26"/>
      <c r="J22" s="23"/>
      <c r="K22" s="23"/>
      <c r="L22" s="47"/>
      <c r="M22" s="47"/>
      <c r="N22" s="47"/>
      <c r="O22" s="36"/>
      <c r="P22" s="36"/>
      <c r="Q22" s="38"/>
      <c r="R22" s="19"/>
      <c r="S22" s="19"/>
    </row>
    <row r="23" spans="2:25" s="17" customFormat="1">
      <c r="B23" s="18"/>
      <c r="C23" s="19"/>
      <c r="D23" s="18"/>
      <c r="E23" s="19"/>
      <c r="F23" s="19"/>
      <c r="G23" s="18"/>
      <c r="H23" s="26"/>
      <c r="I23" s="26"/>
      <c r="J23" s="23"/>
      <c r="K23" s="23"/>
      <c r="L23" s="47"/>
      <c r="M23" s="47"/>
      <c r="N23" s="47"/>
      <c r="O23" s="36"/>
      <c r="P23" s="36"/>
      <c r="Q23" s="38"/>
      <c r="R23" s="19"/>
      <c r="S23" s="19"/>
    </row>
    <row r="24" spans="2:25" s="17" customFormat="1">
      <c r="B24" s="18"/>
      <c r="C24" s="19"/>
      <c r="D24" s="18"/>
      <c r="E24" s="19"/>
      <c r="F24" s="19"/>
      <c r="G24" s="18"/>
      <c r="H24" s="26"/>
      <c r="I24" s="26"/>
      <c r="J24" s="23"/>
      <c r="K24" s="23"/>
      <c r="L24" s="47"/>
      <c r="M24" s="47"/>
      <c r="N24" s="47"/>
      <c r="O24" s="36"/>
      <c r="P24" s="36"/>
      <c r="Q24" s="38"/>
      <c r="R24" s="19"/>
      <c r="S24" s="19"/>
    </row>
    <row r="25" spans="2:25" s="17" customFormat="1">
      <c r="B25" s="18"/>
      <c r="C25" s="19"/>
      <c r="D25" s="18"/>
      <c r="E25" s="19"/>
      <c r="F25" s="19"/>
      <c r="G25" s="18"/>
      <c r="H25" s="26"/>
      <c r="I25" s="26"/>
      <c r="J25" s="23"/>
      <c r="K25" s="23"/>
      <c r="L25" s="47"/>
      <c r="M25" s="47"/>
      <c r="N25" s="47"/>
      <c r="O25" s="36"/>
      <c r="P25" s="36"/>
      <c r="Q25" s="38"/>
      <c r="R25" s="19"/>
      <c r="S25" s="19"/>
    </row>
    <row r="26" spans="2:25" s="17" customFormat="1">
      <c r="B26" s="18"/>
      <c r="C26" s="19"/>
      <c r="D26" s="18"/>
      <c r="E26" s="19"/>
      <c r="F26" s="19"/>
      <c r="G26" s="18"/>
      <c r="H26" s="26"/>
      <c r="I26" s="26"/>
      <c r="J26" s="23"/>
      <c r="K26" s="23"/>
      <c r="L26" s="47"/>
      <c r="M26" s="47"/>
      <c r="N26" s="47"/>
      <c r="O26" s="36"/>
      <c r="P26" s="36"/>
      <c r="Q26" s="38"/>
      <c r="R26" s="19"/>
      <c r="S26" s="19"/>
    </row>
    <row r="27" spans="2:25" s="17" customFormat="1">
      <c r="B27" s="18"/>
      <c r="C27" s="19"/>
      <c r="D27" s="18"/>
      <c r="E27" s="19"/>
      <c r="F27" s="19"/>
      <c r="G27" s="18"/>
      <c r="H27" s="26"/>
      <c r="I27" s="26"/>
      <c r="J27" s="23"/>
      <c r="K27" s="23"/>
      <c r="L27" s="47"/>
      <c r="M27" s="47"/>
      <c r="N27" s="47"/>
      <c r="O27" s="36"/>
      <c r="P27" s="36"/>
      <c r="Q27" s="38"/>
      <c r="R27" s="19"/>
      <c r="S27" s="19"/>
    </row>
    <row r="28" spans="2:25" s="17" customFormat="1">
      <c r="B28" s="18"/>
      <c r="C28" s="19"/>
      <c r="D28" s="18"/>
      <c r="E28" s="19"/>
      <c r="F28" s="19"/>
      <c r="G28" s="18"/>
      <c r="H28" s="26"/>
      <c r="I28" s="26"/>
      <c r="J28" s="23"/>
      <c r="K28" s="23"/>
      <c r="L28" s="47"/>
      <c r="M28" s="47"/>
      <c r="N28" s="47"/>
      <c r="O28" s="36"/>
      <c r="P28" s="36"/>
      <c r="Q28" s="38"/>
      <c r="R28" s="19"/>
      <c r="S28" s="19"/>
    </row>
    <row r="29" spans="2:25" s="17" customFormat="1">
      <c r="B29" s="18"/>
      <c r="C29" s="19"/>
      <c r="D29" s="18"/>
      <c r="E29" s="19"/>
      <c r="F29" s="19"/>
      <c r="G29" s="18"/>
      <c r="H29" s="26"/>
      <c r="I29" s="26"/>
      <c r="J29" s="23"/>
      <c r="K29" s="23"/>
      <c r="L29" s="47"/>
      <c r="M29" s="47"/>
      <c r="N29" s="47"/>
      <c r="O29" s="36"/>
      <c r="P29" s="36"/>
      <c r="Q29" s="38"/>
      <c r="R29" s="19"/>
      <c r="S29" s="19"/>
    </row>
    <row r="30" spans="2:25" s="17" customFormat="1">
      <c r="B30" s="18"/>
      <c r="C30" s="19"/>
      <c r="D30" s="18"/>
      <c r="E30" s="19"/>
      <c r="F30" s="19"/>
      <c r="G30" s="18"/>
      <c r="H30" s="26"/>
      <c r="I30" s="26"/>
      <c r="J30" s="23"/>
      <c r="K30" s="23"/>
      <c r="L30" s="47"/>
      <c r="M30" s="47"/>
      <c r="N30" s="47"/>
      <c r="O30" s="36"/>
      <c r="P30" s="36"/>
      <c r="Q30" s="38"/>
      <c r="R30" s="19"/>
      <c r="S30" s="19"/>
    </row>
    <row r="31" spans="2:25" s="17" customFormat="1">
      <c r="B31" s="18"/>
      <c r="C31" s="19"/>
      <c r="D31" s="18"/>
      <c r="E31" s="19"/>
      <c r="F31" s="19"/>
      <c r="G31" s="18"/>
      <c r="H31" s="26"/>
      <c r="I31" s="26"/>
      <c r="J31" s="23"/>
      <c r="K31" s="23"/>
      <c r="L31" s="47"/>
      <c r="M31" s="47"/>
      <c r="N31" s="47"/>
      <c r="O31" s="36"/>
      <c r="P31" s="36"/>
      <c r="Q31" s="38"/>
      <c r="R31" s="19"/>
      <c r="S31" s="19"/>
    </row>
    <row r="32" spans="2:25" s="17" customFormat="1">
      <c r="B32" s="18"/>
      <c r="C32" s="19"/>
      <c r="D32" s="18"/>
      <c r="E32" s="19"/>
      <c r="F32" s="19"/>
      <c r="G32" s="18"/>
      <c r="H32" s="26"/>
      <c r="I32" s="26"/>
      <c r="J32" s="23"/>
      <c r="K32" s="23"/>
      <c r="L32" s="47"/>
      <c r="M32" s="47"/>
      <c r="N32" s="47"/>
      <c r="O32" s="36"/>
      <c r="P32" s="36"/>
      <c r="Q32" s="38"/>
      <c r="R32" s="19"/>
      <c r="S32" s="19"/>
    </row>
    <row r="33" spans="2:19" s="17" customFormat="1">
      <c r="B33" s="18"/>
      <c r="C33" s="19"/>
      <c r="D33" s="18"/>
      <c r="E33" s="19"/>
      <c r="F33" s="19"/>
      <c r="G33" s="18"/>
      <c r="H33" s="26"/>
      <c r="I33" s="26"/>
      <c r="J33" s="23"/>
      <c r="K33" s="23"/>
      <c r="L33" s="47"/>
      <c r="M33" s="47"/>
      <c r="N33" s="47"/>
      <c r="O33" s="36"/>
      <c r="P33" s="36"/>
      <c r="Q33" s="38"/>
      <c r="R33" s="19"/>
      <c r="S33" s="19"/>
    </row>
    <row r="34" spans="2:19">
      <c r="B34" s="2"/>
      <c r="C34" s="91"/>
      <c r="D34" s="91"/>
      <c r="E34" s="91"/>
      <c r="F34" s="91"/>
      <c r="G34" s="91"/>
      <c r="H34" s="91"/>
      <c r="I34" s="91"/>
      <c r="J34" s="24"/>
      <c r="K34" s="24"/>
      <c r="L34" s="49">
        <f>SUM(L4:L33)</f>
        <v>0</v>
      </c>
      <c r="M34" s="49">
        <f>SUM(M4:M33)</f>
        <v>0</v>
      </c>
      <c r="N34" s="49">
        <f t="shared" ref="N34:P34" si="0">SUM(N4:N33)</f>
        <v>0</v>
      </c>
      <c r="O34" s="37">
        <f t="shared" si="0"/>
        <v>0</v>
      </c>
      <c r="P34" s="37">
        <f t="shared" si="0"/>
        <v>0</v>
      </c>
      <c r="Q34" s="38">
        <f>SUM(Q4:Q33)</f>
        <v>0</v>
      </c>
      <c r="R34" s="8"/>
      <c r="S34" s="8"/>
    </row>
    <row r="35" spans="2:19">
      <c r="L35" s="50"/>
      <c r="M35" s="50"/>
      <c r="N35" s="50"/>
      <c r="O35" s="50"/>
      <c r="Q35" s="50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AC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/>
  <cols>
    <col min="1" max="1" width="4.25" customWidth="1"/>
    <col min="2" max="2" width="5.75" style="1" customWidth="1"/>
    <col min="3" max="3" width="13.25" style="7" bestFit="1" customWidth="1"/>
    <col min="4" max="4" width="9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6" bestFit="1" customWidth="1"/>
    <col min="13" max="14" width="18.75" style="46" bestFit="1" customWidth="1"/>
    <col min="15" max="15" width="16.75" style="46" bestFit="1" customWidth="1"/>
    <col min="16" max="16" width="16.5" style="34" bestFit="1" customWidth="1"/>
    <col min="17" max="17" width="16.08203125" style="46" customWidth="1"/>
    <col min="18" max="18" width="40.08203125" style="10" bestFit="1" customWidth="1"/>
    <col min="19" max="19" width="33.58203125" style="10" bestFit="1" customWidth="1"/>
    <col min="20" max="20" width="35.5" bestFit="1" customWidth="1"/>
    <col min="21" max="22" width="11" bestFit="1" customWidth="1"/>
  </cols>
  <sheetData>
    <row r="2" spans="1:29">
      <c r="B2" s="6"/>
      <c r="D2" s="6"/>
    </row>
    <row r="3" spans="1:29" s="1" customFormat="1">
      <c r="B3" s="106" t="s">
        <v>0</v>
      </c>
      <c r="C3" s="107" t="s">
        <v>1</v>
      </c>
      <c r="D3" s="106" t="s">
        <v>3</v>
      </c>
      <c r="E3" s="107" t="s">
        <v>26</v>
      </c>
      <c r="F3" s="107" t="s">
        <v>10</v>
      </c>
      <c r="G3" s="107" t="s">
        <v>27</v>
      </c>
      <c r="H3" s="108" t="s">
        <v>28</v>
      </c>
      <c r="I3" s="108" t="s">
        <v>9</v>
      </c>
      <c r="J3" s="109" t="s">
        <v>7</v>
      </c>
      <c r="K3" s="109" t="s">
        <v>11</v>
      </c>
      <c r="L3" s="110" t="s">
        <v>5</v>
      </c>
      <c r="M3" s="111" t="s">
        <v>35</v>
      </c>
      <c r="N3" s="112" t="s">
        <v>55</v>
      </c>
      <c r="O3" s="110" t="s">
        <v>38</v>
      </c>
      <c r="P3" s="110" t="s">
        <v>25</v>
      </c>
      <c r="Q3" s="110" t="s">
        <v>29</v>
      </c>
      <c r="R3" s="113" t="s">
        <v>2</v>
      </c>
      <c r="S3" s="113" t="s">
        <v>30</v>
      </c>
    </row>
    <row r="4" spans="1:29" s="1" customFormat="1" ht="153">
      <c r="B4" s="15">
        <v>1</v>
      </c>
      <c r="C4" s="16" t="s">
        <v>33</v>
      </c>
      <c r="D4" s="15" t="s">
        <v>42</v>
      </c>
      <c r="E4" s="29"/>
      <c r="F4" s="29"/>
      <c r="G4" s="70">
        <v>45930</v>
      </c>
      <c r="H4" s="74"/>
      <c r="I4" s="74"/>
      <c r="J4" s="16" t="s">
        <v>51</v>
      </c>
      <c r="K4" s="16"/>
      <c r="L4" s="37">
        <v>294790700</v>
      </c>
      <c r="M4" s="37">
        <v>294790700</v>
      </c>
      <c r="N4" s="47">
        <v>0</v>
      </c>
      <c r="O4" s="36">
        <v>0</v>
      </c>
      <c r="P4" s="36">
        <v>0</v>
      </c>
      <c r="Q4" s="38">
        <f>O4-P4</f>
        <v>0</v>
      </c>
      <c r="R4" s="16" t="s">
        <v>56</v>
      </c>
      <c r="S4" s="16" t="s">
        <v>57</v>
      </c>
      <c r="T4" s="102"/>
      <c r="U4" s="117"/>
      <c r="V4" s="117"/>
      <c r="W4" s="117"/>
      <c r="X4" s="117"/>
      <c r="Y4" s="117"/>
      <c r="Z4" s="117"/>
      <c r="AA4" s="117"/>
      <c r="AB4" s="117"/>
      <c r="AC4" s="117"/>
    </row>
    <row r="5" spans="1:29" s="17" customFormat="1">
      <c r="A5" s="1"/>
      <c r="B5" s="15"/>
      <c r="C5" s="93"/>
      <c r="D5" s="92"/>
      <c r="E5" s="93"/>
      <c r="F5" s="93"/>
      <c r="G5" s="94"/>
      <c r="H5" s="114"/>
      <c r="I5" s="95"/>
      <c r="J5" s="93"/>
      <c r="K5" s="93"/>
      <c r="L5" s="96"/>
      <c r="M5" s="96"/>
      <c r="N5" s="115"/>
      <c r="O5" s="98"/>
      <c r="P5" s="98"/>
      <c r="Q5" s="99"/>
      <c r="R5" s="116"/>
      <c r="S5" s="93"/>
      <c r="T5" s="102"/>
      <c r="U5" s="102"/>
      <c r="V5" s="102"/>
      <c r="W5" s="102"/>
      <c r="X5" s="102"/>
      <c r="Y5" s="102"/>
      <c r="Z5" s="102"/>
      <c r="AA5" s="102"/>
      <c r="AB5" s="102"/>
      <c r="AC5" s="102"/>
    </row>
    <row r="6" spans="1:29" s="17" customFormat="1">
      <c r="B6" s="15"/>
      <c r="C6" s="16"/>
      <c r="D6" s="15"/>
      <c r="E6" s="29"/>
      <c r="F6" s="29"/>
      <c r="G6" s="70"/>
      <c r="H6" s="74"/>
      <c r="I6" s="74"/>
      <c r="J6" s="16"/>
      <c r="K6" s="16"/>
      <c r="L6" s="37"/>
      <c r="M6" s="37"/>
      <c r="N6" s="47"/>
      <c r="O6" s="36"/>
      <c r="P6" s="36"/>
      <c r="Q6" s="38"/>
      <c r="R6" s="29"/>
      <c r="S6" s="16"/>
    </row>
    <row r="7" spans="1:29" s="17" customFormat="1">
      <c r="B7" s="15"/>
      <c r="C7" s="16"/>
      <c r="D7" s="15"/>
      <c r="E7" s="16"/>
      <c r="F7" s="16"/>
      <c r="G7" s="15"/>
      <c r="H7" s="25"/>
      <c r="I7" s="25"/>
      <c r="J7" s="16"/>
      <c r="K7" s="16"/>
      <c r="L7" s="37"/>
      <c r="M7" s="37"/>
      <c r="N7" s="51"/>
      <c r="O7" s="51"/>
      <c r="P7" s="36"/>
      <c r="Q7" s="38"/>
      <c r="R7" s="16"/>
      <c r="S7" s="16"/>
    </row>
    <row r="8" spans="1:29" s="17" customFormat="1">
      <c r="B8" s="15"/>
      <c r="C8" s="16"/>
      <c r="D8" s="15"/>
      <c r="E8" s="16"/>
      <c r="F8" s="16"/>
      <c r="G8" s="15"/>
      <c r="H8" s="25"/>
      <c r="I8" s="25"/>
      <c r="J8" s="16"/>
      <c r="K8" s="16"/>
      <c r="L8" s="37"/>
      <c r="M8" s="37"/>
      <c r="N8" s="51"/>
      <c r="O8" s="51"/>
      <c r="P8" s="36"/>
      <c r="Q8" s="38"/>
      <c r="R8" s="16"/>
      <c r="S8" s="16"/>
    </row>
    <row r="9" spans="1:29" s="17" customFormat="1">
      <c r="B9" s="52"/>
      <c r="C9" s="23"/>
      <c r="D9" s="52"/>
      <c r="E9" s="23"/>
      <c r="F9" s="23"/>
      <c r="G9" s="52"/>
      <c r="H9" s="26"/>
      <c r="I9" s="26"/>
      <c r="J9" s="23"/>
      <c r="K9" s="23"/>
      <c r="L9" s="47"/>
      <c r="M9" s="37"/>
      <c r="N9" s="48"/>
      <c r="O9" s="48"/>
      <c r="P9" s="36"/>
      <c r="Q9" s="38"/>
      <c r="R9" s="30"/>
      <c r="S9" s="45"/>
    </row>
    <row r="10" spans="1:29" s="17" customFormat="1">
      <c r="A10" s="1"/>
      <c r="B10" s="15"/>
      <c r="C10" s="16"/>
      <c r="D10" s="15"/>
      <c r="E10" s="16"/>
      <c r="F10" s="16"/>
      <c r="G10" s="15"/>
      <c r="H10" s="25"/>
      <c r="I10" s="25"/>
      <c r="J10" s="16"/>
      <c r="K10" s="16"/>
      <c r="L10" s="37"/>
      <c r="M10" s="37"/>
      <c r="N10" s="37"/>
      <c r="O10" s="37"/>
      <c r="P10" s="36"/>
      <c r="Q10" s="38"/>
      <c r="R10" s="16"/>
      <c r="S10" s="29"/>
    </row>
    <row r="11" spans="1:29" s="17" customFormat="1">
      <c r="B11" s="15"/>
      <c r="C11" s="16"/>
      <c r="D11" s="15"/>
      <c r="E11" s="16"/>
      <c r="F11" s="16"/>
      <c r="G11" s="15"/>
      <c r="H11" s="25"/>
      <c r="I11" s="25"/>
      <c r="J11" s="16"/>
      <c r="K11" s="16"/>
      <c r="L11" s="37"/>
      <c r="M11" s="37"/>
      <c r="N11" s="37"/>
      <c r="O11" s="37"/>
      <c r="P11" s="36"/>
      <c r="Q11" s="38"/>
      <c r="R11" s="16"/>
      <c r="S11" s="29"/>
    </row>
    <row r="12" spans="1:29" s="17" customFormat="1">
      <c r="B12" s="15"/>
      <c r="C12" s="16"/>
      <c r="D12" s="15"/>
      <c r="E12" s="16"/>
      <c r="F12" s="16"/>
      <c r="G12" s="15"/>
      <c r="H12" s="25"/>
      <c r="I12" s="25"/>
      <c r="J12" s="16"/>
      <c r="K12" s="16"/>
      <c r="L12" s="37"/>
      <c r="M12" s="37"/>
      <c r="N12" s="37"/>
      <c r="O12" s="37"/>
      <c r="P12" s="36"/>
      <c r="Q12" s="38"/>
      <c r="R12" s="16"/>
      <c r="S12" s="39"/>
    </row>
    <row r="13" spans="1:29" s="17" customFormat="1">
      <c r="B13" s="15"/>
      <c r="C13" s="16"/>
      <c r="D13" s="15"/>
      <c r="E13" s="16"/>
      <c r="F13" s="16"/>
      <c r="G13" s="15"/>
      <c r="H13" s="25"/>
      <c r="I13" s="25"/>
      <c r="J13" s="16"/>
      <c r="K13" s="16"/>
      <c r="L13" s="37"/>
      <c r="M13" s="37"/>
      <c r="N13" s="37"/>
      <c r="O13" s="37"/>
      <c r="P13" s="36"/>
      <c r="Q13" s="38"/>
      <c r="R13" s="16"/>
      <c r="S13" s="16"/>
    </row>
    <row r="14" spans="1:29" s="17" customFormat="1">
      <c r="B14" s="15"/>
      <c r="C14" s="16"/>
      <c r="D14" s="15"/>
      <c r="E14" s="16"/>
      <c r="F14" s="16"/>
      <c r="G14" s="15"/>
      <c r="H14" s="25"/>
      <c r="I14" s="25"/>
      <c r="J14" s="16"/>
      <c r="K14" s="16"/>
      <c r="L14" s="37"/>
      <c r="M14" s="37"/>
      <c r="N14" s="37"/>
      <c r="O14" s="37"/>
      <c r="P14" s="36"/>
      <c r="Q14" s="38"/>
      <c r="R14" s="16"/>
      <c r="S14" s="16"/>
    </row>
    <row r="15" spans="1:29" s="17" customFormat="1">
      <c r="B15" s="15"/>
      <c r="C15" s="16"/>
      <c r="D15" s="15"/>
      <c r="E15" s="16"/>
      <c r="F15" s="16"/>
      <c r="G15" s="15"/>
      <c r="H15" s="25"/>
      <c r="I15" s="25"/>
      <c r="J15" s="16"/>
      <c r="K15" s="16"/>
      <c r="L15" s="37"/>
      <c r="M15" s="37"/>
      <c r="N15" s="37"/>
      <c r="O15" s="37"/>
      <c r="P15" s="36"/>
      <c r="Q15" s="38"/>
      <c r="R15" s="16"/>
      <c r="S15" s="16"/>
    </row>
    <row r="16" spans="1:29" s="17" customFormat="1">
      <c r="B16" s="15"/>
      <c r="C16" s="16"/>
      <c r="D16" s="15"/>
      <c r="E16" s="16"/>
      <c r="F16" s="16"/>
      <c r="G16" s="15"/>
      <c r="H16" s="25"/>
      <c r="I16" s="25"/>
      <c r="J16" s="16"/>
      <c r="K16" s="16"/>
      <c r="L16" s="37"/>
      <c r="M16" s="37"/>
      <c r="N16" s="37"/>
      <c r="O16" s="37"/>
      <c r="P16" s="36"/>
      <c r="Q16" s="38"/>
      <c r="R16" s="16"/>
      <c r="S16" s="16"/>
    </row>
    <row r="17" spans="2:19" s="17" customFormat="1">
      <c r="B17" s="15"/>
      <c r="C17" s="16"/>
      <c r="D17" s="15"/>
      <c r="E17" s="16"/>
      <c r="F17" s="16"/>
      <c r="G17" s="15"/>
      <c r="H17" s="25"/>
      <c r="I17" s="25"/>
      <c r="J17" s="16"/>
      <c r="K17" s="16"/>
      <c r="L17" s="37"/>
      <c r="M17" s="37"/>
      <c r="N17" s="37"/>
      <c r="O17" s="37"/>
      <c r="P17" s="36"/>
      <c r="Q17" s="38"/>
      <c r="R17" s="16"/>
      <c r="S17" s="16"/>
    </row>
    <row r="18" spans="2:19" s="17" customFormat="1">
      <c r="B18" s="15"/>
      <c r="C18" s="16"/>
      <c r="D18" s="15"/>
      <c r="E18" s="16"/>
      <c r="F18" s="16"/>
      <c r="G18" s="15"/>
      <c r="H18" s="25"/>
      <c r="I18" s="25"/>
      <c r="J18" s="16"/>
      <c r="K18" s="16"/>
      <c r="L18" s="37"/>
      <c r="M18" s="37"/>
      <c r="N18" s="37"/>
      <c r="O18" s="37"/>
      <c r="P18" s="36"/>
      <c r="Q18" s="38"/>
      <c r="R18" s="16"/>
      <c r="S18" s="16"/>
    </row>
    <row r="19" spans="2:19" s="17" customFormat="1">
      <c r="B19" s="15"/>
      <c r="C19" s="16"/>
      <c r="D19" s="15"/>
      <c r="E19" s="16"/>
      <c r="F19" s="16"/>
      <c r="G19" s="15"/>
      <c r="H19" s="25"/>
      <c r="I19" s="25"/>
      <c r="J19" s="16"/>
      <c r="K19" s="16"/>
      <c r="L19" s="37"/>
      <c r="M19" s="37"/>
      <c r="N19" s="37"/>
      <c r="O19" s="37"/>
      <c r="P19" s="36"/>
      <c r="Q19" s="38"/>
      <c r="R19" s="16"/>
      <c r="S19" s="16"/>
    </row>
    <row r="20" spans="2:19" s="17" customFormat="1">
      <c r="B20" s="15"/>
      <c r="C20" s="16"/>
      <c r="D20" s="15"/>
      <c r="E20" s="16"/>
      <c r="F20" s="16"/>
      <c r="G20" s="15"/>
      <c r="H20" s="26"/>
      <c r="I20" s="25"/>
      <c r="J20" s="16"/>
      <c r="K20" s="16"/>
      <c r="L20" s="37"/>
      <c r="M20" s="37"/>
      <c r="N20" s="47"/>
      <c r="O20" s="47"/>
      <c r="P20" s="36"/>
      <c r="Q20" s="38"/>
      <c r="R20" s="16"/>
      <c r="S20" s="29"/>
    </row>
    <row r="21" spans="2:19" s="17" customFormat="1">
      <c r="B21" s="15"/>
      <c r="C21" s="16"/>
      <c r="D21" s="15"/>
      <c r="E21" s="16"/>
      <c r="F21" s="16"/>
      <c r="G21" s="15"/>
      <c r="H21" s="26"/>
      <c r="I21" s="25"/>
      <c r="J21" s="16"/>
      <c r="K21" s="16"/>
      <c r="L21" s="37"/>
      <c r="M21" s="37"/>
      <c r="N21" s="47"/>
      <c r="O21" s="47"/>
      <c r="P21" s="36"/>
      <c r="Q21" s="38"/>
      <c r="R21" s="23"/>
      <c r="S21" s="29"/>
    </row>
    <row r="22" spans="2:19" s="17" customFormat="1">
      <c r="B22" s="15"/>
      <c r="C22" s="16"/>
      <c r="D22" s="15"/>
      <c r="E22" s="16"/>
      <c r="F22" s="16"/>
      <c r="G22" s="15"/>
      <c r="H22" s="26"/>
      <c r="I22" s="25"/>
      <c r="J22" s="16"/>
      <c r="K22" s="16"/>
      <c r="L22" s="37"/>
      <c r="M22" s="37"/>
      <c r="N22" s="47"/>
      <c r="O22" s="47"/>
      <c r="P22" s="36"/>
      <c r="Q22" s="38"/>
      <c r="R22" s="16"/>
      <c r="S22" s="16"/>
    </row>
    <row r="23" spans="2:19" s="17" customFormat="1">
      <c r="B23" s="15"/>
      <c r="C23" s="16"/>
      <c r="D23" s="15"/>
      <c r="E23" s="16"/>
      <c r="F23" s="16"/>
      <c r="G23" s="15"/>
      <c r="H23" s="26"/>
      <c r="I23" s="25"/>
      <c r="J23" s="16"/>
      <c r="K23" s="16"/>
      <c r="L23" s="37"/>
      <c r="M23" s="37"/>
      <c r="N23" s="47"/>
      <c r="O23" s="47"/>
      <c r="P23" s="36"/>
      <c r="Q23" s="38"/>
      <c r="R23" s="16"/>
      <c r="S23" s="16"/>
    </row>
    <row r="24" spans="2:19" s="17" customFormat="1">
      <c r="B24" s="15"/>
      <c r="C24" s="16"/>
      <c r="D24" s="15"/>
      <c r="E24" s="16"/>
      <c r="F24" s="16"/>
      <c r="G24" s="15"/>
      <c r="H24" s="26"/>
      <c r="I24" s="25"/>
      <c r="J24" s="16"/>
      <c r="K24" s="16"/>
      <c r="L24" s="37"/>
      <c r="M24" s="37"/>
      <c r="N24" s="47"/>
      <c r="O24" s="47"/>
      <c r="P24" s="36"/>
      <c r="Q24" s="38"/>
      <c r="R24" s="16"/>
      <c r="S24" s="16"/>
    </row>
    <row r="25" spans="2:19" s="17" customFormat="1">
      <c r="B25" s="15"/>
      <c r="C25" s="16"/>
      <c r="D25" s="15"/>
      <c r="E25" s="16"/>
      <c r="F25" s="16"/>
      <c r="G25" s="15"/>
      <c r="H25" s="26"/>
      <c r="I25" s="25"/>
      <c r="J25" s="16"/>
      <c r="K25" s="16"/>
      <c r="L25" s="37"/>
      <c r="M25" s="37"/>
      <c r="N25" s="47"/>
      <c r="O25" s="47"/>
      <c r="P25" s="36"/>
      <c r="Q25" s="38"/>
      <c r="R25" s="16"/>
      <c r="S25" s="16"/>
    </row>
    <row r="26" spans="2:19" s="17" customFormat="1">
      <c r="B26" s="15"/>
      <c r="C26" s="16"/>
      <c r="D26" s="15"/>
      <c r="E26" s="16"/>
      <c r="F26" s="16"/>
      <c r="G26" s="15"/>
      <c r="H26" s="26"/>
      <c r="I26" s="25"/>
      <c r="J26" s="16"/>
      <c r="K26" s="16"/>
      <c r="L26" s="37"/>
      <c r="M26" s="37"/>
      <c r="N26" s="47"/>
      <c r="O26" s="47"/>
      <c r="P26" s="36"/>
      <c r="Q26" s="38"/>
      <c r="R26" s="16"/>
      <c r="S26" s="16"/>
    </row>
    <row r="27" spans="2:19" s="17" customFormat="1">
      <c r="B27" s="15"/>
      <c r="C27" s="16"/>
      <c r="D27" s="15"/>
      <c r="E27" s="16"/>
      <c r="F27" s="16"/>
      <c r="G27" s="15"/>
      <c r="H27" s="26"/>
      <c r="I27" s="25"/>
      <c r="J27" s="16"/>
      <c r="K27" s="16"/>
      <c r="L27" s="37"/>
      <c r="M27" s="37"/>
      <c r="N27" s="47"/>
      <c r="O27" s="47"/>
      <c r="P27" s="36"/>
      <c r="Q27" s="38"/>
      <c r="R27" s="16"/>
      <c r="S27" s="16"/>
    </row>
    <row r="28" spans="2:19" s="17" customFormat="1">
      <c r="B28" s="15"/>
      <c r="C28" s="16"/>
      <c r="D28" s="15"/>
      <c r="E28" s="16"/>
      <c r="F28" s="16"/>
      <c r="G28" s="15"/>
      <c r="H28" s="26"/>
      <c r="I28" s="25"/>
      <c r="J28" s="16"/>
      <c r="K28" s="16"/>
      <c r="L28" s="37"/>
      <c r="M28" s="37"/>
      <c r="N28" s="47"/>
      <c r="O28" s="47"/>
      <c r="P28" s="36"/>
      <c r="Q28" s="38"/>
      <c r="R28" s="16"/>
      <c r="S28" s="16"/>
    </row>
    <row r="29" spans="2:19" s="17" customFormat="1">
      <c r="B29" s="15"/>
      <c r="C29" s="16"/>
      <c r="D29" s="15"/>
      <c r="E29" s="16"/>
      <c r="F29" s="16"/>
      <c r="G29" s="15"/>
      <c r="H29" s="26"/>
      <c r="I29" s="25"/>
      <c r="J29" s="16"/>
      <c r="K29" s="16"/>
      <c r="L29" s="37"/>
      <c r="M29" s="37"/>
      <c r="N29" s="47"/>
      <c r="O29" s="47"/>
      <c r="P29" s="36"/>
      <c r="Q29" s="38"/>
      <c r="R29" s="16"/>
      <c r="S29" s="16"/>
    </row>
    <row r="30" spans="2:19" s="17" customFormat="1">
      <c r="B30" s="15"/>
      <c r="C30" s="16"/>
      <c r="D30" s="15"/>
      <c r="E30" s="16"/>
      <c r="F30" s="16"/>
      <c r="G30" s="15"/>
      <c r="H30" s="26"/>
      <c r="I30" s="25"/>
      <c r="J30" s="16"/>
      <c r="K30" s="16"/>
      <c r="L30" s="37"/>
      <c r="M30" s="37"/>
      <c r="N30" s="47"/>
      <c r="O30" s="47"/>
      <c r="P30" s="36"/>
      <c r="Q30" s="38"/>
      <c r="R30" s="16"/>
      <c r="S30" s="16"/>
    </row>
    <row r="31" spans="2:19" s="17" customFormat="1">
      <c r="B31" s="15"/>
      <c r="C31" s="16"/>
      <c r="D31" s="15"/>
      <c r="E31" s="16"/>
      <c r="F31" s="16"/>
      <c r="G31" s="15"/>
      <c r="H31" s="26"/>
      <c r="I31" s="25"/>
      <c r="J31" s="16"/>
      <c r="K31" s="16"/>
      <c r="L31" s="37"/>
      <c r="M31" s="37"/>
      <c r="N31" s="47"/>
      <c r="O31" s="47"/>
      <c r="P31" s="36"/>
      <c r="Q31" s="38"/>
      <c r="R31" s="16"/>
      <c r="S31" s="16"/>
    </row>
    <row r="32" spans="2:19" s="17" customFormat="1">
      <c r="B32" s="15"/>
      <c r="C32" s="16"/>
      <c r="D32" s="15"/>
      <c r="E32" s="16"/>
      <c r="F32" s="16"/>
      <c r="G32" s="15"/>
      <c r="H32" s="25"/>
      <c r="I32" s="25"/>
      <c r="J32" s="16"/>
      <c r="K32" s="16"/>
      <c r="L32" s="37"/>
      <c r="M32" s="37"/>
      <c r="N32" s="37"/>
      <c r="O32" s="37"/>
      <c r="P32" s="36"/>
      <c r="Q32" s="38"/>
      <c r="R32" s="16"/>
      <c r="S32" s="29"/>
    </row>
    <row r="33" spans="2:19" s="17" customFormat="1">
      <c r="B33" s="15"/>
      <c r="C33" s="16"/>
      <c r="D33" s="15"/>
      <c r="E33" s="16"/>
      <c r="F33" s="16"/>
      <c r="G33" s="15"/>
      <c r="H33" s="25"/>
      <c r="I33" s="25"/>
      <c r="J33" s="16"/>
      <c r="K33" s="16"/>
      <c r="L33" s="37"/>
      <c r="M33" s="37"/>
      <c r="N33" s="37"/>
      <c r="O33" s="37"/>
      <c r="P33" s="36"/>
      <c r="Q33" s="38"/>
      <c r="R33" s="16"/>
      <c r="S33" s="29"/>
    </row>
    <row r="34" spans="2:19">
      <c r="B34" s="2"/>
      <c r="C34" s="91"/>
      <c r="D34" s="91"/>
      <c r="E34" s="91"/>
      <c r="F34" s="91"/>
      <c r="G34" s="91"/>
      <c r="H34" s="91"/>
      <c r="I34" s="91"/>
      <c r="J34" s="24"/>
      <c r="K34" s="24"/>
      <c r="L34" s="49">
        <f t="shared" ref="L34:Q34" si="0">SUM(L4:L33)</f>
        <v>294790700</v>
      </c>
      <c r="M34" s="49">
        <f t="shared" si="0"/>
        <v>294790700</v>
      </c>
      <c r="N34" s="49">
        <f t="shared" si="0"/>
        <v>0</v>
      </c>
      <c r="O34" s="37">
        <f t="shared" si="0"/>
        <v>0</v>
      </c>
      <c r="P34" s="37">
        <f t="shared" si="0"/>
        <v>0</v>
      </c>
      <c r="Q34" s="38">
        <f t="shared" si="0"/>
        <v>0</v>
      </c>
      <c r="R34" s="8"/>
      <c r="S34" s="8"/>
    </row>
    <row r="35" spans="2:19">
      <c r="L35" s="50"/>
      <c r="M35" s="50"/>
      <c r="N35" s="50"/>
      <c r="O35" s="50"/>
      <c r="Q35" s="50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0BF1-90F8-49D7-99DB-24626B50C1EF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/>
  <cols>
    <col min="1" max="1" width="4.25" customWidth="1"/>
    <col min="2" max="2" width="5.75" style="1" customWidth="1"/>
    <col min="3" max="3" width="14.5" style="7" bestFit="1" customWidth="1"/>
    <col min="4" max="4" width="11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6" bestFit="1" customWidth="1"/>
    <col min="13" max="14" width="18.75" style="46" bestFit="1" customWidth="1"/>
    <col min="15" max="15" width="16.75" style="46" bestFit="1" customWidth="1"/>
    <col min="16" max="16" width="16.5" style="34" bestFit="1" customWidth="1"/>
    <col min="17" max="17" width="16.08203125" style="46" customWidth="1"/>
    <col min="18" max="18" width="40.08203125" style="10" bestFit="1" customWidth="1"/>
    <col min="19" max="19" width="33.582031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106" t="s">
        <v>0</v>
      </c>
      <c r="C3" s="107" t="s">
        <v>1</v>
      </c>
      <c r="D3" s="106" t="s">
        <v>3</v>
      </c>
      <c r="E3" s="107" t="s">
        <v>26</v>
      </c>
      <c r="F3" s="107" t="s">
        <v>10</v>
      </c>
      <c r="G3" s="107" t="s">
        <v>27</v>
      </c>
      <c r="H3" s="108" t="s">
        <v>28</v>
      </c>
      <c r="I3" s="108" t="s">
        <v>9</v>
      </c>
      <c r="J3" s="109" t="s">
        <v>7</v>
      </c>
      <c r="K3" s="109" t="s">
        <v>11</v>
      </c>
      <c r="L3" s="110" t="s">
        <v>5</v>
      </c>
      <c r="M3" s="111" t="s">
        <v>35</v>
      </c>
      <c r="N3" s="112" t="s">
        <v>55</v>
      </c>
      <c r="O3" s="110" t="s">
        <v>38</v>
      </c>
      <c r="P3" s="110" t="s">
        <v>25</v>
      </c>
      <c r="Q3" s="110" t="s">
        <v>29</v>
      </c>
      <c r="R3" s="113" t="s">
        <v>2</v>
      </c>
      <c r="S3" s="113" t="s">
        <v>30</v>
      </c>
    </row>
    <row r="4" spans="1:19" s="118" customFormat="1">
      <c r="B4" s="18">
        <v>1</v>
      </c>
      <c r="C4" s="19" t="s">
        <v>58</v>
      </c>
      <c r="D4" s="18"/>
      <c r="E4" s="19"/>
      <c r="F4" s="19"/>
      <c r="G4" s="71"/>
      <c r="H4" s="71"/>
      <c r="I4" s="119"/>
      <c r="J4" s="119"/>
      <c r="K4" s="19"/>
      <c r="L4" s="38"/>
      <c r="M4" s="38"/>
      <c r="N4" s="38"/>
      <c r="O4" s="120"/>
      <c r="P4" s="120"/>
      <c r="Q4" s="38"/>
      <c r="R4" s="121"/>
      <c r="S4" s="121"/>
    </row>
    <row r="5" spans="1:19" s="17" customFormat="1">
      <c r="A5" s="1"/>
      <c r="B5" s="15"/>
      <c r="C5" s="16"/>
      <c r="D5" s="15"/>
      <c r="E5" s="16"/>
      <c r="F5" s="16"/>
      <c r="G5" s="15"/>
      <c r="H5" s="25"/>
      <c r="I5" s="25"/>
      <c r="J5" s="16"/>
      <c r="K5" s="16"/>
      <c r="L5" s="37"/>
      <c r="M5" s="37"/>
      <c r="N5" s="51"/>
      <c r="O5" s="51"/>
      <c r="P5" s="36"/>
      <c r="Q5" s="38"/>
      <c r="R5" s="16"/>
      <c r="S5" s="16"/>
    </row>
    <row r="6" spans="1:19" s="17" customFormat="1">
      <c r="B6" s="15"/>
      <c r="C6" s="16"/>
      <c r="D6" s="15"/>
      <c r="E6" s="16"/>
      <c r="F6" s="16"/>
      <c r="G6" s="15"/>
      <c r="H6" s="25"/>
      <c r="I6" s="25"/>
      <c r="J6" s="16"/>
      <c r="K6" s="16"/>
      <c r="L6" s="37"/>
      <c r="M6" s="37"/>
      <c r="N6" s="51"/>
      <c r="O6" s="51"/>
      <c r="P6" s="36"/>
      <c r="Q6" s="38"/>
      <c r="R6" s="16"/>
      <c r="S6" s="16"/>
    </row>
    <row r="7" spans="1:19" s="17" customFormat="1">
      <c r="B7" s="15"/>
      <c r="C7" s="16"/>
      <c r="D7" s="15"/>
      <c r="E7" s="16"/>
      <c r="F7" s="16"/>
      <c r="G7" s="15"/>
      <c r="H7" s="25"/>
      <c r="I7" s="25"/>
      <c r="J7" s="16"/>
      <c r="K7" s="16"/>
      <c r="L7" s="37"/>
      <c r="M7" s="37"/>
      <c r="N7" s="51"/>
      <c r="O7" s="51"/>
      <c r="P7" s="36"/>
      <c r="Q7" s="38"/>
      <c r="R7" s="16"/>
      <c r="S7" s="16"/>
    </row>
    <row r="8" spans="1:19" s="17" customFormat="1">
      <c r="B8" s="15"/>
      <c r="C8" s="16"/>
      <c r="D8" s="15"/>
      <c r="E8" s="16"/>
      <c r="F8" s="16"/>
      <c r="G8" s="15"/>
      <c r="H8" s="25"/>
      <c r="I8" s="25"/>
      <c r="J8" s="16"/>
      <c r="K8" s="16"/>
      <c r="L8" s="37"/>
      <c r="M8" s="37"/>
      <c r="N8" s="51"/>
      <c r="O8" s="51"/>
      <c r="P8" s="36"/>
      <c r="Q8" s="38"/>
      <c r="R8" s="16"/>
      <c r="S8" s="16"/>
    </row>
    <row r="9" spans="1:19" s="17" customFormat="1">
      <c r="B9" s="52"/>
      <c r="C9" s="23"/>
      <c r="D9" s="52"/>
      <c r="E9" s="23"/>
      <c r="F9" s="23"/>
      <c r="G9" s="52"/>
      <c r="H9" s="26"/>
      <c r="I9" s="26"/>
      <c r="J9" s="23"/>
      <c r="K9" s="23"/>
      <c r="L9" s="47"/>
      <c r="M9" s="37"/>
      <c r="N9" s="48"/>
      <c r="O9" s="48"/>
      <c r="P9" s="36"/>
      <c r="Q9" s="38"/>
      <c r="R9" s="30"/>
      <c r="S9" s="45"/>
    </row>
    <row r="10" spans="1:19" s="17" customFormat="1">
      <c r="A10" s="1"/>
      <c r="B10" s="15"/>
      <c r="C10" s="16"/>
      <c r="D10" s="15"/>
      <c r="E10" s="16"/>
      <c r="F10" s="16"/>
      <c r="G10" s="15"/>
      <c r="H10" s="25"/>
      <c r="I10" s="25"/>
      <c r="J10" s="16"/>
      <c r="K10" s="16"/>
      <c r="L10" s="37"/>
      <c r="M10" s="37"/>
      <c r="N10" s="37"/>
      <c r="O10" s="37"/>
      <c r="P10" s="36"/>
      <c r="Q10" s="38"/>
      <c r="R10" s="16"/>
      <c r="S10" s="29"/>
    </row>
    <row r="11" spans="1:19" s="17" customFormat="1">
      <c r="B11" s="15"/>
      <c r="C11" s="16"/>
      <c r="D11" s="15"/>
      <c r="E11" s="16"/>
      <c r="F11" s="16"/>
      <c r="G11" s="15"/>
      <c r="H11" s="25"/>
      <c r="I11" s="25"/>
      <c r="J11" s="16"/>
      <c r="K11" s="16"/>
      <c r="L11" s="37"/>
      <c r="M11" s="37"/>
      <c r="N11" s="37"/>
      <c r="O11" s="37"/>
      <c r="P11" s="36"/>
      <c r="Q11" s="38"/>
      <c r="R11" s="16"/>
      <c r="S11" s="29"/>
    </row>
    <row r="12" spans="1:19" s="17" customFormat="1">
      <c r="B12" s="15"/>
      <c r="C12" s="16"/>
      <c r="D12" s="15"/>
      <c r="E12" s="16"/>
      <c r="F12" s="16"/>
      <c r="G12" s="15"/>
      <c r="H12" s="25"/>
      <c r="I12" s="25"/>
      <c r="J12" s="16"/>
      <c r="K12" s="16"/>
      <c r="L12" s="37"/>
      <c r="M12" s="37"/>
      <c r="N12" s="37"/>
      <c r="O12" s="37"/>
      <c r="P12" s="36"/>
      <c r="Q12" s="38"/>
      <c r="R12" s="16"/>
      <c r="S12" s="39"/>
    </row>
    <row r="13" spans="1:19" s="17" customFormat="1">
      <c r="B13" s="15"/>
      <c r="C13" s="16"/>
      <c r="D13" s="15"/>
      <c r="E13" s="16"/>
      <c r="F13" s="16"/>
      <c r="G13" s="15"/>
      <c r="H13" s="25"/>
      <c r="I13" s="25"/>
      <c r="J13" s="16"/>
      <c r="K13" s="16"/>
      <c r="L13" s="37"/>
      <c r="M13" s="37"/>
      <c r="N13" s="37"/>
      <c r="O13" s="37"/>
      <c r="P13" s="36"/>
      <c r="Q13" s="38"/>
      <c r="R13" s="16"/>
      <c r="S13" s="16"/>
    </row>
    <row r="14" spans="1:19" s="17" customFormat="1">
      <c r="B14" s="15"/>
      <c r="C14" s="16"/>
      <c r="D14" s="15"/>
      <c r="E14" s="16"/>
      <c r="F14" s="16"/>
      <c r="G14" s="15"/>
      <c r="H14" s="25"/>
      <c r="I14" s="25"/>
      <c r="J14" s="16"/>
      <c r="K14" s="16"/>
      <c r="L14" s="37"/>
      <c r="M14" s="37"/>
      <c r="N14" s="37"/>
      <c r="O14" s="37"/>
      <c r="P14" s="36"/>
      <c r="Q14" s="38"/>
      <c r="R14" s="16"/>
      <c r="S14" s="16"/>
    </row>
    <row r="15" spans="1:19" s="17" customFormat="1">
      <c r="B15" s="15"/>
      <c r="C15" s="16"/>
      <c r="D15" s="15"/>
      <c r="E15" s="16"/>
      <c r="F15" s="16"/>
      <c r="G15" s="15"/>
      <c r="H15" s="25"/>
      <c r="I15" s="25"/>
      <c r="J15" s="16"/>
      <c r="K15" s="16"/>
      <c r="L15" s="37"/>
      <c r="M15" s="37"/>
      <c r="N15" s="37"/>
      <c r="O15" s="37"/>
      <c r="P15" s="36"/>
      <c r="Q15" s="38"/>
      <c r="R15" s="16"/>
      <c r="S15" s="16"/>
    </row>
    <row r="16" spans="1:19" s="17" customFormat="1">
      <c r="B16" s="15"/>
      <c r="C16" s="16"/>
      <c r="D16" s="15"/>
      <c r="E16" s="16"/>
      <c r="F16" s="16"/>
      <c r="G16" s="15"/>
      <c r="H16" s="25"/>
      <c r="I16" s="25"/>
      <c r="J16" s="16"/>
      <c r="K16" s="16"/>
      <c r="L16" s="37"/>
      <c r="M16" s="37"/>
      <c r="N16" s="37"/>
      <c r="O16" s="37"/>
      <c r="P16" s="36"/>
      <c r="Q16" s="38"/>
      <c r="R16" s="16"/>
      <c r="S16" s="16"/>
    </row>
    <row r="17" spans="2:19" s="17" customFormat="1">
      <c r="B17" s="15"/>
      <c r="C17" s="16"/>
      <c r="D17" s="15"/>
      <c r="E17" s="16"/>
      <c r="F17" s="16"/>
      <c r="G17" s="15"/>
      <c r="H17" s="25"/>
      <c r="I17" s="25"/>
      <c r="J17" s="16"/>
      <c r="K17" s="16"/>
      <c r="L17" s="37"/>
      <c r="M17" s="37"/>
      <c r="N17" s="37"/>
      <c r="O17" s="37"/>
      <c r="P17" s="36"/>
      <c r="Q17" s="38"/>
      <c r="R17" s="16"/>
      <c r="S17" s="16"/>
    </row>
    <row r="18" spans="2:19" s="17" customFormat="1">
      <c r="B18" s="15"/>
      <c r="C18" s="16"/>
      <c r="D18" s="15"/>
      <c r="E18" s="16"/>
      <c r="F18" s="16"/>
      <c r="G18" s="15"/>
      <c r="H18" s="25"/>
      <c r="I18" s="25"/>
      <c r="J18" s="16"/>
      <c r="K18" s="16"/>
      <c r="L18" s="37"/>
      <c r="M18" s="37"/>
      <c r="N18" s="37"/>
      <c r="O18" s="37"/>
      <c r="P18" s="36"/>
      <c r="Q18" s="38"/>
      <c r="R18" s="16"/>
      <c r="S18" s="16"/>
    </row>
    <row r="19" spans="2:19" s="17" customFormat="1">
      <c r="B19" s="15"/>
      <c r="C19" s="16"/>
      <c r="D19" s="15"/>
      <c r="E19" s="16"/>
      <c r="F19" s="16"/>
      <c r="G19" s="15"/>
      <c r="H19" s="25"/>
      <c r="I19" s="25"/>
      <c r="J19" s="16"/>
      <c r="K19" s="16"/>
      <c r="L19" s="37"/>
      <c r="M19" s="37"/>
      <c r="N19" s="37"/>
      <c r="O19" s="37"/>
      <c r="P19" s="36"/>
      <c r="Q19" s="38"/>
      <c r="R19" s="16"/>
      <c r="S19" s="16"/>
    </row>
    <row r="20" spans="2:19" s="17" customFormat="1">
      <c r="B20" s="15"/>
      <c r="C20" s="16"/>
      <c r="D20" s="15"/>
      <c r="E20" s="16"/>
      <c r="F20" s="16"/>
      <c r="G20" s="15"/>
      <c r="H20" s="26"/>
      <c r="I20" s="25"/>
      <c r="J20" s="16"/>
      <c r="K20" s="16"/>
      <c r="L20" s="37"/>
      <c r="M20" s="37"/>
      <c r="N20" s="47"/>
      <c r="O20" s="47"/>
      <c r="P20" s="36"/>
      <c r="Q20" s="38"/>
      <c r="R20" s="16"/>
      <c r="S20" s="29"/>
    </row>
    <row r="21" spans="2:19" s="17" customFormat="1">
      <c r="B21" s="15"/>
      <c r="C21" s="16"/>
      <c r="D21" s="15"/>
      <c r="E21" s="16"/>
      <c r="F21" s="16"/>
      <c r="G21" s="15"/>
      <c r="H21" s="26"/>
      <c r="I21" s="25"/>
      <c r="J21" s="16"/>
      <c r="K21" s="16"/>
      <c r="L21" s="37"/>
      <c r="M21" s="37"/>
      <c r="N21" s="47"/>
      <c r="O21" s="47"/>
      <c r="P21" s="36"/>
      <c r="Q21" s="38"/>
      <c r="R21" s="23"/>
      <c r="S21" s="29"/>
    </row>
    <row r="22" spans="2:19" s="17" customFormat="1">
      <c r="B22" s="15"/>
      <c r="C22" s="16"/>
      <c r="D22" s="15"/>
      <c r="E22" s="16"/>
      <c r="F22" s="16"/>
      <c r="G22" s="15"/>
      <c r="H22" s="26"/>
      <c r="I22" s="25"/>
      <c r="J22" s="16"/>
      <c r="K22" s="16"/>
      <c r="L22" s="37"/>
      <c r="M22" s="37"/>
      <c r="N22" s="47"/>
      <c r="O22" s="47"/>
      <c r="P22" s="36"/>
      <c r="Q22" s="38"/>
      <c r="R22" s="16"/>
      <c r="S22" s="16"/>
    </row>
    <row r="23" spans="2:19" s="17" customFormat="1">
      <c r="B23" s="15"/>
      <c r="C23" s="16"/>
      <c r="D23" s="15"/>
      <c r="E23" s="16"/>
      <c r="F23" s="16"/>
      <c r="G23" s="15"/>
      <c r="H23" s="26"/>
      <c r="I23" s="25"/>
      <c r="J23" s="16"/>
      <c r="K23" s="16"/>
      <c r="L23" s="37"/>
      <c r="M23" s="37"/>
      <c r="N23" s="47"/>
      <c r="O23" s="47"/>
      <c r="P23" s="36"/>
      <c r="Q23" s="38"/>
      <c r="R23" s="16"/>
      <c r="S23" s="16"/>
    </row>
    <row r="24" spans="2:19" s="17" customFormat="1">
      <c r="B24" s="15"/>
      <c r="C24" s="16"/>
      <c r="D24" s="15"/>
      <c r="E24" s="16"/>
      <c r="F24" s="16"/>
      <c r="G24" s="15"/>
      <c r="H24" s="26"/>
      <c r="I24" s="25"/>
      <c r="J24" s="16"/>
      <c r="K24" s="16"/>
      <c r="L24" s="37"/>
      <c r="M24" s="37"/>
      <c r="N24" s="47"/>
      <c r="O24" s="47"/>
      <c r="P24" s="36"/>
      <c r="Q24" s="38"/>
      <c r="R24" s="16"/>
      <c r="S24" s="16"/>
    </row>
    <row r="25" spans="2:19" s="17" customFormat="1">
      <c r="B25" s="15"/>
      <c r="C25" s="16"/>
      <c r="D25" s="15"/>
      <c r="E25" s="16"/>
      <c r="F25" s="16"/>
      <c r="G25" s="15"/>
      <c r="H25" s="26"/>
      <c r="I25" s="25"/>
      <c r="J25" s="16"/>
      <c r="K25" s="16"/>
      <c r="L25" s="37"/>
      <c r="M25" s="37"/>
      <c r="N25" s="47"/>
      <c r="O25" s="47"/>
      <c r="P25" s="36"/>
      <c r="Q25" s="38"/>
      <c r="R25" s="16"/>
      <c r="S25" s="16"/>
    </row>
    <row r="26" spans="2:19" s="17" customFormat="1">
      <c r="B26" s="15"/>
      <c r="C26" s="16"/>
      <c r="D26" s="15"/>
      <c r="E26" s="16"/>
      <c r="F26" s="16"/>
      <c r="G26" s="15"/>
      <c r="H26" s="26"/>
      <c r="I26" s="25"/>
      <c r="J26" s="16"/>
      <c r="K26" s="16"/>
      <c r="L26" s="37"/>
      <c r="M26" s="37"/>
      <c r="N26" s="47"/>
      <c r="O26" s="47"/>
      <c r="P26" s="36"/>
      <c r="Q26" s="38"/>
      <c r="R26" s="16"/>
      <c r="S26" s="16"/>
    </row>
    <row r="27" spans="2:19" s="17" customFormat="1">
      <c r="B27" s="15"/>
      <c r="C27" s="16"/>
      <c r="D27" s="15"/>
      <c r="E27" s="16"/>
      <c r="F27" s="16"/>
      <c r="G27" s="15"/>
      <c r="H27" s="26"/>
      <c r="I27" s="25"/>
      <c r="J27" s="16"/>
      <c r="K27" s="16"/>
      <c r="L27" s="37"/>
      <c r="M27" s="37"/>
      <c r="N27" s="47"/>
      <c r="O27" s="47"/>
      <c r="P27" s="36"/>
      <c r="Q27" s="38"/>
      <c r="R27" s="16"/>
      <c r="S27" s="16"/>
    </row>
    <row r="28" spans="2:19" s="17" customFormat="1">
      <c r="B28" s="15"/>
      <c r="C28" s="16"/>
      <c r="D28" s="15"/>
      <c r="E28" s="16"/>
      <c r="F28" s="16"/>
      <c r="G28" s="15"/>
      <c r="H28" s="26"/>
      <c r="I28" s="25"/>
      <c r="J28" s="16"/>
      <c r="K28" s="16"/>
      <c r="L28" s="37"/>
      <c r="M28" s="37"/>
      <c r="N28" s="47"/>
      <c r="O28" s="47"/>
      <c r="P28" s="36"/>
      <c r="Q28" s="38"/>
      <c r="R28" s="16"/>
      <c r="S28" s="16"/>
    </row>
    <row r="29" spans="2:19" s="17" customFormat="1">
      <c r="B29" s="15"/>
      <c r="C29" s="16"/>
      <c r="D29" s="15"/>
      <c r="E29" s="16"/>
      <c r="F29" s="16"/>
      <c r="G29" s="15"/>
      <c r="H29" s="26"/>
      <c r="I29" s="25"/>
      <c r="J29" s="16"/>
      <c r="K29" s="16"/>
      <c r="L29" s="37"/>
      <c r="M29" s="37"/>
      <c r="N29" s="47"/>
      <c r="O29" s="47"/>
      <c r="P29" s="36"/>
      <c r="Q29" s="38"/>
      <c r="R29" s="16"/>
      <c r="S29" s="16"/>
    </row>
    <row r="30" spans="2:19" s="17" customFormat="1">
      <c r="B30" s="15"/>
      <c r="C30" s="16"/>
      <c r="D30" s="15"/>
      <c r="E30" s="16"/>
      <c r="F30" s="16"/>
      <c r="G30" s="15"/>
      <c r="H30" s="26"/>
      <c r="I30" s="25"/>
      <c r="J30" s="16"/>
      <c r="K30" s="16"/>
      <c r="L30" s="37"/>
      <c r="M30" s="37"/>
      <c r="N30" s="47"/>
      <c r="O30" s="47"/>
      <c r="P30" s="36"/>
      <c r="Q30" s="38"/>
      <c r="R30" s="16"/>
      <c r="S30" s="16"/>
    </row>
    <row r="31" spans="2:19" s="17" customFormat="1">
      <c r="B31" s="15"/>
      <c r="C31" s="16"/>
      <c r="D31" s="15"/>
      <c r="E31" s="16"/>
      <c r="F31" s="16"/>
      <c r="G31" s="15"/>
      <c r="H31" s="26"/>
      <c r="I31" s="25"/>
      <c r="J31" s="16"/>
      <c r="K31" s="16"/>
      <c r="L31" s="37"/>
      <c r="M31" s="37"/>
      <c r="N31" s="47"/>
      <c r="O31" s="47"/>
      <c r="P31" s="36"/>
      <c r="Q31" s="38"/>
      <c r="R31" s="16"/>
      <c r="S31" s="16"/>
    </row>
    <row r="32" spans="2:19" s="17" customFormat="1">
      <c r="B32" s="15"/>
      <c r="C32" s="16"/>
      <c r="D32" s="15"/>
      <c r="E32" s="16"/>
      <c r="F32" s="16"/>
      <c r="G32" s="15"/>
      <c r="H32" s="25"/>
      <c r="I32" s="25"/>
      <c r="J32" s="16"/>
      <c r="K32" s="16"/>
      <c r="L32" s="37"/>
      <c r="M32" s="37"/>
      <c r="N32" s="37"/>
      <c r="O32" s="37"/>
      <c r="P32" s="36"/>
      <c r="Q32" s="38"/>
      <c r="R32" s="16"/>
      <c r="S32" s="29"/>
    </row>
    <row r="33" spans="2:19" s="17" customFormat="1">
      <c r="B33" s="15"/>
      <c r="C33" s="16"/>
      <c r="D33" s="15"/>
      <c r="E33" s="16"/>
      <c r="F33" s="16"/>
      <c r="G33" s="15"/>
      <c r="H33" s="25"/>
      <c r="I33" s="25"/>
      <c r="J33" s="16"/>
      <c r="K33" s="16"/>
      <c r="L33" s="37"/>
      <c r="M33" s="37"/>
      <c r="N33" s="37"/>
      <c r="O33" s="37"/>
      <c r="P33" s="36"/>
      <c r="Q33" s="38"/>
      <c r="R33" s="16"/>
      <c r="S33" s="29"/>
    </row>
    <row r="34" spans="2:19">
      <c r="B34" s="2"/>
      <c r="C34" s="91"/>
      <c r="D34" s="91"/>
      <c r="E34" s="91"/>
      <c r="F34" s="91"/>
      <c r="G34" s="91"/>
      <c r="H34" s="91"/>
      <c r="I34" s="91"/>
      <c r="J34" s="24"/>
      <c r="K34" s="24"/>
      <c r="L34" s="49">
        <f t="shared" ref="L34:Q34" si="0">SUM(L4:L33)</f>
        <v>0</v>
      </c>
      <c r="M34" s="49">
        <f t="shared" si="0"/>
        <v>0</v>
      </c>
      <c r="N34" s="49">
        <f t="shared" si="0"/>
        <v>0</v>
      </c>
      <c r="O34" s="37">
        <f t="shared" si="0"/>
        <v>0</v>
      </c>
      <c r="P34" s="37">
        <f t="shared" si="0"/>
        <v>0</v>
      </c>
      <c r="Q34" s="38">
        <f t="shared" si="0"/>
        <v>0</v>
      </c>
      <c r="R34" s="8"/>
      <c r="S34" s="8"/>
    </row>
    <row r="35" spans="2:19">
      <c r="L35" s="50"/>
      <c r="M35" s="50"/>
      <c r="N35" s="50"/>
      <c r="O35" s="50"/>
      <c r="Q35" s="50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AB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4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5.5" style="7" bestFit="1" customWidth="1"/>
    <col min="11" max="11" width="4.75" style="7" bestFit="1" customWidth="1"/>
    <col min="12" max="12" width="18.25" style="46" bestFit="1" customWidth="1"/>
    <col min="13" max="14" width="18.75" style="46" bestFit="1" customWidth="1"/>
    <col min="15" max="15" width="16.75" style="46" bestFit="1" customWidth="1"/>
    <col min="16" max="16" width="16.5" style="34" bestFit="1" customWidth="1"/>
    <col min="17" max="17" width="16.08203125" style="46" customWidth="1"/>
    <col min="18" max="18" width="40.08203125" style="10" bestFit="1" customWidth="1"/>
    <col min="19" max="19" width="33.58203125" style="10" bestFit="1" customWidth="1"/>
    <col min="20" max="20" width="50.25" bestFit="1" customWidth="1"/>
    <col min="21" max="21" width="42.08203125" bestFit="1" customWidth="1"/>
    <col min="22" max="22" width="11" bestFit="1" customWidth="1"/>
  </cols>
  <sheetData>
    <row r="2" spans="1:28">
      <c r="B2" s="6"/>
      <c r="D2" s="6"/>
    </row>
    <row r="3" spans="1:28" s="1" customFormat="1">
      <c r="B3" s="106" t="s">
        <v>0</v>
      </c>
      <c r="C3" s="107" t="s">
        <v>1</v>
      </c>
      <c r="D3" s="106" t="s">
        <v>3</v>
      </c>
      <c r="E3" s="107" t="s">
        <v>26</v>
      </c>
      <c r="F3" s="107" t="s">
        <v>10</v>
      </c>
      <c r="G3" s="107" t="s">
        <v>27</v>
      </c>
      <c r="H3" s="108" t="s">
        <v>28</v>
      </c>
      <c r="I3" s="108" t="s">
        <v>9</v>
      </c>
      <c r="J3" s="109" t="s">
        <v>7</v>
      </c>
      <c r="K3" s="109" t="s">
        <v>11</v>
      </c>
      <c r="L3" s="110" t="s">
        <v>5</v>
      </c>
      <c r="M3" s="111" t="s">
        <v>35</v>
      </c>
      <c r="N3" s="112" t="s">
        <v>55</v>
      </c>
      <c r="O3" s="110" t="s">
        <v>38</v>
      </c>
      <c r="P3" s="110" t="s">
        <v>25</v>
      </c>
      <c r="Q3" s="110" t="s">
        <v>29</v>
      </c>
      <c r="R3" s="113" t="s">
        <v>2</v>
      </c>
      <c r="S3" s="113" t="s">
        <v>30</v>
      </c>
    </row>
    <row r="4" spans="1:28" s="1" customFormat="1">
      <c r="B4" s="15">
        <v>1</v>
      </c>
      <c r="C4" s="16" t="s">
        <v>36</v>
      </c>
      <c r="D4" s="15" t="s">
        <v>45</v>
      </c>
      <c r="E4" s="15">
        <v>20250728001</v>
      </c>
      <c r="F4" s="16"/>
      <c r="G4" s="70">
        <v>45866</v>
      </c>
      <c r="H4" s="70">
        <v>45900</v>
      </c>
      <c r="I4" s="25"/>
      <c r="J4" s="16" t="s">
        <v>44</v>
      </c>
      <c r="K4" s="16"/>
      <c r="L4" s="37">
        <v>18312700</v>
      </c>
      <c r="M4" s="37">
        <v>18312700</v>
      </c>
      <c r="N4" s="47">
        <f>L4-M4</f>
        <v>0</v>
      </c>
      <c r="O4" s="36">
        <v>0</v>
      </c>
      <c r="P4" s="36">
        <v>0</v>
      </c>
      <c r="Q4" s="38">
        <f>O4-P4</f>
        <v>0</v>
      </c>
      <c r="R4" s="16" t="s">
        <v>46</v>
      </c>
      <c r="S4" s="84" t="s">
        <v>59</v>
      </c>
      <c r="T4" s="82" t="s">
        <v>47</v>
      </c>
      <c r="U4" s="102"/>
      <c r="V4" s="117"/>
      <c r="W4" s="117"/>
      <c r="X4" s="117"/>
      <c r="Y4" s="117"/>
      <c r="Z4" s="117"/>
      <c r="AA4" s="117"/>
      <c r="AB4" s="117"/>
    </row>
    <row r="5" spans="1:28" s="17" customFormat="1">
      <c r="A5" s="1"/>
      <c r="B5" s="15"/>
      <c r="C5" s="93"/>
      <c r="D5" s="92"/>
      <c r="E5" s="93"/>
      <c r="F5" s="93"/>
      <c r="G5" s="94"/>
      <c r="H5" s="94"/>
      <c r="I5" s="95"/>
      <c r="J5" s="93"/>
      <c r="K5" s="93"/>
      <c r="L5" s="96"/>
      <c r="M5" s="96"/>
      <c r="N5" s="115"/>
      <c r="O5" s="98"/>
      <c r="P5" s="98"/>
      <c r="Q5" s="99"/>
      <c r="R5" s="101"/>
      <c r="S5" s="93"/>
      <c r="T5" s="102"/>
      <c r="U5" s="102"/>
      <c r="V5" s="102"/>
      <c r="W5" s="102"/>
      <c r="X5" s="102"/>
      <c r="Y5" s="102"/>
      <c r="Z5" s="102"/>
      <c r="AA5" s="102"/>
      <c r="AB5" s="102"/>
    </row>
    <row r="6" spans="1:28" s="17" customFormat="1">
      <c r="B6" s="15"/>
      <c r="C6" s="93"/>
      <c r="D6" s="92"/>
      <c r="E6" s="92"/>
      <c r="F6" s="93"/>
      <c r="G6" s="94"/>
      <c r="H6" s="94"/>
      <c r="I6" s="95"/>
      <c r="J6" s="93"/>
      <c r="K6" s="93"/>
      <c r="L6" s="96"/>
      <c r="M6" s="96"/>
      <c r="N6" s="115"/>
      <c r="O6" s="98"/>
      <c r="P6" s="98"/>
      <c r="Q6" s="99"/>
      <c r="R6" s="93"/>
      <c r="S6" s="93"/>
      <c r="T6" s="105"/>
    </row>
    <row r="7" spans="1:28" s="17" customFormat="1">
      <c r="B7" s="15"/>
      <c r="C7" s="16"/>
      <c r="D7" s="15"/>
      <c r="E7" s="16"/>
      <c r="F7" s="16"/>
      <c r="G7" s="15"/>
      <c r="H7" s="25"/>
      <c r="I7" s="25"/>
      <c r="J7" s="16"/>
      <c r="K7" s="16"/>
      <c r="L7" s="37"/>
      <c r="M7" s="37"/>
      <c r="N7" s="51"/>
      <c r="O7" s="51"/>
      <c r="P7" s="36"/>
      <c r="Q7" s="38"/>
      <c r="R7" s="16"/>
      <c r="S7" s="16"/>
    </row>
    <row r="8" spans="1:28" s="17" customFormat="1">
      <c r="B8" s="15"/>
      <c r="C8" s="16"/>
      <c r="D8" s="15"/>
      <c r="E8" s="16"/>
      <c r="F8" s="16"/>
      <c r="G8" s="15"/>
      <c r="H8" s="25"/>
      <c r="I8" s="25"/>
      <c r="J8" s="16"/>
      <c r="K8" s="16"/>
      <c r="L8" s="37"/>
      <c r="M8" s="37"/>
      <c r="N8" s="51"/>
      <c r="O8" s="51"/>
      <c r="P8" s="36"/>
      <c r="Q8" s="38"/>
      <c r="R8" s="16"/>
      <c r="S8" s="16"/>
    </row>
    <row r="9" spans="1:28" s="17" customFormat="1">
      <c r="B9" s="52"/>
      <c r="C9" s="23"/>
      <c r="D9" s="52"/>
      <c r="E9" s="23"/>
      <c r="F9" s="23"/>
      <c r="G9" s="52"/>
      <c r="H9" s="26"/>
      <c r="I9" s="26"/>
      <c r="J9" s="23"/>
      <c r="K9" s="23"/>
      <c r="L9" s="47"/>
      <c r="M9" s="37"/>
      <c r="N9" s="48"/>
      <c r="O9" s="48"/>
      <c r="P9" s="36"/>
      <c r="Q9" s="38"/>
      <c r="R9" s="30"/>
      <c r="S9" s="45"/>
    </row>
    <row r="10" spans="1:28" s="17" customFormat="1">
      <c r="A10" s="1"/>
      <c r="B10" s="15"/>
      <c r="C10" s="16"/>
      <c r="D10" s="15"/>
      <c r="E10" s="16"/>
      <c r="F10" s="16"/>
      <c r="G10" s="15"/>
      <c r="H10" s="25"/>
      <c r="I10" s="25"/>
      <c r="J10" s="16"/>
      <c r="K10" s="16"/>
      <c r="L10" s="37"/>
      <c r="M10" s="37"/>
      <c r="N10" s="37"/>
      <c r="O10" s="37"/>
      <c r="P10" s="36"/>
      <c r="Q10" s="38"/>
      <c r="R10" s="16"/>
      <c r="S10" s="29"/>
    </row>
    <row r="11" spans="1:28" s="17" customFormat="1">
      <c r="B11" s="15"/>
      <c r="C11" s="16"/>
      <c r="D11" s="15"/>
      <c r="E11" s="16"/>
      <c r="F11" s="16"/>
      <c r="G11" s="15"/>
      <c r="H11" s="25"/>
      <c r="I11" s="25"/>
      <c r="J11" s="16"/>
      <c r="K11" s="16"/>
      <c r="L11" s="37"/>
      <c r="M11" s="37"/>
      <c r="N11" s="37"/>
      <c r="O11" s="37"/>
      <c r="P11" s="36"/>
      <c r="Q11" s="38"/>
      <c r="R11" s="16"/>
      <c r="S11" s="29"/>
    </row>
    <row r="12" spans="1:28" s="17" customFormat="1">
      <c r="B12" s="15"/>
      <c r="C12" s="16"/>
      <c r="D12" s="15"/>
      <c r="E12" s="16"/>
      <c r="F12" s="16"/>
      <c r="G12" s="15"/>
      <c r="H12" s="25"/>
      <c r="I12" s="25"/>
      <c r="J12" s="16"/>
      <c r="K12" s="16"/>
      <c r="L12" s="37"/>
      <c r="M12" s="37"/>
      <c r="N12" s="37"/>
      <c r="O12" s="37"/>
      <c r="P12" s="36"/>
      <c r="Q12" s="38"/>
      <c r="R12" s="16"/>
      <c r="S12" s="39"/>
    </row>
    <row r="13" spans="1:28" s="17" customFormat="1">
      <c r="B13" s="15"/>
      <c r="C13" s="16"/>
      <c r="D13" s="15"/>
      <c r="E13" s="16"/>
      <c r="F13" s="16"/>
      <c r="G13" s="15"/>
      <c r="H13" s="25"/>
      <c r="I13" s="25"/>
      <c r="J13" s="16"/>
      <c r="K13" s="16"/>
      <c r="L13" s="37"/>
      <c r="M13" s="37"/>
      <c r="N13" s="37"/>
      <c r="O13" s="37"/>
      <c r="P13" s="36"/>
      <c r="Q13" s="38"/>
      <c r="R13" s="16"/>
      <c r="S13" s="16"/>
    </row>
    <row r="14" spans="1:28" s="17" customFormat="1">
      <c r="B14" s="15"/>
      <c r="C14" s="16"/>
      <c r="D14" s="15"/>
      <c r="E14" s="16"/>
      <c r="F14" s="16"/>
      <c r="G14" s="15"/>
      <c r="H14" s="25"/>
      <c r="I14" s="25"/>
      <c r="J14" s="16"/>
      <c r="K14" s="16"/>
      <c r="L14" s="37"/>
      <c r="M14" s="37"/>
      <c r="N14" s="37"/>
      <c r="O14" s="37"/>
      <c r="P14" s="36"/>
      <c r="Q14" s="38"/>
      <c r="R14" s="16"/>
      <c r="S14" s="16"/>
    </row>
    <row r="15" spans="1:28" s="17" customFormat="1">
      <c r="B15" s="15"/>
      <c r="C15" s="16"/>
      <c r="D15" s="15"/>
      <c r="E15" s="16"/>
      <c r="F15" s="16"/>
      <c r="G15" s="15"/>
      <c r="H15" s="25"/>
      <c r="I15" s="25"/>
      <c r="J15" s="16"/>
      <c r="K15" s="16"/>
      <c r="L15" s="37"/>
      <c r="M15" s="37"/>
      <c r="N15" s="37"/>
      <c r="O15" s="37"/>
      <c r="P15" s="36"/>
      <c r="Q15" s="38"/>
      <c r="R15" s="16"/>
      <c r="S15" s="16"/>
    </row>
    <row r="16" spans="1:28" s="17" customFormat="1">
      <c r="B16" s="15"/>
      <c r="C16" s="16"/>
      <c r="D16" s="15"/>
      <c r="E16" s="16"/>
      <c r="F16" s="16"/>
      <c r="G16" s="15"/>
      <c r="H16" s="25"/>
      <c r="I16" s="25"/>
      <c r="J16" s="16"/>
      <c r="K16" s="16"/>
      <c r="L16" s="37"/>
      <c r="M16" s="37"/>
      <c r="N16" s="37"/>
      <c r="O16" s="37"/>
      <c r="P16" s="36"/>
      <c r="Q16" s="38"/>
      <c r="R16" s="16"/>
      <c r="S16" s="16"/>
    </row>
    <row r="17" spans="2:19" s="17" customFormat="1">
      <c r="B17" s="15"/>
      <c r="C17" s="16"/>
      <c r="D17" s="15"/>
      <c r="E17" s="16"/>
      <c r="F17" s="16"/>
      <c r="G17" s="15"/>
      <c r="H17" s="25"/>
      <c r="I17" s="25"/>
      <c r="J17" s="16"/>
      <c r="K17" s="16"/>
      <c r="L17" s="37"/>
      <c r="M17" s="37"/>
      <c r="N17" s="37"/>
      <c r="O17" s="37"/>
      <c r="P17" s="36"/>
      <c r="Q17" s="38"/>
      <c r="R17" s="16"/>
      <c r="S17" s="16"/>
    </row>
    <row r="18" spans="2:19" s="17" customFormat="1">
      <c r="B18" s="15"/>
      <c r="C18" s="16"/>
      <c r="D18" s="15"/>
      <c r="E18" s="16"/>
      <c r="F18" s="16"/>
      <c r="G18" s="15"/>
      <c r="H18" s="25"/>
      <c r="I18" s="25"/>
      <c r="J18" s="16"/>
      <c r="K18" s="16"/>
      <c r="L18" s="37"/>
      <c r="M18" s="37"/>
      <c r="N18" s="37"/>
      <c r="O18" s="37"/>
      <c r="P18" s="36"/>
      <c r="Q18" s="38"/>
      <c r="R18" s="16"/>
      <c r="S18" s="16"/>
    </row>
    <row r="19" spans="2:19" s="17" customFormat="1">
      <c r="B19" s="15"/>
      <c r="C19" s="16"/>
      <c r="D19" s="15"/>
      <c r="E19" s="16"/>
      <c r="F19" s="16"/>
      <c r="G19" s="15"/>
      <c r="H19" s="25"/>
      <c r="I19" s="25"/>
      <c r="J19" s="16"/>
      <c r="K19" s="16"/>
      <c r="L19" s="37"/>
      <c r="M19" s="37"/>
      <c r="N19" s="37"/>
      <c r="O19" s="37"/>
      <c r="P19" s="36"/>
      <c r="Q19" s="38"/>
      <c r="R19" s="16"/>
      <c r="S19" s="16"/>
    </row>
    <row r="20" spans="2:19" s="17" customFormat="1">
      <c r="B20" s="15"/>
      <c r="C20" s="16"/>
      <c r="D20" s="15"/>
      <c r="E20" s="16"/>
      <c r="F20" s="16"/>
      <c r="G20" s="15"/>
      <c r="H20" s="26"/>
      <c r="I20" s="25"/>
      <c r="J20" s="16"/>
      <c r="K20" s="16"/>
      <c r="L20" s="37"/>
      <c r="M20" s="37"/>
      <c r="N20" s="47"/>
      <c r="O20" s="47"/>
      <c r="P20" s="36"/>
      <c r="Q20" s="38"/>
      <c r="R20" s="16"/>
      <c r="S20" s="29"/>
    </row>
    <row r="21" spans="2:19" s="17" customFormat="1">
      <c r="B21" s="15"/>
      <c r="C21" s="16"/>
      <c r="D21" s="15"/>
      <c r="E21" s="16"/>
      <c r="F21" s="16"/>
      <c r="G21" s="15"/>
      <c r="H21" s="26"/>
      <c r="I21" s="25"/>
      <c r="J21" s="16"/>
      <c r="K21" s="16"/>
      <c r="L21" s="37"/>
      <c r="M21" s="37"/>
      <c r="N21" s="47"/>
      <c r="O21" s="47"/>
      <c r="P21" s="36"/>
      <c r="Q21" s="38"/>
      <c r="R21" s="23"/>
      <c r="S21" s="29"/>
    </row>
    <row r="22" spans="2:19" s="17" customFormat="1">
      <c r="B22" s="15"/>
      <c r="C22" s="16"/>
      <c r="D22" s="15"/>
      <c r="E22" s="16"/>
      <c r="F22" s="16"/>
      <c r="G22" s="15"/>
      <c r="H22" s="26"/>
      <c r="I22" s="25"/>
      <c r="J22" s="16"/>
      <c r="K22" s="16"/>
      <c r="L22" s="37"/>
      <c r="M22" s="37"/>
      <c r="N22" s="47"/>
      <c r="O22" s="47"/>
      <c r="P22" s="36"/>
      <c r="Q22" s="38"/>
      <c r="R22" s="16"/>
      <c r="S22" s="16"/>
    </row>
    <row r="23" spans="2:19" s="17" customFormat="1">
      <c r="B23" s="15"/>
      <c r="C23" s="16"/>
      <c r="D23" s="15"/>
      <c r="E23" s="16"/>
      <c r="F23" s="16"/>
      <c r="G23" s="15"/>
      <c r="H23" s="26"/>
      <c r="I23" s="25"/>
      <c r="J23" s="16"/>
      <c r="K23" s="16"/>
      <c r="L23" s="37"/>
      <c r="M23" s="37"/>
      <c r="N23" s="47"/>
      <c r="O23" s="47"/>
      <c r="P23" s="36"/>
      <c r="Q23" s="38"/>
      <c r="R23" s="16"/>
      <c r="S23" s="16"/>
    </row>
    <row r="24" spans="2:19" s="17" customFormat="1">
      <c r="B24" s="15"/>
      <c r="C24" s="16"/>
      <c r="D24" s="15"/>
      <c r="E24" s="16"/>
      <c r="F24" s="16"/>
      <c r="G24" s="15"/>
      <c r="H24" s="26"/>
      <c r="I24" s="25"/>
      <c r="J24" s="16"/>
      <c r="K24" s="16"/>
      <c r="L24" s="37"/>
      <c r="M24" s="37"/>
      <c r="N24" s="47"/>
      <c r="O24" s="47"/>
      <c r="P24" s="36"/>
      <c r="Q24" s="38"/>
      <c r="R24" s="16"/>
      <c r="S24" s="16"/>
    </row>
    <row r="25" spans="2:19" s="17" customFormat="1">
      <c r="B25" s="15"/>
      <c r="C25" s="16"/>
      <c r="D25" s="15"/>
      <c r="E25" s="16"/>
      <c r="F25" s="16"/>
      <c r="G25" s="15"/>
      <c r="H25" s="26"/>
      <c r="I25" s="25"/>
      <c r="J25" s="16"/>
      <c r="K25" s="16"/>
      <c r="L25" s="37"/>
      <c r="M25" s="37"/>
      <c r="N25" s="47"/>
      <c r="O25" s="47"/>
      <c r="P25" s="36"/>
      <c r="Q25" s="38"/>
      <c r="R25" s="16"/>
      <c r="S25" s="16"/>
    </row>
    <row r="26" spans="2:19" s="17" customFormat="1">
      <c r="B26" s="15"/>
      <c r="C26" s="16"/>
      <c r="D26" s="15"/>
      <c r="E26" s="16"/>
      <c r="F26" s="16"/>
      <c r="G26" s="15"/>
      <c r="H26" s="26"/>
      <c r="I26" s="25"/>
      <c r="J26" s="16"/>
      <c r="K26" s="16"/>
      <c r="L26" s="37"/>
      <c r="M26" s="37"/>
      <c r="N26" s="47"/>
      <c r="O26" s="47"/>
      <c r="P26" s="36"/>
      <c r="Q26" s="38"/>
      <c r="R26" s="16"/>
      <c r="S26" s="16"/>
    </row>
    <row r="27" spans="2:19" s="17" customFormat="1">
      <c r="B27" s="15"/>
      <c r="C27" s="16"/>
      <c r="D27" s="15"/>
      <c r="E27" s="16"/>
      <c r="F27" s="16"/>
      <c r="G27" s="15"/>
      <c r="H27" s="26"/>
      <c r="I27" s="25"/>
      <c r="J27" s="16"/>
      <c r="K27" s="16"/>
      <c r="L27" s="37"/>
      <c r="M27" s="37"/>
      <c r="N27" s="47"/>
      <c r="O27" s="47"/>
      <c r="P27" s="36"/>
      <c r="Q27" s="38"/>
      <c r="R27" s="16"/>
      <c r="S27" s="16"/>
    </row>
    <row r="28" spans="2:19" s="17" customFormat="1">
      <c r="B28" s="15"/>
      <c r="C28" s="16"/>
      <c r="D28" s="15"/>
      <c r="E28" s="16"/>
      <c r="F28" s="16"/>
      <c r="G28" s="15"/>
      <c r="H28" s="26"/>
      <c r="I28" s="25"/>
      <c r="J28" s="16"/>
      <c r="K28" s="16"/>
      <c r="L28" s="37"/>
      <c r="M28" s="37"/>
      <c r="N28" s="47"/>
      <c r="O28" s="47"/>
      <c r="P28" s="36"/>
      <c r="Q28" s="38"/>
      <c r="R28" s="16"/>
      <c r="S28" s="16"/>
    </row>
    <row r="29" spans="2:19" s="17" customFormat="1">
      <c r="B29" s="15"/>
      <c r="C29" s="16"/>
      <c r="D29" s="15"/>
      <c r="E29" s="16"/>
      <c r="F29" s="16"/>
      <c r="G29" s="15"/>
      <c r="H29" s="26"/>
      <c r="I29" s="25"/>
      <c r="J29" s="16"/>
      <c r="K29" s="16"/>
      <c r="L29" s="37"/>
      <c r="M29" s="37"/>
      <c r="N29" s="47"/>
      <c r="O29" s="47"/>
      <c r="P29" s="36"/>
      <c r="Q29" s="38"/>
      <c r="R29" s="16"/>
      <c r="S29" s="16"/>
    </row>
    <row r="30" spans="2:19" s="17" customFormat="1">
      <c r="B30" s="15"/>
      <c r="C30" s="16"/>
      <c r="D30" s="15"/>
      <c r="E30" s="16"/>
      <c r="F30" s="16"/>
      <c r="G30" s="15"/>
      <c r="H30" s="26"/>
      <c r="I30" s="25"/>
      <c r="J30" s="16"/>
      <c r="K30" s="16"/>
      <c r="L30" s="37"/>
      <c r="M30" s="37"/>
      <c r="N30" s="47"/>
      <c r="O30" s="47"/>
      <c r="P30" s="36"/>
      <c r="Q30" s="38"/>
      <c r="R30" s="16"/>
      <c r="S30" s="16"/>
    </row>
    <row r="31" spans="2:19" s="17" customFormat="1">
      <c r="B31" s="15"/>
      <c r="C31" s="16"/>
      <c r="D31" s="15"/>
      <c r="E31" s="16"/>
      <c r="F31" s="16"/>
      <c r="G31" s="15"/>
      <c r="H31" s="26"/>
      <c r="I31" s="25"/>
      <c r="J31" s="16"/>
      <c r="K31" s="16"/>
      <c r="L31" s="37"/>
      <c r="M31" s="37"/>
      <c r="N31" s="47"/>
      <c r="O31" s="47"/>
      <c r="P31" s="36"/>
      <c r="Q31" s="38"/>
      <c r="R31" s="16"/>
      <c r="S31" s="16"/>
    </row>
    <row r="32" spans="2:19" s="17" customFormat="1">
      <c r="B32" s="15"/>
      <c r="C32" s="16"/>
      <c r="D32" s="15"/>
      <c r="E32" s="16"/>
      <c r="F32" s="16"/>
      <c r="G32" s="15"/>
      <c r="H32" s="25"/>
      <c r="I32" s="25"/>
      <c r="J32" s="16"/>
      <c r="K32" s="16"/>
      <c r="L32" s="37"/>
      <c r="M32" s="37"/>
      <c r="N32" s="37"/>
      <c r="O32" s="37"/>
      <c r="P32" s="36"/>
      <c r="Q32" s="38"/>
      <c r="R32" s="16"/>
      <c r="S32" s="29"/>
    </row>
    <row r="33" spans="2:19" s="17" customFormat="1">
      <c r="B33" s="15"/>
      <c r="C33" s="16"/>
      <c r="D33" s="15"/>
      <c r="E33" s="16"/>
      <c r="F33" s="16"/>
      <c r="G33" s="15"/>
      <c r="H33" s="25"/>
      <c r="I33" s="25"/>
      <c r="J33" s="16"/>
      <c r="K33" s="16"/>
      <c r="L33" s="37"/>
      <c r="M33" s="37"/>
      <c r="N33" s="37"/>
      <c r="O33" s="37"/>
      <c r="P33" s="36"/>
      <c r="Q33" s="38"/>
      <c r="R33" s="16"/>
      <c r="S33" s="29"/>
    </row>
    <row r="34" spans="2:19">
      <c r="B34" s="2"/>
      <c r="C34" s="91"/>
      <c r="D34" s="91"/>
      <c r="E34" s="91"/>
      <c r="F34" s="91"/>
      <c r="G34" s="91"/>
      <c r="H34" s="91"/>
      <c r="I34" s="91"/>
      <c r="J34" s="24"/>
      <c r="K34" s="24"/>
      <c r="L34" s="49">
        <f t="shared" ref="L34:Q34" si="0">SUM(L4:L33)</f>
        <v>18312700</v>
      </c>
      <c r="M34" s="49">
        <f t="shared" si="0"/>
        <v>18312700</v>
      </c>
      <c r="N34" s="49">
        <f t="shared" si="0"/>
        <v>0</v>
      </c>
      <c r="O34" s="37">
        <f t="shared" si="0"/>
        <v>0</v>
      </c>
      <c r="P34" s="37">
        <f t="shared" si="0"/>
        <v>0</v>
      </c>
      <c r="Q34" s="38">
        <f t="shared" si="0"/>
        <v>0</v>
      </c>
      <c r="R34" s="8"/>
      <c r="S34" s="8"/>
    </row>
    <row r="35" spans="2:19">
      <c r="L35" s="50"/>
      <c r="M35" s="50"/>
      <c r="N35" s="50"/>
      <c r="O35" s="50"/>
      <c r="Q35" s="50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6" bestFit="1" customWidth="1"/>
    <col min="13" max="14" width="18.75" style="46" bestFit="1" customWidth="1"/>
    <col min="15" max="15" width="16.75" style="46" bestFit="1" customWidth="1"/>
    <col min="16" max="16" width="16.5" style="34" bestFit="1" customWidth="1"/>
    <col min="17" max="17" width="16.08203125" style="46" customWidth="1"/>
    <col min="18" max="18" width="40.08203125" style="10" bestFit="1" customWidth="1"/>
    <col min="19" max="19" width="33.582031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106" t="s">
        <v>0</v>
      </c>
      <c r="C3" s="107" t="s">
        <v>1</v>
      </c>
      <c r="D3" s="106" t="s">
        <v>3</v>
      </c>
      <c r="E3" s="107" t="s">
        <v>26</v>
      </c>
      <c r="F3" s="107" t="s">
        <v>10</v>
      </c>
      <c r="G3" s="107" t="s">
        <v>27</v>
      </c>
      <c r="H3" s="108" t="s">
        <v>28</v>
      </c>
      <c r="I3" s="108" t="s">
        <v>9</v>
      </c>
      <c r="J3" s="109" t="s">
        <v>7</v>
      </c>
      <c r="K3" s="109" t="s">
        <v>11</v>
      </c>
      <c r="L3" s="110" t="s">
        <v>5</v>
      </c>
      <c r="M3" s="111" t="s">
        <v>35</v>
      </c>
      <c r="N3" s="112" t="s">
        <v>55</v>
      </c>
      <c r="O3" s="110" t="s">
        <v>38</v>
      </c>
      <c r="P3" s="110" t="s">
        <v>25</v>
      </c>
      <c r="Q3" s="110" t="s">
        <v>29</v>
      </c>
      <c r="R3" s="113" t="s">
        <v>2</v>
      </c>
      <c r="S3" s="113" t="s">
        <v>30</v>
      </c>
    </row>
    <row r="4" spans="1:19" s="1" customFormat="1">
      <c r="B4" s="15">
        <v>1</v>
      </c>
      <c r="C4" s="16" t="s">
        <v>39</v>
      </c>
      <c r="D4" s="15" t="s">
        <v>43</v>
      </c>
      <c r="E4" s="16" t="s">
        <v>48</v>
      </c>
      <c r="F4" s="16"/>
      <c r="G4" s="70">
        <v>45925</v>
      </c>
      <c r="H4" s="70">
        <v>46053</v>
      </c>
      <c r="I4" s="25"/>
      <c r="J4" s="25" t="s">
        <v>49</v>
      </c>
      <c r="K4" s="16"/>
      <c r="L4" s="37">
        <v>24632800</v>
      </c>
      <c r="M4" s="37">
        <v>24632800</v>
      </c>
      <c r="N4" s="47">
        <f>L4-M4</f>
        <v>0</v>
      </c>
      <c r="O4" s="36">
        <v>0</v>
      </c>
      <c r="P4" s="36">
        <v>0</v>
      </c>
      <c r="Q4" s="38">
        <f>O4-P4</f>
        <v>0</v>
      </c>
      <c r="R4" s="84" t="s">
        <v>52</v>
      </c>
      <c r="S4" s="84" t="s">
        <v>50</v>
      </c>
    </row>
    <row r="5" spans="1:19" s="17" customFormat="1">
      <c r="A5" s="1"/>
      <c r="B5" s="15"/>
      <c r="C5" s="16"/>
      <c r="D5" s="15"/>
      <c r="E5" s="16"/>
      <c r="F5" s="16"/>
      <c r="G5" s="15"/>
      <c r="H5" s="25"/>
      <c r="I5" s="25"/>
      <c r="J5" s="16"/>
      <c r="K5" s="16"/>
      <c r="L5" s="37"/>
      <c r="M5" s="37"/>
      <c r="N5" s="51"/>
      <c r="O5" s="51"/>
      <c r="P5" s="36"/>
      <c r="Q5" s="38"/>
      <c r="R5" s="16"/>
      <c r="S5" s="16"/>
    </row>
    <row r="6" spans="1:19" s="17" customFormat="1">
      <c r="B6" s="15"/>
      <c r="C6" s="16"/>
      <c r="D6" s="15"/>
      <c r="E6" s="16"/>
      <c r="F6" s="16"/>
      <c r="G6" s="15"/>
      <c r="H6" s="25"/>
      <c r="I6" s="25"/>
      <c r="J6" s="16"/>
      <c r="K6" s="16"/>
      <c r="L6" s="37"/>
      <c r="M6" s="37"/>
      <c r="N6" s="51"/>
      <c r="O6" s="51"/>
      <c r="P6" s="36"/>
      <c r="Q6" s="38"/>
      <c r="R6" s="16"/>
      <c r="S6" s="16"/>
    </row>
    <row r="7" spans="1:19" s="17" customFormat="1">
      <c r="B7" s="15"/>
      <c r="C7" s="16"/>
      <c r="D7" s="15"/>
      <c r="E7" s="16"/>
      <c r="F7" s="16"/>
      <c r="G7" s="15"/>
      <c r="H7" s="25"/>
      <c r="I7" s="25"/>
      <c r="J7" s="16"/>
      <c r="K7" s="16"/>
      <c r="L7" s="37"/>
      <c r="M7" s="37"/>
      <c r="N7" s="51"/>
      <c r="O7" s="51"/>
      <c r="P7" s="36"/>
      <c r="Q7" s="38"/>
      <c r="R7" s="16"/>
      <c r="S7" s="16"/>
    </row>
    <row r="8" spans="1:19" s="17" customFormat="1">
      <c r="B8" s="15"/>
      <c r="C8" s="16"/>
      <c r="D8" s="15"/>
      <c r="E8" s="16"/>
      <c r="F8" s="16"/>
      <c r="G8" s="15"/>
      <c r="H8" s="25"/>
      <c r="I8" s="25"/>
      <c r="J8" s="16"/>
      <c r="K8" s="16"/>
      <c r="L8" s="37"/>
      <c r="M8" s="37"/>
      <c r="N8" s="51"/>
      <c r="O8" s="51"/>
      <c r="P8" s="36"/>
      <c r="Q8" s="38"/>
      <c r="R8" s="16"/>
      <c r="S8" s="16"/>
    </row>
    <row r="9" spans="1:19" s="17" customFormat="1">
      <c r="B9" s="52"/>
      <c r="C9" s="23"/>
      <c r="D9" s="52"/>
      <c r="E9" s="23"/>
      <c r="F9" s="23"/>
      <c r="G9" s="52"/>
      <c r="H9" s="26"/>
      <c r="I9" s="26"/>
      <c r="J9" s="23"/>
      <c r="K9" s="23"/>
      <c r="L9" s="47"/>
      <c r="M9" s="37"/>
      <c r="N9" s="48"/>
      <c r="O9" s="48"/>
      <c r="P9" s="36"/>
      <c r="Q9" s="38"/>
      <c r="R9" s="30"/>
      <c r="S9" s="45"/>
    </row>
    <row r="10" spans="1:19" s="17" customFormat="1">
      <c r="A10" s="1"/>
      <c r="B10" s="15"/>
      <c r="C10" s="16"/>
      <c r="D10" s="15"/>
      <c r="E10" s="16"/>
      <c r="F10" s="16"/>
      <c r="G10" s="15"/>
      <c r="H10" s="25"/>
      <c r="I10" s="25"/>
      <c r="J10" s="16"/>
      <c r="K10" s="16"/>
      <c r="L10" s="37"/>
      <c r="M10" s="37"/>
      <c r="N10" s="37"/>
      <c r="O10" s="37"/>
      <c r="P10" s="36"/>
      <c r="Q10" s="38"/>
      <c r="R10" s="16"/>
      <c r="S10" s="29"/>
    </row>
    <row r="11" spans="1:19" s="17" customFormat="1">
      <c r="B11" s="15"/>
      <c r="C11" s="16"/>
      <c r="D11" s="15"/>
      <c r="E11" s="16"/>
      <c r="F11" s="16"/>
      <c r="G11" s="15"/>
      <c r="H11" s="25"/>
      <c r="I11" s="25"/>
      <c r="J11" s="16"/>
      <c r="K11" s="16"/>
      <c r="L11" s="37"/>
      <c r="M11" s="37"/>
      <c r="N11" s="37"/>
      <c r="O11" s="37"/>
      <c r="P11" s="36"/>
      <c r="Q11" s="38"/>
      <c r="R11" s="16"/>
      <c r="S11" s="29"/>
    </row>
    <row r="12" spans="1:19" s="17" customFormat="1">
      <c r="B12" s="15"/>
      <c r="C12" s="16"/>
      <c r="D12" s="15"/>
      <c r="E12" s="16"/>
      <c r="F12" s="16"/>
      <c r="G12" s="15"/>
      <c r="H12" s="25"/>
      <c r="I12" s="25"/>
      <c r="J12" s="16"/>
      <c r="K12" s="16"/>
      <c r="L12" s="37"/>
      <c r="M12" s="37"/>
      <c r="N12" s="37"/>
      <c r="O12" s="37"/>
      <c r="P12" s="36"/>
      <c r="Q12" s="38"/>
      <c r="R12" s="16"/>
      <c r="S12" s="39"/>
    </row>
    <row r="13" spans="1:19" s="17" customFormat="1">
      <c r="B13" s="15"/>
      <c r="C13" s="16"/>
      <c r="D13" s="15"/>
      <c r="E13" s="16"/>
      <c r="F13" s="16"/>
      <c r="G13" s="15"/>
      <c r="H13" s="25"/>
      <c r="I13" s="25"/>
      <c r="J13" s="16"/>
      <c r="K13" s="16"/>
      <c r="L13" s="37"/>
      <c r="M13" s="37"/>
      <c r="N13" s="37"/>
      <c r="O13" s="37"/>
      <c r="P13" s="36"/>
      <c r="Q13" s="38"/>
      <c r="R13" s="16"/>
      <c r="S13" s="16"/>
    </row>
    <row r="14" spans="1:19" s="17" customFormat="1">
      <c r="B14" s="15"/>
      <c r="C14" s="16"/>
      <c r="D14" s="15"/>
      <c r="E14" s="16"/>
      <c r="F14" s="16"/>
      <c r="G14" s="15"/>
      <c r="H14" s="25"/>
      <c r="I14" s="25"/>
      <c r="J14" s="16"/>
      <c r="K14" s="16"/>
      <c r="L14" s="37"/>
      <c r="M14" s="37"/>
      <c r="N14" s="37"/>
      <c r="O14" s="37"/>
      <c r="P14" s="36"/>
      <c r="Q14" s="38"/>
      <c r="R14" s="16"/>
      <c r="S14" s="16"/>
    </row>
    <row r="15" spans="1:19" s="17" customFormat="1">
      <c r="B15" s="15"/>
      <c r="C15" s="16"/>
      <c r="D15" s="15"/>
      <c r="E15" s="16"/>
      <c r="F15" s="16"/>
      <c r="G15" s="15"/>
      <c r="H15" s="25"/>
      <c r="I15" s="25"/>
      <c r="J15" s="16"/>
      <c r="K15" s="16"/>
      <c r="L15" s="37"/>
      <c r="M15" s="37"/>
      <c r="N15" s="37"/>
      <c r="O15" s="37"/>
      <c r="P15" s="36"/>
      <c r="Q15" s="38"/>
      <c r="R15" s="16"/>
      <c r="S15" s="16"/>
    </row>
    <row r="16" spans="1:19" s="17" customFormat="1">
      <c r="B16" s="15"/>
      <c r="C16" s="16"/>
      <c r="D16" s="15"/>
      <c r="E16" s="16"/>
      <c r="F16" s="16"/>
      <c r="G16" s="15"/>
      <c r="H16" s="25"/>
      <c r="I16" s="25"/>
      <c r="J16" s="16"/>
      <c r="K16" s="16"/>
      <c r="L16" s="37"/>
      <c r="M16" s="37"/>
      <c r="N16" s="37"/>
      <c r="O16" s="37"/>
      <c r="P16" s="36"/>
      <c r="Q16" s="38"/>
      <c r="R16" s="16"/>
      <c r="S16" s="16"/>
    </row>
    <row r="17" spans="2:19" s="17" customFormat="1">
      <c r="B17" s="15"/>
      <c r="C17" s="16"/>
      <c r="D17" s="15"/>
      <c r="E17" s="16"/>
      <c r="F17" s="16"/>
      <c r="G17" s="15"/>
      <c r="H17" s="25"/>
      <c r="I17" s="25"/>
      <c r="J17" s="16"/>
      <c r="K17" s="16"/>
      <c r="L17" s="37"/>
      <c r="M17" s="37"/>
      <c r="N17" s="37"/>
      <c r="O17" s="37"/>
      <c r="P17" s="36"/>
      <c r="Q17" s="38"/>
      <c r="R17" s="16"/>
      <c r="S17" s="16"/>
    </row>
    <row r="18" spans="2:19" s="17" customFormat="1">
      <c r="B18" s="15"/>
      <c r="C18" s="16"/>
      <c r="D18" s="15"/>
      <c r="E18" s="16"/>
      <c r="F18" s="16"/>
      <c r="G18" s="15"/>
      <c r="H18" s="25"/>
      <c r="I18" s="25"/>
      <c r="J18" s="16"/>
      <c r="K18" s="16"/>
      <c r="L18" s="37"/>
      <c r="M18" s="37"/>
      <c r="N18" s="37"/>
      <c r="O18" s="37"/>
      <c r="P18" s="36"/>
      <c r="Q18" s="38"/>
      <c r="R18" s="16"/>
      <c r="S18" s="16"/>
    </row>
    <row r="19" spans="2:19" s="17" customFormat="1">
      <c r="B19" s="15"/>
      <c r="C19" s="16"/>
      <c r="D19" s="15"/>
      <c r="E19" s="16"/>
      <c r="F19" s="16"/>
      <c r="G19" s="15"/>
      <c r="H19" s="25"/>
      <c r="I19" s="25"/>
      <c r="J19" s="16"/>
      <c r="K19" s="16"/>
      <c r="L19" s="37"/>
      <c r="M19" s="37"/>
      <c r="N19" s="37"/>
      <c r="O19" s="37"/>
      <c r="P19" s="36"/>
      <c r="Q19" s="38"/>
      <c r="R19" s="16"/>
      <c r="S19" s="16"/>
    </row>
    <row r="20" spans="2:19" s="17" customFormat="1">
      <c r="B20" s="15"/>
      <c r="C20" s="16"/>
      <c r="D20" s="15"/>
      <c r="E20" s="16"/>
      <c r="F20" s="16"/>
      <c r="G20" s="15"/>
      <c r="H20" s="26"/>
      <c r="I20" s="25"/>
      <c r="J20" s="16"/>
      <c r="K20" s="16"/>
      <c r="L20" s="37"/>
      <c r="M20" s="37"/>
      <c r="N20" s="47"/>
      <c r="O20" s="47"/>
      <c r="P20" s="36"/>
      <c r="Q20" s="38"/>
      <c r="R20" s="16"/>
      <c r="S20" s="29"/>
    </row>
    <row r="21" spans="2:19" s="17" customFormat="1">
      <c r="B21" s="15"/>
      <c r="C21" s="16"/>
      <c r="D21" s="15"/>
      <c r="E21" s="16"/>
      <c r="F21" s="16"/>
      <c r="G21" s="15"/>
      <c r="H21" s="26"/>
      <c r="I21" s="25"/>
      <c r="J21" s="16"/>
      <c r="K21" s="16"/>
      <c r="L21" s="37"/>
      <c r="M21" s="37"/>
      <c r="N21" s="47"/>
      <c r="O21" s="47"/>
      <c r="P21" s="36"/>
      <c r="Q21" s="38"/>
      <c r="R21" s="23"/>
      <c r="S21" s="29"/>
    </row>
    <row r="22" spans="2:19" s="17" customFormat="1">
      <c r="B22" s="15"/>
      <c r="C22" s="16"/>
      <c r="D22" s="15"/>
      <c r="E22" s="16"/>
      <c r="F22" s="16"/>
      <c r="G22" s="15"/>
      <c r="H22" s="26"/>
      <c r="I22" s="25"/>
      <c r="J22" s="16"/>
      <c r="K22" s="16"/>
      <c r="L22" s="37"/>
      <c r="M22" s="37"/>
      <c r="N22" s="47"/>
      <c r="O22" s="47"/>
      <c r="P22" s="36"/>
      <c r="Q22" s="38"/>
      <c r="R22" s="16"/>
      <c r="S22" s="16"/>
    </row>
    <row r="23" spans="2:19" s="17" customFormat="1">
      <c r="B23" s="15"/>
      <c r="C23" s="16"/>
      <c r="D23" s="15"/>
      <c r="E23" s="16"/>
      <c r="F23" s="16"/>
      <c r="G23" s="15"/>
      <c r="H23" s="26"/>
      <c r="I23" s="25"/>
      <c r="J23" s="16"/>
      <c r="K23" s="16"/>
      <c r="L23" s="37"/>
      <c r="M23" s="37"/>
      <c r="N23" s="47"/>
      <c r="O23" s="47"/>
      <c r="P23" s="36"/>
      <c r="Q23" s="38"/>
      <c r="R23" s="16"/>
      <c r="S23" s="16"/>
    </row>
    <row r="24" spans="2:19" s="17" customFormat="1">
      <c r="B24" s="15"/>
      <c r="C24" s="16"/>
      <c r="D24" s="15"/>
      <c r="E24" s="16"/>
      <c r="F24" s="16"/>
      <c r="G24" s="15"/>
      <c r="H24" s="26"/>
      <c r="I24" s="25"/>
      <c r="J24" s="16"/>
      <c r="K24" s="16"/>
      <c r="L24" s="37"/>
      <c r="M24" s="37"/>
      <c r="N24" s="47"/>
      <c r="O24" s="47"/>
      <c r="P24" s="36"/>
      <c r="Q24" s="38"/>
      <c r="R24" s="16"/>
      <c r="S24" s="16"/>
    </row>
    <row r="25" spans="2:19" s="17" customFormat="1">
      <c r="B25" s="15"/>
      <c r="C25" s="16"/>
      <c r="D25" s="15"/>
      <c r="E25" s="16"/>
      <c r="F25" s="16"/>
      <c r="G25" s="15"/>
      <c r="H25" s="26"/>
      <c r="I25" s="25"/>
      <c r="J25" s="16"/>
      <c r="K25" s="16"/>
      <c r="L25" s="37"/>
      <c r="M25" s="37"/>
      <c r="N25" s="47"/>
      <c r="O25" s="47"/>
      <c r="P25" s="36"/>
      <c r="Q25" s="38"/>
      <c r="R25" s="16"/>
      <c r="S25" s="16"/>
    </row>
    <row r="26" spans="2:19" s="17" customFormat="1">
      <c r="B26" s="15"/>
      <c r="C26" s="16"/>
      <c r="D26" s="15"/>
      <c r="E26" s="16"/>
      <c r="F26" s="16"/>
      <c r="G26" s="15"/>
      <c r="H26" s="26"/>
      <c r="I26" s="25"/>
      <c r="J26" s="16"/>
      <c r="K26" s="16"/>
      <c r="L26" s="37"/>
      <c r="M26" s="37"/>
      <c r="N26" s="47"/>
      <c r="O26" s="47"/>
      <c r="P26" s="36"/>
      <c r="Q26" s="38"/>
      <c r="R26" s="16"/>
      <c r="S26" s="16"/>
    </row>
    <row r="27" spans="2:19" s="17" customFormat="1">
      <c r="B27" s="15"/>
      <c r="C27" s="16"/>
      <c r="D27" s="15"/>
      <c r="E27" s="16"/>
      <c r="F27" s="16"/>
      <c r="G27" s="15"/>
      <c r="H27" s="26"/>
      <c r="I27" s="25"/>
      <c r="J27" s="16"/>
      <c r="K27" s="16"/>
      <c r="L27" s="37"/>
      <c r="M27" s="37"/>
      <c r="N27" s="47"/>
      <c r="O27" s="47"/>
      <c r="P27" s="36"/>
      <c r="Q27" s="38"/>
      <c r="R27" s="16"/>
      <c r="S27" s="16"/>
    </row>
    <row r="28" spans="2:19" s="17" customFormat="1">
      <c r="B28" s="15"/>
      <c r="C28" s="16"/>
      <c r="D28" s="15"/>
      <c r="E28" s="16"/>
      <c r="F28" s="16"/>
      <c r="G28" s="15"/>
      <c r="H28" s="26"/>
      <c r="I28" s="25"/>
      <c r="J28" s="16"/>
      <c r="K28" s="16"/>
      <c r="L28" s="37"/>
      <c r="M28" s="37"/>
      <c r="N28" s="47"/>
      <c r="O28" s="47"/>
      <c r="P28" s="36"/>
      <c r="Q28" s="38"/>
      <c r="R28" s="16"/>
      <c r="S28" s="16"/>
    </row>
    <row r="29" spans="2:19" s="17" customFormat="1">
      <c r="B29" s="15"/>
      <c r="C29" s="16"/>
      <c r="D29" s="15"/>
      <c r="E29" s="16"/>
      <c r="F29" s="16"/>
      <c r="G29" s="15"/>
      <c r="H29" s="26"/>
      <c r="I29" s="25"/>
      <c r="J29" s="16"/>
      <c r="K29" s="16"/>
      <c r="L29" s="37"/>
      <c r="M29" s="37"/>
      <c r="N29" s="47"/>
      <c r="O29" s="47"/>
      <c r="P29" s="36"/>
      <c r="Q29" s="38"/>
      <c r="R29" s="16"/>
      <c r="S29" s="16"/>
    </row>
    <row r="30" spans="2:19" s="17" customFormat="1">
      <c r="B30" s="15"/>
      <c r="C30" s="16"/>
      <c r="D30" s="15"/>
      <c r="E30" s="16"/>
      <c r="F30" s="16"/>
      <c r="G30" s="15"/>
      <c r="H30" s="26"/>
      <c r="I30" s="25"/>
      <c r="J30" s="16"/>
      <c r="K30" s="16"/>
      <c r="L30" s="37"/>
      <c r="M30" s="37"/>
      <c r="N30" s="47"/>
      <c r="O30" s="47"/>
      <c r="P30" s="36"/>
      <c r="Q30" s="38"/>
      <c r="R30" s="16"/>
      <c r="S30" s="16"/>
    </row>
    <row r="31" spans="2:19" s="17" customFormat="1">
      <c r="B31" s="15"/>
      <c r="C31" s="16"/>
      <c r="D31" s="15"/>
      <c r="E31" s="16"/>
      <c r="F31" s="16"/>
      <c r="G31" s="15"/>
      <c r="H31" s="26"/>
      <c r="I31" s="25"/>
      <c r="J31" s="16"/>
      <c r="K31" s="16"/>
      <c r="L31" s="37"/>
      <c r="M31" s="37"/>
      <c r="N31" s="47"/>
      <c r="O31" s="47"/>
      <c r="P31" s="36"/>
      <c r="Q31" s="38"/>
      <c r="R31" s="16"/>
      <c r="S31" s="16"/>
    </row>
    <row r="32" spans="2:19" s="17" customFormat="1">
      <c r="B32" s="15"/>
      <c r="C32" s="16"/>
      <c r="D32" s="15"/>
      <c r="E32" s="16"/>
      <c r="F32" s="16"/>
      <c r="G32" s="15"/>
      <c r="H32" s="25"/>
      <c r="I32" s="25"/>
      <c r="J32" s="16"/>
      <c r="K32" s="16"/>
      <c r="L32" s="37"/>
      <c r="M32" s="37"/>
      <c r="N32" s="37"/>
      <c r="O32" s="37"/>
      <c r="P32" s="36"/>
      <c r="Q32" s="38"/>
      <c r="R32" s="16"/>
      <c r="S32" s="29"/>
    </row>
    <row r="33" spans="2:19" s="17" customFormat="1">
      <c r="B33" s="15"/>
      <c r="C33" s="16"/>
      <c r="D33" s="15"/>
      <c r="E33" s="16"/>
      <c r="F33" s="16"/>
      <c r="G33" s="15"/>
      <c r="H33" s="25"/>
      <c r="I33" s="25"/>
      <c r="J33" s="16"/>
      <c r="K33" s="16"/>
      <c r="L33" s="37"/>
      <c r="M33" s="37"/>
      <c r="N33" s="37"/>
      <c r="O33" s="37"/>
      <c r="P33" s="36"/>
      <c r="Q33" s="38"/>
      <c r="R33" s="16"/>
      <c r="S33" s="29"/>
    </row>
    <row r="34" spans="2:19">
      <c r="B34" s="2"/>
      <c r="C34" s="91"/>
      <c r="D34" s="91"/>
      <c r="E34" s="91"/>
      <c r="F34" s="91"/>
      <c r="G34" s="91"/>
      <c r="H34" s="91"/>
      <c r="I34" s="91"/>
      <c r="J34" s="24"/>
      <c r="K34" s="24"/>
      <c r="L34" s="49">
        <f t="shared" ref="L34:Q34" si="0">SUM(L4:L33)</f>
        <v>24632800</v>
      </c>
      <c r="M34" s="49">
        <f t="shared" si="0"/>
        <v>24632800</v>
      </c>
      <c r="N34" s="49">
        <f t="shared" si="0"/>
        <v>0</v>
      </c>
      <c r="O34" s="37">
        <f t="shared" si="0"/>
        <v>0</v>
      </c>
      <c r="P34" s="37">
        <f t="shared" si="0"/>
        <v>0</v>
      </c>
      <c r="Q34" s="38">
        <f t="shared" si="0"/>
        <v>0</v>
      </c>
      <c r="R34" s="8"/>
      <c r="S34" s="8"/>
    </row>
    <row r="35" spans="2:19">
      <c r="L35" s="50"/>
      <c r="M35" s="50"/>
      <c r="N35" s="50"/>
      <c r="O35" s="50"/>
      <c r="Q35" s="50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AE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6" bestFit="1" customWidth="1"/>
    <col min="13" max="14" width="18.75" style="46" bestFit="1" customWidth="1"/>
    <col min="15" max="15" width="16.75" style="46" bestFit="1" customWidth="1"/>
    <col min="16" max="16" width="16.5" style="34" bestFit="1" customWidth="1"/>
    <col min="17" max="17" width="16.08203125" style="46" customWidth="1"/>
    <col min="18" max="18" width="45.4140625" style="10" bestFit="1" customWidth="1"/>
    <col min="19" max="19" width="47.5" style="10" bestFit="1" customWidth="1"/>
    <col min="20" max="20" width="51" bestFit="1" customWidth="1"/>
    <col min="21" max="21" width="41.58203125" bestFit="1" customWidth="1"/>
    <col min="22" max="22" width="11" bestFit="1" customWidth="1"/>
  </cols>
  <sheetData>
    <row r="2" spans="1:31">
      <c r="B2" s="6"/>
      <c r="D2" s="6"/>
    </row>
    <row r="3" spans="1:31" s="1" customFormat="1">
      <c r="B3" s="106" t="s">
        <v>0</v>
      </c>
      <c r="C3" s="107" t="s">
        <v>1</v>
      </c>
      <c r="D3" s="106" t="s">
        <v>3</v>
      </c>
      <c r="E3" s="107" t="s">
        <v>26</v>
      </c>
      <c r="F3" s="107" t="s">
        <v>10</v>
      </c>
      <c r="G3" s="107" t="s">
        <v>27</v>
      </c>
      <c r="H3" s="108" t="s">
        <v>28</v>
      </c>
      <c r="I3" s="108" t="s">
        <v>9</v>
      </c>
      <c r="J3" s="109" t="s">
        <v>7</v>
      </c>
      <c r="K3" s="109" t="s">
        <v>11</v>
      </c>
      <c r="L3" s="110" t="s">
        <v>5</v>
      </c>
      <c r="M3" s="111" t="s">
        <v>35</v>
      </c>
      <c r="N3" s="112" t="s">
        <v>55</v>
      </c>
      <c r="O3" s="110" t="s">
        <v>38</v>
      </c>
      <c r="P3" s="110" t="s">
        <v>25</v>
      </c>
      <c r="Q3" s="110" t="s">
        <v>29</v>
      </c>
      <c r="R3" s="113" t="s">
        <v>2</v>
      </c>
      <c r="S3" s="113" t="s">
        <v>30</v>
      </c>
    </row>
    <row r="4" spans="1:31" s="1" customFormat="1" ht="68">
      <c r="B4" s="15">
        <v>1</v>
      </c>
      <c r="C4" s="16" t="s">
        <v>16</v>
      </c>
      <c r="D4" s="15" t="s">
        <v>12</v>
      </c>
      <c r="E4" s="16" t="s">
        <v>19</v>
      </c>
      <c r="F4" s="16"/>
      <c r="G4" s="70">
        <v>45533</v>
      </c>
      <c r="H4" s="70">
        <v>45838</v>
      </c>
      <c r="I4" s="25" t="s">
        <v>20</v>
      </c>
      <c r="J4" s="16" t="s">
        <v>18</v>
      </c>
      <c r="K4" s="16"/>
      <c r="L4" s="37">
        <v>56000000</v>
      </c>
      <c r="M4" s="37">
        <v>56000000</v>
      </c>
      <c r="N4" s="47">
        <f>L4-M4</f>
        <v>0</v>
      </c>
      <c r="O4" s="36">
        <v>0</v>
      </c>
      <c r="P4" s="36">
        <v>0</v>
      </c>
      <c r="Q4" s="38">
        <f>O4-P4</f>
        <v>0</v>
      </c>
      <c r="R4" s="65"/>
      <c r="S4" s="65" t="s">
        <v>60</v>
      </c>
      <c r="T4" s="105"/>
      <c r="U4" s="17"/>
      <c r="V4" s="17"/>
      <c r="W4" s="17"/>
      <c r="X4" s="17"/>
      <c r="Y4" s="17"/>
      <c r="Z4" s="17"/>
      <c r="AA4" s="117"/>
      <c r="AB4" s="117"/>
      <c r="AC4" s="117"/>
      <c r="AD4" s="117"/>
    </row>
    <row r="5" spans="1:31" s="17" customFormat="1">
      <c r="A5" s="1"/>
      <c r="B5" s="92"/>
      <c r="C5" s="93"/>
      <c r="D5" s="92"/>
      <c r="E5" s="93"/>
      <c r="F5" s="93"/>
      <c r="G5" s="94"/>
      <c r="H5" s="94"/>
      <c r="I5" s="95"/>
      <c r="J5" s="93"/>
      <c r="K5" s="93"/>
      <c r="L5" s="122"/>
      <c r="M5" s="122"/>
      <c r="N5" s="115"/>
      <c r="O5" s="98"/>
      <c r="P5" s="98"/>
      <c r="Q5" s="99"/>
      <c r="R5" s="123"/>
      <c r="S5" s="93"/>
      <c r="T5" s="105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 s="17" customFormat="1">
      <c r="B6" s="15"/>
      <c r="C6" s="16"/>
      <c r="D6" s="15"/>
      <c r="E6" s="16"/>
      <c r="F6" s="16"/>
      <c r="G6" s="15"/>
      <c r="H6" s="25"/>
      <c r="I6" s="25"/>
      <c r="J6" s="16"/>
      <c r="K6" s="16"/>
      <c r="L6" s="37"/>
      <c r="M6" s="37"/>
      <c r="N6" s="51"/>
      <c r="O6" s="51"/>
      <c r="P6" s="36"/>
      <c r="Q6" s="38"/>
      <c r="R6" s="16"/>
      <c r="S6" s="16"/>
    </row>
    <row r="7" spans="1:31" s="17" customFormat="1">
      <c r="B7" s="15"/>
      <c r="C7" s="16"/>
      <c r="D7" s="15"/>
      <c r="E7" s="16"/>
      <c r="F7" s="16"/>
      <c r="G7" s="15"/>
      <c r="H7" s="25"/>
      <c r="I7" s="25"/>
      <c r="J7" s="16"/>
      <c r="K7" s="16"/>
      <c r="L7" s="37"/>
      <c r="M7" s="37"/>
      <c r="N7" s="51"/>
      <c r="O7" s="51"/>
      <c r="P7" s="36"/>
      <c r="Q7" s="38"/>
      <c r="R7" s="16"/>
      <c r="S7" s="16"/>
    </row>
    <row r="8" spans="1:31" s="17" customFormat="1">
      <c r="B8" s="15"/>
      <c r="C8" s="16"/>
      <c r="D8" s="15"/>
      <c r="E8" s="16"/>
      <c r="F8" s="16"/>
      <c r="G8" s="15"/>
      <c r="H8" s="25"/>
      <c r="I8" s="25"/>
      <c r="J8" s="16"/>
      <c r="K8" s="16"/>
      <c r="L8" s="37"/>
      <c r="M8" s="37"/>
      <c r="N8" s="51"/>
      <c r="O8" s="51"/>
      <c r="P8" s="36"/>
      <c r="Q8" s="38"/>
      <c r="R8" s="16"/>
      <c r="S8" s="16"/>
    </row>
    <row r="9" spans="1:31" s="17" customFormat="1">
      <c r="B9" s="52"/>
      <c r="C9" s="23"/>
      <c r="D9" s="52"/>
      <c r="E9" s="23"/>
      <c r="F9" s="23"/>
      <c r="G9" s="52"/>
      <c r="H9" s="26"/>
      <c r="I9" s="26"/>
      <c r="J9" s="23"/>
      <c r="K9" s="23"/>
      <c r="L9" s="47"/>
      <c r="M9" s="37"/>
      <c r="N9" s="48"/>
      <c r="O9" s="48"/>
      <c r="P9" s="36"/>
      <c r="Q9" s="38"/>
      <c r="R9" s="30"/>
      <c r="S9" s="45"/>
    </row>
    <row r="10" spans="1:31" s="17" customFormat="1">
      <c r="A10" s="1"/>
      <c r="B10" s="15"/>
      <c r="C10" s="16"/>
      <c r="D10" s="15"/>
      <c r="E10" s="16"/>
      <c r="F10" s="16"/>
      <c r="G10" s="15"/>
      <c r="H10" s="25"/>
      <c r="I10" s="25"/>
      <c r="J10" s="16"/>
      <c r="K10" s="16"/>
      <c r="L10" s="37"/>
      <c r="M10" s="37"/>
      <c r="N10" s="37"/>
      <c r="O10" s="37"/>
      <c r="P10" s="36"/>
      <c r="Q10" s="38"/>
      <c r="R10" s="16"/>
      <c r="S10" s="29"/>
    </row>
    <row r="11" spans="1:31" s="17" customFormat="1">
      <c r="B11" s="15"/>
      <c r="C11" s="16"/>
      <c r="D11" s="15"/>
      <c r="E11" s="16"/>
      <c r="F11" s="16"/>
      <c r="G11" s="15"/>
      <c r="H11" s="25"/>
      <c r="I11" s="25"/>
      <c r="J11" s="16"/>
      <c r="K11" s="16"/>
      <c r="L11" s="37"/>
      <c r="M11" s="37"/>
      <c r="N11" s="37"/>
      <c r="O11" s="37"/>
      <c r="P11" s="36"/>
      <c r="Q11" s="38"/>
      <c r="R11" s="16"/>
      <c r="S11" s="29"/>
    </row>
    <row r="12" spans="1:31" s="17" customFormat="1">
      <c r="B12" s="15"/>
      <c r="C12" s="16"/>
      <c r="D12" s="15"/>
      <c r="E12" s="16"/>
      <c r="F12" s="16"/>
      <c r="G12" s="15"/>
      <c r="H12" s="25"/>
      <c r="I12" s="25"/>
      <c r="J12" s="16"/>
      <c r="K12" s="16"/>
      <c r="L12" s="37"/>
      <c r="M12" s="37"/>
      <c r="N12" s="37"/>
      <c r="O12" s="37"/>
      <c r="P12" s="36"/>
      <c r="Q12" s="38"/>
      <c r="R12" s="16"/>
      <c r="S12" s="39"/>
    </row>
    <row r="13" spans="1:31" s="17" customFormat="1">
      <c r="B13" s="15"/>
      <c r="C13" s="16"/>
      <c r="D13" s="15"/>
      <c r="E13" s="16"/>
      <c r="F13" s="16"/>
      <c r="G13" s="15"/>
      <c r="H13" s="25"/>
      <c r="I13" s="25"/>
      <c r="J13" s="16"/>
      <c r="K13" s="16"/>
      <c r="L13" s="37"/>
      <c r="M13" s="37"/>
      <c r="N13" s="37"/>
      <c r="O13" s="37"/>
      <c r="P13" s="36"/>
      <c r="Q13" s="38"/>
      <c r="R13" s="16"/>
      <c r="S13" s="16"/>
    </row>
    <row r="14" spans="1:31" s="17" customFormat="1">
      <c r="B14" s="15"/>
      <c r="C14" s="16"/>
      <c r="D14" s="15"/>
      <c r="E14" s="16"/>
      <c r="F14" s="16"/>
      <c r="G14" s="15"/>
      <c r="H14" s="25"/>
      <c r="I14" s="25"/>
      <c r="J14" s="16"/>
      <c r="K14" s="16"/>
      <c r="L14" s="37"/>
      <c r="M14" s="37"/>
      <c r="N14" s="37"/>
      <c r="O14" s="37"/>
      <c r="P14" s="36"/>
      <c r="Q14" s="38"/>
      <c r="R14" s="16"/>
      <c r="S14" s="16"/>
    </row>
    <row r="15" spans="1:31" s="17" customFormat="1">
      <c r="B15" s="15"/>
      <c r="C15" s="16"/>
      <c r="D15" s="15"/>
      <c r="E15" s="16"/>
      <c r="F15" s="16"/>
      <c r="G15" s="15"/>
      <c r="H15" s="25"/>
      <c r="I15" s="25"/>
      <c r="J15" s="16"/>
      <c r="K15" s="16"/>
      <c r="L15" s="37"/>
      <c r="M15" s="37"/>
      <c r="N15" s="37"/>
      <c r="O15" s="37"/>
      <c r="P15" s="36"/>
      <c r="Q15" s="38"/>
      <c r="R15" s="16"/>
      <c r="S15" s="16"/>
    </row>
    <row r="16" spans="1:31" s="17" customFormat="1">
      <c r="B16" s="15"/>
      <c r="C16" s="16"/>
      <c r="D16" s="15"/>
      <c r="E16" s="16"/>
      <c r="F16" s="16"/>
      <c r="G16" s="15"/>
      <c r="H16" s="25"/>
      <c r="I16" s="25"/>
      <c r="J16" s="16"/>
      <c r="K16" s="16"/>
      <c r="L16" s="37"/>
      <c r="M16" s="37"/>
      <c r="N16" s="37"/>
      <c r="O16" s="37"/>
      <c r="P16" s="36"/>
      <c r="Q16" s="38"/>
      <c r="R16" s="16"/>
      <c r="S16" s="16"/>
    </row>
    <row r="17" spans="2:19" s="17" customFormat="1">
      <c r="B17" s="15"/>
      <c r="C17" s="16"/>
      <c r="D17" s="15"/>
      <c r="E17" s="16"/>
      <c r="F17" s="16"/>
      <c r="G17" s="15"/>
      <c r="H17" s="25"/>
      <c r="I17" s="25"/>
      <c r="J17" s="16"/>
      <c r="K17" s="16"/>
      <c r="L17" s="37"/>
      <c r="M17" s="37"/>
      <c r="N17" s="37"/>
      <c r="O17" s="37"/>
      <c r="P17" s="36"/>
      <c r="Q17" s="38"/>
      <c r="R17" s="16"/>
      <c r="S17" s="16"/>
    </row>
    <row r="18" spans="2:19" s="17" customFormat="1">
      <c r="B18" s="15"/>
      <c r="C18" s="16"/>
      <c r="D18" s="15"/>
      <c r="E18" s="16"/>
      <c r="F18" s="16"/>
      <c r="G18" s="15"/>
      <c r="H18" s="25"/>
      <c r="I18" s="25"/>
      <c r="J18" s="16"/>
      <c r="K18" s="16"/>
      <c r="L18" s="37"/>
      <c r="M18" s="37"/>
      <c r="N18" s="37"/>
      <c r="O18" s="37"/>
      <c r="P18" s="36"/>
      <c r="Q18" s="38"/>
      <c r="R18" s="16"/>
      <c r="S18" s="16"/>
    </row>
    <row r="19" spans="2:19" s="17" customFormat="1">
      <c r="B19" s="15"/>
      <c r="C19" s="16"/>
      <c r="D19" s="15"/>
      <c r="E19" s="16"/>
      <c r="F19" s="16"/>
      <c r="G19" s="15"/>
      <c r="H19" s="25"/>
      <c r="I19" s="25"/>
      <c r="J19" s="16"/>
      <c r="K19" s="16"/>
      <c r="L19" s="37"/>
      <c r="M19" s="37"/>
      <c r="N19" s="37"/>
      <c r="O19" s="37"/>
      <c r="P19" s="36"/>
      <c r="Q19" s="38"/>
      <c r="R19" s="16"/>
      <c r="S19" s="16"/>
    </row>
    <row r="20" spans="2:19" s="17" customFormat="1">
      <c r="B20" s="15"/>
      <c r="C20" s="16"/>
      <c r="D20" s="15"/>
      <c r="E20" s="16"/>
      <c r="F20" s="16"/>
      <c r="G20" s="15"/>
      <c r="H20" s="26"/>
      <c r="I20" s="25"/>
      <c r="J20" s="16"/>
      <c r="K20" s="16"/>
      <c r="L20" s="37"/>
      <c r="M20" s="37"/>
      <c r="N20" s="47"/>
      <c r="O20" s="47"/>
      <c r="P20" s="36"/>
      <c r="Q20" s="38"/>
      <c r="R20" s="16"/>
      <c r="S20" s="29"/>
    </row>
    <row r="21" spans="2:19" s="17" customFormat="1">
      <c r="B21" s="15"/>
      <c r="C21" s="16"/>
      <c r="D21" s="15"/>
      <c r="E21" s="16"/>
      <c r="F21" s="16"/>
      <c r="G21" s="15"/>
      <c r="H21" s="26"/>
      <c r="I21" s="25"/>
      <c r="J21" s="16"/>
      <c r="K21" s="16"/>
      <c r="L21" s="37"/>
      <c r="M21" s="37"/>
      <c r="N21" s="47"/>
      <c r="O21" s="47"/>
      <c r="P21" s="36"/>
      <c r="Q21" s="38"/>
      <c r="R21" s="23"/>
      <c r="S21" s="29"/>
    </row>
    <row r="22" spans="2:19" s="17" customFormat="1">
      <c r="B22" s="15"/>
      <c r="C22" s="16"/>
      <c r="D22" s="15"/>
      <c r="E22" s="16"/>
      <c r="F22" s="16"/>
      <c r="G22" s="15"/>
      <c r="H22" s="26"/>
      <c r="I22" s="25"/>
      <c r="J22" s="16"/>
      <c r="K22" s="16"/>
      <c r="L22" s="37"/>
      <c r="M22" s="37"/>
      <c r="N22" s="47"/>
      <c r="O22" s="47"/>
      <c r="P22" s="36"/>
      <c r="Q22" s="38"/>
      <c r="R22" s="16"/>
      <c r="S22" s="16"/>
    </row>
    <row r="23" spans="2:19" s="17" customFormat="1">
      <c r="B23" s="15"/>
      <c r="C23" s="16"/>
      <c r="D23" s="15"/>
      <c r="E23" s="16"/>
      <c r="F23" s="16"/>
      <c r="G23" s="15"/>
      <c r="H23" s="26"/>
      <c r="I23" s="25"/>
      <c r="J23" s="16"/>
      <c r="K23" s="16"/>
      <c r="L23" s="37"/>
      <c r="M23" s="37"/>
      <c r="N23" s="47"/>
      <c r="O23" s="47"/>
      <c r="P23" s="36"/>
      <c r="Q23" s="38"/>
      <c r="R23" s="16"/>
      <c r="S23" s="16"/>
    </row>
    <row r="24" spans="2:19" s="17" customFormat="1">
      <c r="B24" s="15"/>
      <c r="C24" s="16"/>
      <c r="D24" s="15"/>
      <c r="E24" s="16"/>
      <c r="F24" s="16"/>
      <c r="G24" s="15"/>
      <c r="H24" s="26"/>
      <c r="I24" s="25"/>
      <c r="J24" s="16"/>
      <c r="K24" s="16"/>
      <c r="L24" s="37"/>
      <c r="M24" s="37"/>
      <c r="N24" s="47"/>
      <c r="O24" s="47"/>
      <c r="P24" s="36"/>
      <c r="Q24" s="38"/>
      <c r="R24" s="16"/>
      <c r="S24" s="16"/>
    </row>
    <row r="25" spans="2:19" s="17" customFormat="1">
      <c r="B25" s="15"/>
      <c r="C25" s="16"/>
      <c r="D25" s="15"/>
      <c r="E25" s="16"/>
      <c r="F25" s="16"/>
      <c r="G25" s="15"/>
      <c r="H25" s="26"/>
      <c r="I25" s="25"/>
      <c r="J25" s="16"/>
      <c r="K25" s="16"/>
      <c r="L25" s="37"/>
      <c r="M25" s="37"/>
      <c r="N25" s="47"/>
      <c r="O25" s="47"/>
      <c r="P25" s="36"/>
      <c r="Q25" s="38"/>
      <c r="R25" s="16"/>
      <c r="S25" s="16"/>
    </row>
    <row r="26" spans="2:19" s="17" customFormat="1">
      <c r="B26" s="15"/>
      <c r="C26" s="16"/>
      <c r="D26" s="15"/>
      <c r="E26" s="16"/>
      <c r="F26" s="16"/>
      <c r="G26" s="15"/>
      <c r="H26" s="26"/>
      <c r="I26" s="25"/>
      <c r="J26" s="16"/>
      <c r="K26" s="16"/>
      <c r="L26" s="37"/>
      <c r="M26" s="37"/>
      <c r="N26" s="47"/>
      <c r="O26" s="47"/>
      <c r="P26" s="36"/>
      <c r="Q26" s="38"/>
      <c r="R26" s="16"/>
      <c r="S26" s="16"/>
    </row>
    <row r="27" spans="2:19" s="17" customFormat="1">
      <c r="B27" s="15"/>
      <c r="C27" s="16"/>
      <c r="D27" s="15"/>
      <c r="E27" s="16"/>
      <c r="F27" s="16"/>
      <c r="G27" s="15"/>
      <c r="H27" s="26"/>
      <c r="I27" s="25"/>
      <c r="J27" s="16"/>
      <c r="K27" s="16"/>
      <c r="L27" s="37"/>
      <c r="M27" s="37"/>
      <c r="N27" s="47"/>
      <c r="O27" s="47"/>
      <c r="P27" s="36"/>
      <c r="Q27" s="38"/>
      <c r="R27" s="16"/>
      <c r="S27" s="16"/>
    </row>
    <row r="28" spans="2:19" s="17" customFormat="1">
      <c r="B28" s="15"/>
      <c r="C28" s="16"/>
      <c r="D28" s="15"/>
      <c r="E28" s="16"/>
      <c r="F28" s="16"/>
      <c r="G28" s="15"/>
      <c r="H28" s="26"/>
      <c r="I28" s="25"/>
      <c r="J28" s="16"/>
      <c r="K28" s="16"/>
      <c r="L28" s="37"/>
      <c r="M28" s="37"/>
      <c r="N28" s="47"/>
      <c r="O28" s="47"/>
      <c r="P28" s="36"/>
      <c r="Q28" s="38"/>
      <c r="R28" s="16"/>
      <c r="S28" s="16"/>
    </row>
    <row r="29" spans="2:19" s="17" customFormat="1">
      <c r="B29" s="15"/>
      <c r="C29" s="16"/>
      <c r="D29" s="15"/>
      <c r="E29" s="16"/>
      <c r="F29" s="16"/>
      <c r="G29" s="15"/>
      <c r="H29" s="26"/>
      <c r="I29" s="25"/>
      <c r="J29" s="16"/>
      <c r="K29" s="16"/>
      <c r="L29" s="37"/>
      <c r="M29" s="37"/>
      <c r="N29" s="47"/>
      <c r="O29" s="47"/>
      <c r="P29" s="36"/>
      <c r="Q29" s="38"/>
      <c r="R29" s="16"/>
      <c r="S29" s="16"/>
    </row>
    <row r="30" spans="2:19" s="17" customFormat="1">
      <c r="B30" s="15"/>
      <c r="C30" s="16"/>
      <c r="D30" s="15"/>
      <c r="E30" s="16"/>
      <c r="F30" s="16"/>
      <c r="G30" s="15"/>
      <c r="H30" s="26"/>
      <c r="I30" s="25"/>
      <c r="J30" s="16"/>
      <c r="K30" s="16"/>
      <c r="L30" s="37"/>
      <c r="M30" s="37"/>
      <c r="N30" s="47"/>
      <c r="O30" s="47"/>
      <c r="P30" s="36"/>
      <c r="Q30" s="38"/>
      <c r="R30" s="16"/>
      <c r="S30" s="16"/>
    </row>
    <row r="31" spans="2:19" s="17" customFormat="1">
      <c r="B31" s="15"/>
      <c r="C31" s="16"/>
      <c r="D31" s="15"/>
      <c r="E31" s="16"/>
      <c r="F31" s="16"/>
      <c r="G31" s="15"/>
      <c r="H31" s="26"/>
      <c r="I31" s="25"/>
      <c r="J31" s="16"/>
      <c r="K31" s="16"/>
      <c r="L31" s="37"/>
      <c r="M31" s="37"/>
      <c r="N31" s="47"/>
      <c r="O31" s="47"/>
      <c r="P31" s="36"/>
      <c r="Q31" s="38"/>
      <c r="R31" s="16"/>
      <c r="S31" s="16"/>
    </row>
    <row r="32" spans="2:19" s="17" customFormat="1">
      <c r="B32" s="15"/>
      <c r="C32" s="16"/>
      <c r="D32" s="15"/>
      <c r="E32" s="16"/>
      <c r="F32" s="16"/>
      <c r="G32" s="15"/>
      <c r="H32" s="25"/>
      <c r="I32" s="25"/>
      <c r="J32" s="16"/>
      <c r="K32" s="16"/>
      <c r="L32" s="37"/>
      <c r="M32" s="37"/>
      <c r="N32" s="37"/>
      <c r="O32" s="37"/>
      <c r="P32" s="36"/>
      <c r="Q32" s="38"/>
      <c r="R32" s="16"/>
      <c r="S32" s="29"/>
    </row>
    <row r="33" spans="2:19" s="17" customFormat="1">
      <c r="B33" s="15"/>
      <c r="C33" s="16"/>
      <c r="D33" s="15"/>
      <c r="E33" s="16"/>
      <c r="F33" s="16"/>
      <c r="G33" s="15"/>
      <c r="H33" s="25"/>
      <c r="I33" s="25"/>
      <c r="J33" s="16"/>
      <c r="K33" s="16"/>
      <c r="L33" s="37"/>
      <c r="M33" s="37"/>
      <c r="N33" s="37"/>
      <c r="O33" s="37"/>
      <c r="P33" s="36"/>
      <c r="Q33" s="38"/>
      <c r="R33" s="16"/>
      <c r="S33" s="29"/>
    </row>
    <row r="34" spans="2:19">
      <c r="B34" s="2"/>
      <c r="C34" s="91"/>
      <c r="D34" s="91"/>
      <c r="E34" s="91"/>
      <c r="F34" s="91"/>
      <c r="G34" s="91"/>
      <c r="H34" s="91"/>
      <c r="I34" s="91"/>
      <c r="J34" s="24"/>
      <c r="K34" s="24"/>
      <c r="L34" s="49">
        <f t="shared" ref="L34:Q34" si="0">SUM(L4:L33)</f>
        <v>56000000</v>
      </c>
      <c r="M34" s="49">
        <f t="shared" si="0"/>
        <v>56000000</v>
      </c>
      <c r="N34" s="49">
        <f t="shared" si="0"/>
        <v>0</v>
      </c>
      <c r="O34" s="37">
        <f t="shared" si="0"/>
        <v>0</v>
      </c>
      <c r="P34" s="37">
        <f t="shared" si="0"/>
        <v>0</v>
      </c>
      <c r="Q34" s="38">
        <f t="shared" si="0"/>
        <v>0</v>
      </c>
      <c r="R34" s="8"/>
      <c r="S34" s="8"/>
    </row>
    <row r="35" spans="2:19">
      <c r="L35" s="50"/>
      <c r="M35" s="50"/>
      <c r="N35" s="50"/>
      <c r="O35" s="50"/>
      <c r="Q35" s="50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6" bestFit="1" customWidth="1"/>
    <col min="13" max="14" width="18.75" style="46" bestFit="1" customWidth="1"/>
    <col min="15" max="15" width="16.75" style="46" bestFit="1" customWidth="1"/>
    <col min="16" max="16" width="16.5" style="34" bestFit="1" customWidth="1"/>
    <col min="17" max="17" width="16.08203125" style="46" customWidth="1"/>
    <col min="18" max="18" width="55.08203125" style="10" bestFit="1" customWidth="1"/>
    <col min="19" max="19" width="33.58203125" style="10" bestFit="1" customWidth="1"/>
    <col min="20" max="20" width="35.5" bestFit="1" customWidth="1"/>
  </cols>
  <sheetData>
    <row r="2" spans="1:20">
      <c r="B2" s="6"/>
      <c r="D2" s="6"/>
    </row>
    <row r="3" spans="1:20" s="1" customFormat="1">
      <c r="B3" s="2" t="s">
        <v>0</v>
      </c>
      <c r="C3" s="3" t="s">
        <v>1</v>
      </c>
      <c r="D3" s="2" t="s">
        <v>3</v>
      </c>
      <c r="E3" s="3" t="s">
        <v>26</v>
      </c>
      <c r="F3" s="3" t="s">
        <v>10</v>
      </c>
      <c r="G3" s="3" t="s">
        <v>27</v>
      </c>
      <c r="H3" s="4" t="s">
        <v>28</v>
      </c>
      <c r="I3" s="4" t="s">
        <v>9</v>
      </c>
      <c r="J3" s="5" t="s">
        <v>7</v>
      </c>
      <c r="K3" s="5" t="s">
        <v>11</v>
      </c>
      <c r="L3" s="35" t="s">
        <v>5</v>
      </c>
      <c r="M3" s="35" t="s">
        <v>34</v>
      </c>
      <c r="N3" s="35" t="s">
        <v>35</v>
      </c>
      <c r="O3" s="35" t="s">
        <v>38</v>
      </c>
      <c r="P3" s="35" t="s">
        <v>25</v>
      </c>
      <c r="Q3" s="35" t="s">
        <v>29</v>
      </c>
      <c r="R3" s="8" t="s">
        <v>2</v>
      </c>
      <c r="S3" s="8" t="s">
        <v>30</v>
      </c>
    </row>
    <row r="4" spans="1:20" s="1" customFormat="1">
      <c r="B4" s="18">
        <v>1</v>
      </c>
      <c r="C4" s="19" t="s">
        <v>40</v>
      </c>
      <c r="D4" s="15"/>
      <c r="E4" s="16"/>
      <c r="F4" s="16"/>
      <c r="G4" s="71"/>
      <c r="H4" s="71"/>
      <c r="I4" s="25"/>
      <c r="J4" s="25"/>
      <c r="K4" s="16"/>
      <c r="L4" s="37"/>
      <c r="M4" s="37"/>
      <c r="N4" s="47"/>
      <c r="O4" s="36"/>
      <c r="P4" s="36"/>
      <c r="Q4" s="38"/>
      <c r="R4" s="33"/>
      <c r="S4" s="45"/>
      <c r="T4" s="81"/>
    </row>
    <row r="5" spans="1:20" s="17" customFormat="1">
      <c r="A5" s="1"/>
      <c r="B5" s="72"/>
      <c r="C5" s="29"/>
      <c r="D5" s="72"/>
      <c r="E5" s="29"/>
      <c r="F5" s="29"/>
      <c r="G5" s="73"/>
      <c r="H5" s="73"/>
      <c r="I5" s="74"/>
      <c r="J5" s="74"/>
      <c r="K5" s="29"/>
      <c r="L5" s="75"/>
      <c r="M5" s="75"/>
      <c r="N5" s="75"/>
      <c r="O5" s="76"/>
      <c r="P5" s="76"/>
      <c r="Q5" s="75"/>
      <c r="R5" s="69"/>
      <c r="S5" s="45"/>
    </row>
    <row r="6" spans="1:20" s="17" customFormat="1">
      <c r="B6" s="15"/>
      <c r="C6" s="16"/>
      <c r="D6" s="15"/>
      <c r="E6" s="16"/>
      <c r="F6" s="16"/>
      <c r="G6" s="15"/>
      <c r="H6" s="25"/>
      <c r="I6" s="25"/>
      <c r="J6" s="16"/>
      <c r="K6" s="16"/>
      <c r="L6" s="37"/>
      <c r="M6" s="37"/>
      <c r="N6" s="51"/>
      <c r="O6" s="51"/>
      <c r="P6" s="36"/>
      <c r="Q6" s="38"/>
      <c r="R6" s="16"/>
      <c r="S6" s="16"/>
    </row>
    <row r="7" spans="1:20" s="17" customFormat="1">
      <c r="B7" s="15"/>
      <c r="C7" s="16"/>
      <c r="D7" s="15"/>
      <c r="E7" s="16"/>
      <c r="F7" s="16"/>
      <c r="G7" s="15"/>
      <c r="H7" s="25"/>
      <c r="I7" s="25"/>
      <c r="J7" s="16"/>
      <c r="K7" s="16"/>
      <c r="L7" s="37"/>
      <c r="M7" s="37"/>
      <c r="N7" s="51"/>
      <c r="O7" s="51"/>
      <c r="P7" s="36"/>
      <c r="Q7" s="38"/>
      <c r="R7" s="16"/>
      <c r="S7" s="16"/>
    </row>
    <row r="8" spans="1:20" s="17" customFormat="1">
      <c r="B8" s="15"/>
      <c r="C8" s="16"/>
      <c r="D8" s="15"/>
      <c r="E8" s="16"/>
      <c r="F8" s="16"/>
      <c r="G8" s="15"/>
      <c r="H8" s="25"/>
      <c r="I8" s="25"/>
      <c r="J8" s="16"/>
      <c r="K8" s="16"/>
      <c r="L8" s="37"/>
      <c r="M8" s="37"/>
      <c r="N8" s="51"/>
      <c r="O8" s="51"/>
      <c r="P8" s="36"/>
      <c r="Q8" s="38"/>
      <c r="R8" s="16"/>
      <c r="S8" s="16"/>
    </row>
    <row r="9" spans="1:20" s="17" customFormat="1">
      <c r="B9" s="52"/>
      <c r="C9" s="23"/>
      <c r="D9" s="52"/>
      <c r="E9" s="23"/>
      <c r="F9" s="23"/>
      <c r="G9" s="52"/>
      <c r="H9" s="26"/>
      <c r="I9" s="26"/>
      <c r="J9" s="23"/>
      <c r="K9" s="23"/>
      <c r="L9" s="47"/>
      <c r="M9" s="37"/>
      <c r="N9" s="48"/>
      <c r="O9" s="48"/>
      <c r="P9" s="36"/>
      <c r="Q9" s="38"/>
      <c r="R9" s="30"/>
      <c r="S9" s="45"/>
    </row>
    <row r="10" spans="1:20" s="17" customFormat="1">
      <c r="A10" s="1"/>
      <c r="B10" s="15"/>
      <c r="C10" s="16"/>
      <c r="D10" s="15"/>
      <c r="E10" s="16"/>
      <c r="F10" s="16"/>
      <c r="G10" s="15"/>
      <c r="H10" s="25"/>
      <c r="I10" s="25"/>
      <c r="J10" s="16"/>
      <c r="K10" s="16"/>
      <c r="L10" s="37"/>
      <c r="M10" s="37"/>
      <c r="N10" s="37"/>
      <c r="O10" s="37"/>
      <c r="P10" s="36"/>
      <c r="Q10" s="38"/>
      <c r="R10" s="16"/>
      <c r="S10" s="29"/>
    </row>
    <row r="11" spans="1:20" s="17" customFormat="1">
      <c r="B11" s="15"/>
      <c r="C11" s="16"/>
      <c r="D11" s="15"/>
      <c r="E11" s="16"/>
      <c r="F11" s="16"/>
      <c r="G11" s="15"/>
      <c r="H11" s="25"/>
      <c r="I11" s="25"/>
      <c r="J11" s="16"/>
      <c r="K11" s="16"/>
      <c r="L11" s="37"/>
      <c r="M11" s="37"/>
      <c r="N11" s="37"/>
      <c r="O11" s="37"/>
      <c r="P11" s="36"/>
      <c r="Q11" s="38"/>
      <c r="R11" s="16"/>
      <c r="S11" s="29"/>
    </row>
    <row r="12" spans="1:20" s="17" customFormat="1">
      <c r="B12" s="15"/>
      <c r="C12" s="16"/>
      <c r="D12" s="15"/>
      <c r="E12" s="16"/>
      <c r="F12" s="16"/>
      <c r="G12" s="15"/>
      <c r="H12" s="25"/>
      <c r="I12" s="25"/>
      <c r="J12" s="16"/>
      <c r="K12" s="16"/>
      <c r="L12" s="37"/>
      <c r="M12" s="37"/>
      <c r="N12" s="37"/>
      <c r="O12" s="37"/>
      <c r="P12" s="36"/>
      <c r="Q12" s="38"/>
      <c r="R12" s="16"/>
      <c r="S12" s="39"/>
    </row>
    <row r="13" spans="1:20" s="17" customFormat="1">
      <c r="B13" s="15"/>
      <c r="C13" s="16"/>
      <c r="D13" s="15"/>
      <c r="E13" s="16"/>
      <c r="F13" s="16"/>
      <c r="G13" s="15"/>
      <c r="H13" s="25"/>
      <c r="I13" s="25"/>
      <c r="J13" s="16"/>
      <c r="K13" s="16"/>
      <c r="L13" s="37"/>
      <c r="M13" s="37"/>
      <c r="N13" s="37"/>
      <c r="O13" s="37"/>
      <c r="P13" s="36"/>
      <c r="Q13" s="38"/>
      <c r="R13" s="16"/>
      <c r="S13" s="16"/>
    </row>
    <row r="14" spans="1:20" s="17" customFormat="1">
      <c r="B14" s="15"/>
      <c r="C14" s="16"/>
      <c r="D14" s="15"/>
      <c r="E14" s="16"/>
      <c r="F14" s="16"/>
      <c r="G14" s="15"/>
      <c r="H14" s="25"/>
      <c r="I14" s="25"/>
      <c r="J14" s="16"/>
      <c r="K14" s="16"/>
      <c r="L14" s="37"/>
      <c r="M14" s="37"/>
      <c r="N14" s="37"/>
      <c r="O14" s="37"/>
      <c r="P14" s="36"/>
      <c r="Q14" s="38"/>
      <c r="R14" s="16"/>
      <c r="S14" s="16"/>
    </row>
    <row r="15" spans="1:20" s="17" customFormat="1">
      <c r="B15" s="15"/>
      <c r="C15" s="16"/>
      <c r="D15" s="15"/>
      <c r="E15" s="16"/>
      <c r="F15" s="16"/>
      <c r="G15" s="15"/>
      <c r="H15" s="25"/>
      <c r="I15" s="25"/>
      <c r="J15" s="16"/>
      <c r="K15" s="16"/>
      <c r="L15" s="37"/>
      <c r="M15" s="37"/>
      <c r="N15" s="37"/>
      <c r="O15" s="37"/>
      <c r="P15" s="36"/>
      <c r="Q15" s="38"/>
      <c r="R15" s="16"/>
      <c r="S15" s="16"/>
    </row>
    <row r="16" spans="1:20" s="17" customFormat="1">
      <c r="B16" s="15"/>
      <c r="C16" s="16"/>
      <c r="D16" s="15"/>
      <c r="E16" s="16"/>
      <c r="F16" s="16"/>
      <c r="G16" s="15"/>
      <c r="H16" s="25"/>
      <c r="I16" s="25"/>
      <c r="J16" s="16"/>
      <c r="K16" s="16"/>
      <c r="L16" s="37"/>
      <c r="M16" s="37"/>
      <c r="N16" s="37"/>
      <c r="O16" s="37"/>
      <c r="P16" s="36"/>
      <c r="Q16" s="38"/>
      <c r="R16" s="16"/>
      <c r="S16" s="16"/>
    </row>
    <row r="17" spans="2:19" s="17" customFormat="1">
      <c r="B17" s="15"/>
      <c r="C17" s="16"/>
      <c r="D17" s="15"/>
      <c r="E17" s="16"/>
      <c r="F17" s="16"/>
      <c r="G17" s="15"/>
      <c r="H17" s="25"/>
      <c r="I17" s="25"/>
      <c r="J17" s="16"/>
      <c r="K17" s="16"/>
      <c r="L17" s="37"/>
      <c r="M17" s="37"/>
      <c r="N17" s="37"/>
      <c r="O17" s="37"/>
      <c r="P17" s="36"/>
      <c r="Q17" s="38"/>
      <c r="R17" s="16"/>
      <c r="S17" s="16"/>
    </row>
    <row r="18" spans="2:19" s="17" customFormat="1">
      <c r="B18" s="15"/>
      <c r="C18" s="16"/>
      <c r="D18" s="15"/>
      <c r="E18" s="16"/>
      <c r="F18" s="16"/>
      <c r="G18" s="15"/>
      <c r="H18" s="25"/>
      <c r="I18" s="25"/>
      <c r="J18" s="16"/>
      <c r="K18" s="16"/>
      <c r="L18" s="37"/>
      <c r="M18" s="37"/>
      <c r="N18" s="37"/>
      <c r="O18" s="37"/>
      <c r="P18" s="36"/>
      <c r="Q18" s="38"/>
      <c r="R18" s="16"/>
      <c r="S18" s="16"/>
    </row>
    <row r="19" spans="2:19" s="17" customFormat="1">
      <c r="B19" s="15"/>
      <c r="C19" s="16"/>
      <c r="D19" s="15"/>
      <c r="E19" s="16"/>
      <c r="F19" s="16"/>
      <c r="G19" s="15"/>
      <c r="H19" s="25"/>
      <c r="I19" s="25"/>
      <c r="J19" s="16"/>
      <c r="K19" s="16"/>
      <c r="L19" s="37"/>
      <c r="M19" s="37"/>
      <c r="N19" s="37"/>
      <c r="O19" s="37"/>
      <c r="P19" s="36"/>
      <c r="Q19" s="38"/>
      <c r="R19" s="16"/>
      <c r="S19" s="16"/>
    </row>
    <row r="20" spans="2:19" s="17" customFormat="1">
      <c r="B20" s="15"/>
      <c r="C20" s="16"/>
      <c r="D20" s="15"/>
      <c r="E20" s="16"/>
      <c r="F20" s="16"/>
      <c r="G20" s="15"/>
      <c r="H20" s="26"/>
      <c r="I20" s="25"/>
      <c r="J20" s="16"/>
      <c r="K20" s="16"/>
      <c r="L20" s="37"/>
      <c r="M20" s="37"/>
      <c r="N20" s="47"/>
      <c r="O20" s="47"/>
      <c r="P20" s="36"/>
      <c r="Q20" s="38"/>
      <c r="R20" s="16"/>
      <c r="S20" s="29"/>
    </row>
    <row r="21" spans="2:19" s="17" customFormat="1">
      <c r="B21" s="15"/>
      <c r="C21" s="16"/>
      <c r="D21" s="15"/>
      <c r="E21" s="16"/>
      <c r="F21" s="16"/>
      <c r="G21" s="15"/>
      <c r="H21" s="26"/>
      <c r="I21" s="25"/>
      <c r="J21" s="16"/>
      <c r="K21" s="16"/>
      <c r="L21" s="37"/>
      <c r="M21" s="37"/>
      <c r="N21" s="47"/>
      <c r="O21" s="47"/>
      <c r="P21" s="36"/>
      <c r="Q21" s="38"/>
      <c r="R21" s="23"/>
      <c r="S21" s="29"/>
    </row>
    <row r="22" spans="2:19" s="17" customFormat="1">
      <c r="B22" s="15"/>
      <c r="C22" s="16"/>
      <c r="D22" s="15"/>
      <c r="E22" s="16"/>
      <c r="F22" s="16"/>
      <c r="G22" s="15"/>
      <c r="H22" s="26"/>
      <c r="I22" s="25"/>
      <c r="J22" s="16"/>
      <c r="K22" s="16"/>
      <c r="L22" s="37"/>
      <c r="M22" s="37"/>
      <c r="N22" s="47"/>
      <c r="O22" s="47"/>
      <c r="P22" s="36"/>
      <c r="Q22" s="38"/>
      <c r="R22" s="16"/>
      <c r="S22" s="16"/>
    </row>
    <row r="23" spans="2:19" s="17" customFormat="1">
      <c r="B23" s="15"/>
      <c r="C23" s="16"/>
      <c r="D23" s="15"/>
      <c r="E23" s="16"/>
      <c r="F23" s="16"/>
      <c r="G23" s="15"/>
      <c r="H23" s="26"/>
      <c r="I23" s="25"/>
      <c r="J23" s="16"/>
      <c r="K23" s="16"/>
      <c r="L23" s="37"/>
      <c r="M23" s="37"/>
      <c r="N23" s="47"/>
      <c r="O23" s="47"/>
      <c r="P23" s="36"/>
      <c r="Q23" s="38"/>
      <c r="R23" s="16"/>
      <c r="S23" s="16"/>
    </row>
    <row r="24" spans="2:19" s="17" customFormat="1">
      <c r="B24" s="15"/>
      <c r="C24" s="16"/>
      <c r="D24" s="15"/>
      <c r="E24" s="16"/>
      <c r="F24" s="16"/>
      <c r="G24" s="15"/>
      <c r="H24" s="26"/>
      <c r="I24" s="25"/>
      <c r="J24" s="16"/>
      <c r="K24" s="16"/>
      <c r="L24" s="37"/>
      <c r="M24" s="37"/>
      <c r="N24" s="47"/>
      <c r="O24" s="47"/>
      <c r="P24" s="36"/>
      <c r="Q24" s="38"/>
      <c r="R24" s="16"/>
      <c r="S24" s="16"/>
    </row>
    <row r="25" spans="2:19" s="17" customFormat="1">
      <c r="B25" s="15"/>
      <c r="C25" s="16"/>
      <c r="D25" s="15"/>
      <c r="E25" s="16"/>
      <c r="F25" s="16"/>
      <c r="G25" s="15"/>
      <c r="H25" s="26"/>
      <c r="I25" s="25"/>
      <c r="J25" s="16"/>
      <c r="K25" s="16"/>
      <c r="L25" s="37"/>
      <c r="M25" s="37"/>
      <c r="N25" s="47"/>
      <c r="O25" s="47"/>
      <c r="P25" s="36"/>
      <c r="Q25" s="38"/>
      <c r="R25" s="16"/>
      <c r="S25" s="16"/>
    </row>
    <row r="26" spans="2:19" s="17" customFormat="1">
      <c r="B26" s="15"/>
      <c r="C26" s="16"/>
      <c r="D26" s="15"/>
      <c r="E26" s="16"/>
      <c r="F26" s="16"/>
      <c r="G26" s="15"/>
      <c r="H26" s="26"/>
      <c r="I26" s="25"/>
      <c r="J26" s="16"/>
      <c r="K26" s="16"/>
      <c r="L26" s="37"/>
      <c r="M26" s="37"/>
      <c r="N26" s="47"/>
      <c r="O26" s="47"/>
      <c r="P26" s="36"/>
      <c r="Q26" s="38"/>
      <c r="R26" s="16"/>
      <c r="S26" s="16"/>
    </row>
    <row r="27" spans="2:19" s="17" customFormat="1">
      <c r="B27" s="15"/>
      <c r="C27" s="16"/>
      <c r="D27" s="15"/>
      <c r="E27" s="16"/>
      <c r="F27" s="16"/>
      <c r="G27" s="15"/>
      <c r="H27" s="26"/>
      <c r="I27" s="25"/>
      <c r="J27" s="16"/>
      <c r="K27" s="16"/>
      <c r="L27" s="37"/>
      <c r="M27" s="37"/>
      <c r="N27" s="47"/>
      <c r="O27" s="47"/>
      <c r="P27" s="36"/>
      <c r="Q27" s="38"/>
      <c r="R27" s="16"/>
      <c r="S27" s="16"/>
    </row>
    <row r="28" spans="2:19" s="17" customFormat="1">
      <c r="B28" s="15"/>
      <c r="C28" s="16"/>
      <c r="D28" s="15"/>
      <c r="E28" s="16"/>
      <c r="F28" s="16"/>
      <c r="G28" s="15"/>
      <c r="H28" s="26"/>
      <c r="I28" s="25"/>
      <c r="J28" s="16"/>
      <c r="K28" s="16"/>
      <c r="L28" s="37"/>
      <c r="M28" s="37"/>
      <c r="N28" s="47"/>
      <c r="O28" s="47"/>
      <c r="P28" s="36"/>
      <c r="Q28" s="38"/>
      <c r="R28" s="16"/>
      <c r="S28" s="16"/>
    </row>
    <row r="29" spans="2:19" s="17" customFormat="1">
      <c r="B29" s="15"/>
      <c r="C29" s="16"/>
      <c r="D29" s="15"/>
      <c r="E29" s="16"/>
      <c r="F29" s="16"/>
      <c r="G29" s="15"/>
      <c r="H29" s="26"/>
      <c r="I29" s="25"/>
      <c r="J29" s="16"/>
      <c r="K29" s="16"/>
      <c r="L29" s="37"/>
      <c r="M29" s="37"/>
      <c r="N29" s="47"/>
      <c r="O29" s="47"/>
      <c r="P29" s="36"/>
      <c r="Q29" s="38"/>
      <c r="R29" s="16"/>
      <c r="S29" s="16"/>
    </row>
    <row r="30" spans="2:19" s="17" customFormat="1">
      <c r="B30" s="15"/>
      <c r="C30" s="16"/>
      <c r="D30" s="15"/>
      <c r="E30" s="16"/>
      <c r="F30" s="16"/>
      <c r="G30" s="15"/>
      <c r="H30" s="26"/>
      <c r="I30" s="25"/>
      <c r="J30" s="16"/>
      <c r="K30" s="16"/>
      <c r="L30" s="37"/>
      <c r="M30" s="37"/>
      <c r="N30" s="47"/>
      <c r="O30" s="47"/>
      <c r="P30" s="36"/>
      <c r="Q30" s="38"/>
      <c r="R30" s="16"/>
      <c r="S30" s="16"/>
    </row>
    <row r="31" spans="2:19" s="17" customFormat="1">
      <c r="B31" s="15"/>
      <c r="C31" s="16"/>
      <c r="D31" s="15"/>
      <c r="E31" s="16"/>
      <c r="F31" s="16"/>
      <c r="G31" s="15"/>
      <c r="H31" s="26"/>
      <c r="I31" s="25"/>
      <c r="J31" s="16"/>
      <c r="K31" s="16"/>
      <c r="L31" s="37"/>
      <c r="M31" s="37"/>
      <c r="N31" s="47"/>
      <c r="O31" s="47"/>
      <c r="P31" s="36"/>
      <c r="Q31" s="38"/>
      <c r="R31" s="16"/>
      <c r="S31" s="16"/>
    </row>
    <row r="32" spans="2:19" s="17" customFormat="1">
      <c r="B32" s="15"/>
      <c r="C32" s="16"/>
      <c r="D32" s="15"/>
      <c r="E32" s="16"/>
      <c r="F32" s="16"/>
      <c r="G32" s="15"/>
      <c r="H32" s="25"/>
      <c r="I32" s="25"/>
      <c r="J32" s="16"/>
      <c r="K32" s="16"/>
      <c r="L32" s="37"/>
      <c r="M32" s="37"/>
      <c r="N32" s="37"/>
      <c r="O32" s="37"/>
      <c r="P32" s="36"/>
      <c r="Q32" s="38"/>
      <c r="R32" s="16"/>
      <c r="S32" s="29"/>
    </row>
    <row r="33" spans="2:19" s="17" customFormat="1">
      <c r="B33" s="15"/>
      <c r="C33" s="16"/>
      <c r="D33" s="15"/>
      <c r="E33" s="16"/>
      <c r="F33" s="16"/>
      <c r="G33" s="15"/>
      <c r="H33" s="25"/>
      <c r="I33" s="25"/>
      <c r="J33" s="16"/>
      <c r="K33" s="16"/>
      <c r="L33" s="37"/>
      <c r="M33" s="37"/>
      <c r="N33" s="37"/>
      <c r="O33" s="37"/>
      <c r="P33" s="36"/>
      <c r="Q33" s="38"/>
      <c r="R33" s="16"/>
      <c r="S33" s="29"/>
    </row>
    <row r="34" spans="2:19">
      <c r="B34" s="2"/>
      <c r="C34" s="91"/>
      <c r="D34" s="91"/>
      <c r="E34" s="91"/>
      <c r="F34" s="91"/>
      <c r="G34" s="91"/>
      <c r="H34" s="91"/>
      <c r="I34" s="91"/>
      <c r="J34" s="24"/>
      <c r="K34" s="24"/>
      <c r="L34" s="49">
        <f t="shared" ref="L34:Q34" si="0">SUM(L4:L33)</f>
        <v>0</v>
      </c>
      <c r="M34" s="49">
        <f t="shared" si="0"/>
        <v>0</v>
      </c>
      <c r="N34" s="49">
        <f t="shared" si="0"/>
        <v>0</v>
      </c>
      <c r="O34" s="37">
        <f t="shared" si="0"/>
        <v>0</v>
      </c>
      <c r="P34" s="37">
        <f t="shared" si="0"/>
        <v>0</v>
      </c>
      <c r="Q34" s="38">
        <f t="shared" si="0"/>
        <v>0</v>
      </c>
      <c r="R34" s="8"/>
      <c r="S34" s="8"/>
    </row>
    <row r="35" spans="2:19">
      <c r="L35" s="50"/>
      <c r="M35" s="50"/>
      <c r="N35" s="50"/>
      <c r="O35" s="50"/>
      <c r="Q35" s="50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7"/>
  <cols>
    <col min="1" max="1" width="4.25" customWidth="1"/>
    <col min="2" max="2" width="5.75" style="1" customWidth="1"/>
    <col min="3" max="3" width="16.6640625" style="7" bestFit="1" customWidth="1"/>
    <col min="4" max="4" width="5.25" style="1" bestFit="1" customWidth="1"/>
    <col min="5" max="5" width="13.5" style="7" bestFit="1" customWidth="1"/>
    <col min="6" max="6" width="14.83203125" style="7" bestFit="1" customWidth="1"/>
    <col min="7" max="7" width="9.25" style="1" customWidth="1"/>
    <col min="8" max="8" width="9.08203125" style="9" customWidth="1"/>
    <col min="9" max="9" width="5.83203125" style="9" bestFit="1" customWidth="1"/>
    <col min="10" max="10" width="33.25" style="7" customWidth="1"/>
    <col min="11" max="11" width="4.75" style="7" bestFit="1" customWidth="1"/>
    <col min="12" max="12" width="18.25" style="46" bestFit="1" customWidth="1"/>
    <col min="13" max="14" width="18.75" style="46" bestFit="1" customWidth="1"/>
    <col min="15" max="15" width="16.75" style="46" bestFit="1" customWidth="1"/>
    <col min="16" max="16" width="16.5" style="34" bestFit="1" customWidth="1"/>
    <col min="17" max="17" width="16.08203125" style="46" customWidth="1"/>
    <col min="18" max="18" width="40.08203125" style="10" bestFit="1" customWidth="1"/>
    <col min="19" max="19" width="33.582031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26</v>
      </c>
      <c r="F3" s="3" t="s">
        <v>10</v>
      </c>
      <c r="G3" s="3" t="s">
        <v>27</v>
      </c>
      <c r="H3" s="4" t="s">
        <v>28</v>
      </c>
      <c r="I3" s="4" t="s">
        <v>9</v>
      </c>
      <c r="J3" s="5" t="s">
        <v>7</v>
      </c>
      <c r="K3" s="5" t="s">
        <v>11</v>
      </c>
      <c r="L3" s="35" t="s">
        <v>5</v>
      </c>
      <c r="M3" s="35" t="s">
        <v>34</v>
      </c>
      <c r="N3" s="35" t="s">
        <v>35</v>
      </c>
      <c r="O3" s="35" t="s">
        <v>38</v>
      </c>
      <c r="P3" s="35" t="s">
        <v>25</v>
      </c>
      <c r="Q3" s="35" t="s">
        <v>29</v>
      </c>
      <c r="R3" s="8" t="s">
        <v>2</v>
      </c>
      <c r="S3" s="8" t="s">
        <v>30</v>
      </c>
    </row>
    <row r="4" spans="1:19" s="1" customFormat="1">
      <c r="B4" s="18">
        <v>1</v>
      </c>
      <c r="C4" s="19" t="s">
        <v>21</v>
      </c>
      <c r="D4" s="18" t="s">
        <v>12</v>
      </c>
      <c r="E4" s="16"/>
      <c r="F4" s="16"/>
      <c r="G4" s="71"/>
      <c r="H4" s="71"/>
      <c r="I4" s="25"/>
      <c r="J4" s="25"/>
      <c r="K4" s="16"/>
      <c r="L4" s="37">
        <v>0</v>
      </c>
      <c r="M4" s="37">
        <v>0</v>
      </c>
      <c r="N4" s="47">
        <f t="shared" ref="N4:N10" si="0">L4-M4</f>
        <v>0</v>
      </c>
      <c r="O4" s="36">
        <v>0</v>
      </c>
      <c r="P4" s="36">
        <v>0</v>
      </c>
      <c r="Q4" s="38">
        <f t="shared" ref="Q4:Q10" si="1">O4-P4</f>
        <v>0</v>
      </c>
      <c r="R4" s="33"/>
      <c r="S4" s="45"/>
    </row>
    <row r="5" spans="1:19" s="17" customFormat="1">
      <c r="A5" s="1"/>
      <c r="B5" s="18">
        <v>2</v>
      </c>
      <c r="C5" s="19" t="s">
        <v>61</v>
      </c>
      <c r="D5" s="18" t="s">
        <v>12</v>
      </c>
      <c r="E5" s="16"/>
      <c r="F5" s="16"/>
      <c r="G5" s="71"/>
      <c r="H5" s="71"/>
      <c r="I5" s="25"/>
      <c r="J5" s="25"/>
      <c r="K5" s="16"/>
      <c r="L5" s="37">
        <v>0</v>
      </c>
      <c r="M5" s="37">
        <v>0</v>
      </c>
      <c r="N5" s="47">
        <f t="shared" ref="N5" si="2">L5-M5</f>
        <v>0</v>
      </c>
      <c r="O5" s="36">
        <v>0</v>
      </c>
      <c r="P5" s="36">
        <v>0</v>
      </c>
      <c r="Q5" s="38">
        <f t="shared" ref="Q5" si="3">O5-P5</f>
        <v>0</v>
      </c>
      <c r="R5" s="33"/>
      <c r="S5" s="45"/>
    </row>
    <row r="6" spans="1:19" s="17" customFormat="1">
      <c r="A6" s="1"/>
      <c r="B6" s="18">
        <v>3</v>
      </c>
      <c r="C6" s="19" t="s">
        <v>31</v>
      </c>
      <c r="D6" s="18" t="s">
        <v>12</v>
      </c>
      <c r="E6" s="16"/>
      <c r="F6" s="16"/>
      <c r="G6" s="71"/>
      <c r="H6" s="71"/>
      <c r="I6" s="25"/>
      <c r="J6" s="25"/>
      <c r="K6" s="16"/>
      <c r="L6" s="37">
        <v>0</v>
      </c>
      <c r="M6" s="37">
        <v>0</v>
      </c>
      <c r="N6" s="47">
        <f t="shared" si="0"/>
        <v>0</v>
      </c>
      <c r="O6" s="36">
        <v>0</v>
      </c>
      <c r="P6" s="36">
        <v>0</v>
      </c>
      <c r="Q6" s="38">
        <f t="shared" si="1"/>
        <v>0</v>
      </c>
      <c r="R6" s="33"/>
      <c r="S6" s="45"/>
    </row>
    <row r="7" spans="1:19" s="17" customFormat="1">
      <c r="B7" s="18">
        <v>4</v>
      </c>
      <c r="C7" s="19" t="s">
        <v>32</v>
      </c>
      <c r="D7" s="18" t="s">
        <v>12</v>
      </c>
      <c r="E7" s="16"/>
      <c r="F7" s="16"/>
      <c r="G7" s="71"/>
      <c r="H7" s="71"/>
      <c r="I7" s="25"/>
      <c r="J7" s="25"/>
      <c r="K7" s="16"/>
      <c r="L7" s="37">
        <v>0</v>
      </c>
      <c r="M7" s="37">
        <v>0</v>
      </c>
      <c r="N7" s="47">
        <f t="shared" si="0"/>
        <v>0</v>
      </c>
      <c r="O7" s="36">
        <v>0</v>
      </c>
      <c r="P7" s="36">
        <v>0</v>
      </c>
      <c r="Q7" s="38">
        <f t="shared" si="1"/>
        <v>0</v>
      </c>
      <c r="R7" s="33"/>
      <c r="S7" s="29"/>
    </row>
    <row r="8" spans="1:19" s="17" customFormat="1">
      <c r="B8" s="18">
        <v>5</v>
      </c>
      <c r="C8" s="19" t="s">
        <v>17</v>
      </c>
      <c r="D8" s="18" t="s">
        <v>12</v>
      </c>
      <c r="E8" s="16"/>
      <c r="F8" s="16"/>
      <c r="G8" s="71"/>
      <c r="H8" s="71"/>
      <c r="I8" s="25"/>
      <c r="J8" s="25"/>
      <c r="K8" s="16"/>
      <c r="L8" s="37">
        <v>0</v>
      </c>
      <c r="M8" s="37">
        <v>0</v>
      </c>
      <c r="N8" s="47">
        <f t="shared" si="0"/>
        <v>0</v>
      </c>
      <c r="O8" s="36">
        <v>0</v>
      </c>
      <c r="P8" s="36">
        <v>0</v>
      </c>
      <c r="Q8" s="38">
        <f t="shared" si="1"/>
        <v>0</v>
      </c>
      <c r="R8" s="33"/>
      <c r="S8" s="45"/>
    </row>
    <row r="9" spans="1:19" s="17" customFormat="1">
      <c r="B9" s="18">
        <v>6</v>
      </c>
      <c r="C9" s="19" t="s">
        <v>23</v>
      </c>
      <c r="D9" s="18" t="s">
        <v>12</v>
      </c>
      <c r="E9" s="16"/>
      <c r="F9" s="16"/>
      <c r="G9" s="71"/>
      <c r="H9" s="71"/>
      <c r="I9" s="25"/>
      <c r="J9" s="25"/>
      <c r="K9" s="16"/>
      <c r="L9" s="37">
        <v>0</v>
      </c>
      <c r="M9" s="37">
        <v>0</v>
      </c>
      <c r="N9" s="47">
        <f t="shared" si="0"/>
        <v>0</v>
      </c>
      <c r="O9" s="36">
        <v>0</v>
      </c>
      <c r="P9" s="36">
        <v>0</v>
      </c>
      <c r="Q9" s="38">
        <f t="shared" si="1"/>
        <v>0</v>
      </c>
      <c r="R9" s="33"/>
      <c r="S9" s="45"/>
    </row>
    <row r="10" spans="1:19" s="17" customFormat="1">
      <c r="B10" s="18">
        <v>7</v>
      </c>
      <c r="C10" s="19" t="s">
        <v>24</v>
      </c>
      <c r="D10" s="18" t="s">
        <v>12</v>
      </c>
      <c r="E10" s="16"/>
      <c r="F10" s="16"/>
      <c r="G10" s="71"/>
      <c r="H10" s="71"/>
      <c r="I10" s="25"/>
      <c r="J10" s="25"/>
      <c r="K10" s="16"/>
      <c r="L10" s="37">
        <v>0</v>
      </c>
      <c r="M10" s="37">
        <v>0</v>
      </c>
      <c r="N10" s="47">
        <f t="shared" si="0"/>
        <v>0</v>
      </c>
      <c r="O10" s="36">
        <v>0</v>
      </c>
      <c r="P10" s="36">
        <v>0</v>
      </c>
      <c r="Q10" s="38">
        <f t="shared" si="1"/>
        <v>0</v>
      </c>
      <c r="R10" s="33"/>
      <c r="S10" s="45"/>
    </row>
    <row r="11" spans="1:19" s="17" customFormat="1">
      <c r="B11" s="18">
        <v>8</v>
      </c>
      <c r="C11" s="19" t="s">
        <v>70</v>
      </c>
      <c r="D11" s="18" t="s">
        <v>12</v>
      </c>
      <c r="E11" s="16"/>
      <c r="F11" s="16"/>
      <c r="G11" s="71"/>
      <c r="H11" s="71"/>
      <c r="I11" s="25"/>
      <c r="J11" s="25"/>
      <c r="K11" s="16"/>
      <c r="L11" s="37">
        <v>0</v>
      </c>
      <c r="M11" s="37">
        <v>0</v>
      </c>
      <c r="N11" s="47">
        <f t="shared" ref="N11" si="4">L11-M11</f>
        <v>0</v>
      </c>
      <c r="O11" s="36">
        <v>0</v>
      </c>
      <c r="P11" s="36">
        <v>0</v>
      </c>
      <c r="Q11" s="38">
        <f t="shared" ref="Q11" si="5">O11-P11</f>
        <v>0</v>
      </c>
      <c r="R11" s="33"/>
      <c r="S11" s="45"/>
    </row>
    <row r="12" spans="1:19" s="17" customFormat="1">
      <c r="B12" s="15"/>
      <c r="C12" s="16"/>
      <c r="D12" s="15"/>
      <c r="E12" s="16"/>
      <c r="F12" s="16"/>
      <c r="G12" s="15"/>
      <c r="H12" s="25"/>
      <c r="I12" s="25"/>
      <c r="J12" s="16"/>
      <c r="K12" s="16"/>
      <c r="L12" s="37"/>
      <c r="M12" s="37"/>
      <c r="N12" s="37"/>
      <c r="O12" s="37"/>
      <c r="P12" s="36"/>
      <c r="Q12" s="38"/>
      <c r="R12" s="16"/>
      <c r="S12" s="39"/>
    </row>
    <row r="13" spans="1:19" s="17" customFormat="1">
      <c r="B13" s="15"/>
      <c r="C13" s="16"/>
      <c r="D13" s="15"/>
      <c r="E13" s="16"/>
      <c r="F13" s="16"/>
      <c r="G13" s="15"/>
      <c r="H13" s="25"/>
      <c r="I13" s="25"/>
      <c r="J13" s="16"/>
      <c r="K13" s="16"/>
      <c r="L13" s="37"/>
      <c r="M13" s="37"/>
      <c r="N13" s="37"/>
      <c r="O13" s="37"/>
      <c r="P13" s="36"/>
      <c r="Q13" s="38"/>
      <c r="R13" s="16"/>
      <c r="S13" s="16"/>
    </row>
    <row r="14" spans="1:19" s="17" customFormat="1">
      <c r="B14" s="15"/>
      <c r="C14" s="16"/>
      <c r="D14" s="15"/>
      <c r="E14" s="16"/>
      <c r="F14" s="16"/>
      <c r="G14" s="15"/>
      <c r="H14" s="25"/>
      <c r="I14" s="25"/>
      <c r="J14" s="16"/>
      <c r="K14" s="16"/>
      <c r="L14" s="37"/>
      <c r="M14" s="37"/>
      <c r="N14" s="37"/>
      <c r="O14" s="37"/>
      <c r="P14" s="36"/>
      <c r="Q14" s="38"/>
      <c r="R14" s="16"/>
      <c r="S14" s="16"/>
    </row>
    <row r="15" spans="1:19" s="17" customFormat="1">
      <c r="B15" s="15"/>
      <c r="C15" s="16"/>
      <c r="D15" s="15"/>
      <c r="E15" s="16"/>
      <c r="F15" s="16"/>
      <c r="G15" s="15"/>
      <c r="H15" s="25"/>
      <c r="I15" s="25"/>
      <c r="J15" s="16"/>
      <c r="K15" s="16"/>
      <c r="L15" s="37"/>
      <c r="M15" s="37"/>
      <c r="N15" s="37"/>
      <c r="O15" s="37"/>
      <c r="P15" s="36"/>
      <c r="Q15" s="38"/>
      <c r="R15" s="16"/>
      <c r="S15" s="16"/>
    </row>
    <row r="16" spans="1:19" s="17" customFormat="1">
      <c r="B16" s="15"/>
      <c r="C16" s="16"/>
      <c r="D16" s="15"/>
      <c r="E16" s="16"/>
      <c r="F16" s="16"/>
      <c r="G16" s="15"/>
      <c r="H16" s="25"/>
      <c r="I16" s="25"/>
      <c r="J16" s="16"/>
      <c r="K16" s="16"/>
      <c r="L16" s="37"/>
      <c r="M16" s="37"/>
      <c r="N16" s="37"/>
      <c r="O16" s="37"/>
      <c r="P16" s="36"/>
      <c r="Q16" s="38"/>
      <c r="R16" s="16"/>
      <c r="S16" s="16"/>
    </row>
    <row r="17" spans="2:19" s="17" customFormat="1">
      <c r="B17" s="15"/>
      <c r="C17" s="16"/>
      <c r="D17" s="15"/>
      <c r="E17" s="16"/>
      <c r="F17" s="16"/>
      <c r="G17" s="15"/>
      <c r="H17" s="25"/>
      <c r="I17" s="25"/>
      <c r="J17" s="16"/>
      <c r="K17" s="16"/>
      <c r="L17" s="37"/>
      <c r="M17" s="37"/>
      <c r="N17" s="37"/>
      <c r="O17" s="37"/>
      <c r="P17" s="36"/>
      <c r="Q17" s="38"/>
      <c r="R17" s="16"/>
      <c r="S17" s="16"/>
    </row>
    <row r="18" spans="2:19" s="17" customFormat="1">
      <c r="B18" s="15"/>
      <c r="C18" s="16"/>
      <c r="D18" s="15"/>
      <c r="E18" s="16"/>
      <c r="F18" s="16"/>
      <c r="G18" s="15"/>
      <c r="H18" s="25"/>
      <c r="I18" s="25"/>
      <c r="J18" s="16"/>
      <c r="K18" s="16"/>
      <c r="L18" s="37"/>
      <c r="M18" s="37"/>
      <c r="N18" s="37"/>
      <c r="O18" s="37"/>
      <c r="P18" s="36"/>
      <c r="Q18" s="38"/>
      <c r="R18" s="16"/>
      <c r="S18" s="16"/>
    </row>
    <row r="19" spans="2:19" s="17" customFormat="1">
      <c r="B19" s="15"/>
      <c r="C19" s="16"/>
      <c r="D19" s="15"/>
      <c r="E19" s="16"/>
      <c r="F19" s="16"/>
      <c r="G19" s="15"/>
      <c r="H19" s="25"/>
      <c r="I19" s="25"/>
      <c r="J19" s="16"/>
      <c r="K19" s="16"/>
      <c r="L19" s="37"/>
      <c r="M19" s="37"/>
      <c r="N19" s="37"/>
      <c r="O19" s="37"/>
      <c r="P19" s="36"/>
      <c r="Q19" s="38"/>
      <c r="R19" s="16"/>
      <c r="S19" s="16"/>
    </row>
    <row r="20" spans="2:19" s="17" customFormat="1">
      <c r="B20" s="15"/>
      <c r="C20" s="16"/>
      <c r="D20" s="15"/>
      <c r="E20" s="16"/>
      <c r="F20" s="16"/>
      <c r="G20" s="15"/>
      <c r="H20" s="26"/>
      <c r="I20" s="25"/>
      <c r="J20" s="16"/>
      <c r="K20" s="16"/>
      <c r="L20" s="37"/>
      <c r="M20" s="37"/>
      <c r="N20" s="47"/>
      <c r="O20" s="47"/>
      <c r="P20" s="36"/>
      <c r="Q20" s="38"/>
      <c r="R20" s="16"/>
      <c r="S20" s="29"/>
    </row>
    <row r="21" spans="2:19" s="17" customFormat="1">
      <c r="B21" s="15"/>
      <c r="C21" s="16"/>
      <c r="D21" s="15"/>
      <c r="E21" s="16"/>
      <c r="F21" s="16"/>
      <c r="G21" s="15"/>
      <c r="H21" s="26"/>
      <c r="I21" s="25"/>
      <c r="J21" s="16"/>
      <c r="K21" s="16"/>
      <c r="L21" s="37"/>
      <c r="M21" s="37"/>
      <c r="N21" s="47"/>
      <c r="O21" s="47"/>
      <c r="P21" s="36"/>
      <c r="Q21" s="38"/>
      <c r="R21" s="23"/>
      <c r="S21" s="29"/>
    </row>
    <row r="22" spans="2:19" s="17" customFormat="1">
      <c r="B22" s="15"/>
      <c r="C22" s="16"/>
      <c r="D22" s="15"/>
      <c r="E22" s="16"/>
      <c r="F22" s="16"/>
      <c r="G22" s="15"/>
      <c r="H22" s="26"/>
      <c r="I22" s="25"/>
      <c r="J22" s="16"/>
      <c r="K22" s="16"/>
      <c r="L22" s="37"/>
      <c r="M22" s="37"/>
      <c r="N22" s="47"/>
      <c r="O22" s="47"/>
      <c r="P22" s="36"/>
      <c r="Q22" s="38"/>
      <c r="R22" s="16"/>
      <c r="S22" s="16"/>
    </row>
    <row r="23" spans="2:19" s="17" customFormat="1">
      <c r="B23" s="15"/>
      <c r="C23" s="16"/>
      <c r="D23" s="15"/>
      <c r="E23" s="16"/>
      <c r="F23" s="16"/>
      <c r="G23" s="15"/>
      <c r="H23" s="26"/>
      <c r="I23" s="25"/>
      <c r="J23" s="16"/>
      <c r="K23" s="16"/>
      <c r="L23" s="37"/>
      <c r="M23" s="37"/>
      <c r="N23" s="47"/>
      <c r="O23" s="47"/>
      <c r="P23" s="36"/>
      <c r="Q23" s="38"/>
      <c r="R23" s="16"/>
      <c r="S23" s="16"/>
    </row>
    <row r="24" spans="2:19" s="17" customFormat="1">
      <c r="B24" s="15"/>
      <c r="C24" s="16"/>
      <c r="D24" s="15"/>
      <c r="E24" s="16"/>
      <c r="F24" s="16"/>
      <c r="G24" s="15"/>
      <c r="H24" s="26"/>
      <c r="I24" s="25"/>
      <c r="J24" s="16"/>
      <c r="K24" s="16"/>
      <c r="L24" s="37"/>
      <c r="M24" s="37"/>
      <c r="N24" s="47"/>
      <c r="O24" s="47"/>
      <c r="P24" s="36"/>
      <c r="Q24" s="38"/>
      <c r="R24" s="16"/>
      <c r="S24" s="16"/>
    </row>
    <row r="25" spans="2:19" s="17" customFormat="1">
      <c r="B25" s="15"/>
      <c r="C25" s="16"/>
      <c r="D25" s="15"/>
      <c r="E25" s="16"/>
      <c r="F25" s="16"/>
      <c r="G25" s="15"/>
      <c r="H25" s="26"/>
      <c r="I25" s="25"/>
      <c r="J25" s="16"/>
      <c r="K25" s="16"/>
      <c r="L25" s="37"/>
      <c r="M25" s="37"/>
      <c r="N25" s="47"/>
      <c r="O25" s="47"/>
      <c r="P25" s="36"/>
      <c r="Q25" s="38"/>
      <c r="R25" s="16"/>
      <c r="S25" s="16"/>
    </row>
    <row r="26" spans="2:19" s="17" customFormat="1">
      <c r="B26" s="15"/>
      <c r="C26" s="16"/>
      <c r="D26" s="15"/>
      <c r="E26" s="16"/>
      <c r="F26" s="16"/>
      <c r="G26" s="15"/>
      <c r="H26" s="26"/>
      <c r="I26" s="25"/>
      <c r="J26" s="16"/>
      <c r="K26" s="16"/>
      <c r="L26" s="37"/>
      <c r="M26" s="37"/>
      <c r="N26" s="47"/>
      <c r="O26" s="47"/>
      <c r="P26" s="36"/>
      <c r="Q26" s="38"/>
      <c r="R26" s="16"/>
      <c r="S26" s="16"/>
    </row>
    <row r="27" spans="2:19" s="17" customFormat="1">
      <c r="B27" s="15"/>
      <c r="C27" s="16"/>
      <c r="D27" s="15"/>
      <c r="E27" s="16"/>
      <c r="F27" s="16"/>
      <c r="G27" s="15"/>
      <c r="H27" s="26"/>
      <c r="I27" s="25"/>
      <c r="J27" s="16"/>
      <c r="K27" s="16"/>
      <c r="L27" s="37"/>
      <c r="M27" s="37"/>
      <c r="N27" s="47"/>
      <c r="O27" s="47"/>
      <c r="P27" s="36"/>
      <c r="Q27" s="38"/>
      <c r="R27" s="16"/>
      <c r="S27" s="16"/>
    </row>
    <row r="28" spans="2:19" s="17" customFormat="1">
      <c r="B28" s="15"/>
      <c r="C28" s="16"/>
      <c r="D28" s="15"/>
      <c r="E28" s="16"/>
      <c r="F28" s="16"/>
      <c r="G28" s="15"/>
      <c r="H28" s="26"/>
      <c r="I28" s="25"/>
      <c r="J28" s="16"/>
      <c r="K28" s="16"/>
      <c r="L28" s="37"/>
      <c r="M28" s="37"/>
      <c r="N28" s="47"/>
      <c r="O28" s="47"/>
      <c r="P28" s="36"/>
      <c r="Q28" s="38"/>
      <c r="R28" s="16"/>
      <c r="S28" s="16"/>
    </row>
    <row r="29" spans="2:19" s="17" customFormat="1">
      <c r="B29" s="15"/>
      <c r="C29" s="16"/>
      <c r="D29" s="15"/>
      <c r="E29" s="16"/>
      <c r="F29" s="16"/>
      <c r="G29" s="15"/>
      <c r="H29" s="26"/>
      <c r="I29" s="25"/>
      <c r="J29" s="16"/>
      <c r="K29" s="16"/>
      <c r="L29" s="37"/>
      <c r="M29" s="37"/>
      <c r="N29" s="47"/>
      <c r="O29" s="47"/>
      <c r="P29" s="36"/>
      <c r="Q29" s="38"/>
      <c r="R29" s="16"/>
      <c r="S29" s="16"/>
    </row>
    <row r="30" spans="2:19" s="17" customFormat="1">
      <c r="B30" s="15"/>
      <c r="C30" s="16"/>
      <c r="D30" s="15"/>
      <c r="E30" s="16"/>
      <c r="F30" s="16"/>
      <c r="G30" s="15"/>
      <c r="H30" s="26"/>
      <c r="I30" s="25"/>
      <c r="J30" s="16"/>
      <c r="K30" s="16"/>
      <c r="L30" s="37"/>
      <c r="M30" s="37"/>
      <c r="N30" s="47"/>
      <c r="O30" s="47"/>
      <c r="P30" s="36"/>
      <c r="Q30" s="38"/>
      <c r="R30" s="16"/>
      <c r="S30" s="16"/>
    </row>
    <row r="31" spans="2:19" s="17" customFormat="1">
      <c r="B31" s="15"/>
      <c r="C31" s="16"/>
      <c r="D31" s="15"/>
      <c r="E31" s="16"/>
      <c r="F31" s="16"/>
      <c r="G31" s="15"/>
      <c r="H31" s="26"/>
      <c r="I31" s="25"/>
      <c r="J31" s="16"/>
      <c r="K31" s="16"/>
      <c r="L31" s="37"/>
      <c r="M31" s="37"/>
      <c r="N31" s="47"/>
      <c r="O31" s="47"/>
      <c r="P31" s="36"/>
      <c r="Q31" s="38"/>
      <c r="R31" s="16"/>
      <c r="S31" s="16"/>
    </row>
    <row r="32" spans="2:19" s="17" customFormat="1">
      <c r="B32" s="15"/>
      <c r="C32" s="16"/>
      <c r="D32" s="15"/>
      <c r="E32" s="16"/>
      <c r="F32" s="16"/>
      <c r="G32" s="15"/>
      <c r="H32" s="25"/>
      <c r="I32" s="25"/>
      <c r="J32" s="16"/>
      <c r="K32" s="16"/>
      <c r="L32" s="37"/>
      <c r="M32" s="37"/>
      <c r="N32" s="37"/>
      <c r="O32" s="37"/>
      <c r="P32" s="36"/>
      <c r="Q32" s="38"/>
      <c r="R32" s="16"/>
      <c r="S32" s="29"/>
    </row>
    <row r="33" spans="2:19" s="17" customFormat="1">
      <c r="B33" s="15"/>
      <c r="C33" s="16"/>
      <c r="D33" s="15"/>
      <c r="E33" s="16"/>
      <c r="F33" s="16"/>
      <c r="G33" s="15"/>
      <c r="H33" s="25"/>
      <c r="I33" s="25"/>
      <c r="J33" s="16"/>
      <c r="K33" s="16"/>
      <c r="L33" s="37"/>
      <c r="M33" s="37"/>
      <c r="N33" s="37"/>
      <c r="O33" s="37"/>
      <c r="P33" s="36"/>
      <c r="Q33" s="38"/>
      <c r="R33" s="16"/>
      <c r="S33" s="29"/>
    </row>
    <row r="34" spans="2:19">
      <c r="B34" s="2"/>
      <c r="C34" s="91"/>
      <c r="D34" s="91"/>
      <c r="E34" s="91"/>
      <c r="F34" s="91"/>
      <c r="G34" s="91"/>
      <c r="H34" s="91"/>
      <c r="I34" s="91"/>
      <c r="J34" s="24"/>
      <c r="K34" s="24"/>
      <c r="L34" s="49">
        <f t="shared" ref="L34:Q34" si="6">SUM(L4:L33)</f>
        <v>0</v>
      </c>
      <c r="M34" s="49">
        <f t="shared" si="6"/>
        <v>0</v>
      </c>
      <c r="N34" s="49">
        <f t="shared" si="6"/>
        <v>0</v>
      </c>
      <c r="O34" s="37">
        <f t="shared" si="6"/>
        <v>0</v>
      </c>
      <c r="P34" s="37">
        <f t="shared" si="6"/>
        <v>0</v>
      </c>
      <c r="Q34" s="38">
        <f t="shared" si="6"/>
        <v>0</v>
      </c>
      <c r="R34" s="8"/>
      <c r="S34" s="8"/>
    </row>
    <row r="35" spans="2:19">
      <c r="L35" s="50"/>
      <c r="M35" s="50"/>
      <c r="N35" s="50"/>
      <c r="O35" s="50"/>
      <c r="Q35" s="50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3.HST_Turkey</vt:lpstr>
      <vt:lpstr>4.인터모빌리티</vt:lpstr>
      <vt:lpstr>5.GMTECH</vt:lpstr>
      <vt:lpstr>6.다원시스</vt:lpstr>
      <vt:lpstr>7.서울교통공사</vt:lpstr>
      <vt:lpstr>7.기타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홍성준/SW교육원</cp:lastModifiedBy>
  <dcterms:created xsi:type="dcterms:W3CDTF">2010-03-24T06:08:57Z</dcterms:created>
  <dcterms:modified xsi:type="dcterms:W3CDTF">2026-01-05T04:45:14Z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994d2918-e71a-4752-8629-dccb9180b079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